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Brian\Desktop\DATA ANALYTICS\Execl_layoffsProject\"/>
    </mc:Choice>
  </mc:AlternateContent>
  <xr:revisionPtr revIDLastSave="0" documentId="8_{EA816990-BBA1-49E9-9EC2-BC1DDC4D461F}" xr6:coauthVersionLast="47" xr6:coauthVersionMax="47" xr10:uidLastSave="{00000000-0000-0000-0000-000000000000}"/>
  <bookViews>
    <workbookView xWindow="-120" yWindow="-120" windowWidth="20730" windowHeight="11160" xr2:uid="{A30BAD55-D664-492B-ACB6-3B7B5E240E11}"/>
  </bookViews>
  <sheets>
    <sheet name="Dashboard" sheetId="21" r:id="rId1"/>
    <sheet name="Overview" sheetId="13" r:id="rId2"/>
    <sheet name="Layoffs by Year" sheetId="3" r:id="rId3"/>
    <sheet name="Top Companies" sheetId="4" r:id="rId4"/>
    <sheet name="Layoffs by Industry" sheetId="6" r:id="rId5"/>
    <sheet name="Layoffs by Country" sheetId="7" r:id="rId6"/>
    <sheet name="Layoffs by Stage" sheetId="8" r:id="rId7"/>
    <sheet name="Funding vs Layoffs" sheetId="20" r:id="rId8"/>
    <sheet name="Worst Months" sheetId="9" r:id="rId9"/>
    <sheet name="Companies Shutdown" sheetId="18" r:id="rId10"/>
    <sheet name="Raw Data" sheetId="2" r:id="rId11"/>
  </sheets>
  <definedNames>
    <definedName name="ExternalData_1" localSheetId="10" hidden="1">'Raw Data'!$A$1:$J$2357</definedName>
    <definedName name="Slicer_country">#N/A</definedName>
    <definedName name="Slicer_stage">#N/A</definedName>
    <definedName name="Slicer_Years__date">#N/A</definedName>
  </definedNames>
  <calcPr calcId="191029" iterateDelta="1E-4"/>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D4" i="13"/>
  <c r="A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2A0BA5-A3F0-42B2-A8EA-4DA1F7066960}" keepAlive="1" name="Query - CHEKING2" description="Connection to the 'CHEKING2' query in the workbook." type="5" refreshedVersion="8" background="1" saveData="1">
    <dbPr connection="Provider=Microsoft.Mashup.OleDb.1;Data Source=$Workbook$;Location=CHEKING2;Extended Properties=&quot;&quot;" command="SELECT * FROM [CHEKING2]"/>
  </connection>
</connections>
</file>

<file path=xl/sharedStrings.xml><?xml version="1.0" encoding="utf-8"?>
<sst xmlns="http://schemas.openxmlformats.org/spreadsheetml/2006/main" count="14323" uniqueCount="2238">
  <si>
    <t>location</t>
  </si>
  <si>
    <t>industry</t>
  </si>
  <si>
    <t>total_laid_off</t>
  </si>
  <si>
    <t>percentage_laid_off</t>
  </si>
  <si>
    <t>date</t>
  </si>
  <si>
    <t>stage</t>
  </si>
  <si>
    <t>country</t>
  </si>
  <si>
    <t>funds_raised_millions</t>
  </si>
  <si>
    <t>E Inc.</t>
  </si>
  <si>
    <t>Toronto</t>
  </si>
  <si>
    <t>Transportation</t>
  </si>
  <si>
    <t>Post-IPO</t>
  </si>
  <si>
    <t>Canada</t>
  </si>
  <si>
    <t>Included Health</t>
  </si>
  <si>
    <t>SF Bay Area</t>
  </si>
  <si>
    <t>Healthcare</t>
  </si>
  <si>
    <t>Series E</t>
  </si>
  <si>
    <t>United States</t>
  </si>
  <si>
    <t>&amp;Open</t>
  </si>
  <si>
    <t>Dublin</t>
  </si>
  <si>
    <t>Marketing</t>
  </si>
  <si>
    <t>Series A</t>
  </si>
  <si>
    <t>Ireland</t>
  </si>
  <si>
    <t>#Paid</t>
  </si>
  <si>
    <t>Series B</t>
  </si>
  <si>
    <t>100 Thieves</t>
  </si>
  <si>
    <t>Los Angeles</t>
  </si>
  <si>
    <t>Consumer</t>
  </si>
  <si>
    <t>Series C</t>
  </si>
  <si>
    <t>Retail</t>
  </si>
  <si>
    <t>10X Genomics</t>
  </si>
  <si>
    <t>1stdibs</t>
  </si>
  <si>
    <t>New York City</t>
  </si>
  <si>
    <t>Series D</t>
  </si>
  <si>
    <t>2TM</t>
  </si>
  <si>
    <t>Sao Paulo</t>
  </si>
  <si>
    <t>Crypto</t>
  </si>
  <si>
    <t>Unknown</t>
  </si>
  <si>
    <t>Brazil</t>
  </si>
  <si>
    <t>2U</t>
  </si>
  <si>
    <t>Washington D.C.</t>
  </si>
  <si>
    <t>Education</t>
  </si>
  <si>
    <t>54gene</t>
  </si>
  <si>
    <t>5B Solar</t>
  </si>
  <si>
    <t>Sydney</t>
  </si>
  <si>
    <t>Energy</t>
  </si>
  <si>
    <t>Australia</t>
  </si>
  <si>
    <t>6sense</t>
  </si>
  <si>
    <t>Sales</t>
  </si>
  <si>
    <t>80 Acres Farms</t>
  </si>
  <si>
    <t>Cincinnati</t>
  </si>
  <si>
    <t>Food</t>
  </si>
  <si>
    <t>8x8</t>
  </si>
  <si>
    <t>Support</t>
  </si>
  <si>
    <t>98point6</t>
  </si>
  <si>
    <t>Seattle</t>
  </si>
  <si>
    <t>99</t>
  </si>
  <si>
    <t>Acquired</t>
  </si>
  <si>
    <t>Abra</t>
  </si>
  <si>
    <t>Absci</t>
  </si>
  <si>
    <t>Vancouver</t>
  </si>
  <si>
    <t>Acast</t>
  </si>
  <si>
    <t>Stockholm</t>
  </si>
  <si>
    <t>Media</t>
  </si>
  <si>
    <t>Sweden</t>
  </si>
  <si>
    <t>Accolade</t>
  </si>
  <si>
    <t>Acko</t>
  </si>
  <si>
    <t>Mumbai</t>
  </si>
  <si>
    <t>Finance</t>
  </si>
  <si>
    <t>India</t>
  </si>
  <si>
    <t>Acorns</t>
  </si>
  <si>
    <t>Portland</t>
  </si>
  <si>
    <t>Actifio</t>
  </si>
  <si>
    <t>Boston</t>
  </si>
  <si>
    <t>Data</t>
  </si>
  <si>
    <t>ActiveCampaign</t>
  </si>
  <si>
    <t>Chicago</t>
  </si>
  <si>
    <t>Ada</t>
  </si>
  <si>
    <t>Ada Health</t>
  </si>
  <si>
    <t>Berlin</t>
  </si>
  <si>
    <t>Germany</t>
  </si>
  <si>
    <t>Ada Support</t>
  </si>
  <si>
    <t>Adaptive Biotechnologies</t>
  </si>
  <si>
    <t>Adara</t>
  </si>
  <si>
    <t>Travel</t>
  </si>
  <si>
    <t>Addepar</t>
  </si>
  <si>
    <t>Series F</t>
  </si>
  <si>
    <t>Addi</t>
  </si>
  <si>
    <t>Bogota</t>
  </si>
  <si>
    <t>Colombia</t>
  </si>
  <si>
    <t>Adobe</t>
  </si>
  <si>
    <t>AdRoll</t>
  </si>
  <si>
    <t>Salt Lake City</t>
  </si>
  <si>
    <t>Advata</t>
  </si>
  <si>
    <t>NULL</t>
  </si>
  <si>
    <t>Adwerx</t>
  </si>
  <si>
    <t>Durham</t>
  </si>
  <si>
    <t>Affirm</t>
  </si>
  <si>
    <t>Afterverse</t>
  </si>
  <si>
    <t>Brasilia</t>
  </si>
  <si>
    <t>Agoda</t>
  </si>
  <si>
    <t>Singapore</t>
  </si>
  <si>
    <t>Ahead</t>
  </si>
  <si>
    <t>Air</t>
  </si>
  <si>
    <t>Airbnb</t>
  </si>
  <si>
    <t>Private Equity</t>
  </si>
  <si>
    <t>Airlift</t>
  </si>
  <si>
    <t>Lahore</t>
  </si>
  <si>
    <t>Logistics</t>
  </si>
  <si>
    <t>Pakistan</t>
  </si>
  <si>
    <t>AirMap</t>
  </si>
  <si>
    <t>Aerospace</t>
  </si>
  <si>
    <t>Airtable</t>
  </si>
  <si>
    <t>Product</t>
  </si>
  <si>
    <t>Airtame</t>
  </si>
  <si>
    <t>Copenhagen</t>
  </si>
  <si>
    <t>Denmark</t>
  </si>
  <si>
    <t>Airtasker</t>
  </si>
  <si>
    <t>Airtime</t>
  </si>
  <si>
    <t>Airy Rooms</t>
  </si>
  <si>
    <t>Jakarta</t>
  </si>
  <si>
    <t>Indonesia</t>
  </si>
  <si>
    <t>Aiven</t>
  </si>
  <si>
    <t>Helsinki</t>
  </si>
  <si>
    <t>Infrastructure</t>
  </si>
  <si>
    <t>Finland</t>
  </si>
  <si>
    <t>Ajaib</t>
  </si>
  <si>
    <t>Akerna</t>
  </si>
  <si>
    <t>Denver</t>
  </si>
  <si>
    <t>Akili Labs</t>
  </si>
  <si>
    <t>Baltimore</t>
  </si>
  <si>
    <t>Seed</t>
  </si>
  <si>
    <t>Akulaku</t>
  </si>
  <si>
    <t>AlayaCare</t>
  </si>
  <si>
    <t>Montreal</t>
  </si>
  <si>
    <t>Albert</t>
  </si>
  <si>
    <t>Alegion</t>
  </si>
  <si>
    <t>Austin</t>
  </si>
  <si>
    <t>Alerzo</t>
  </si>
  <si>
    <t>Ibadan</t>
  </si>
  <si>
    <t>Nigeria</t>
  </si>
  <si>
    <t>Alice</t>
  </si>
  <si>
    <t>AliExpress Russia</t>
  </si>
  <si>
    <t>Moscow</t>
  </si>
  <si>
    <t>Russia</t>
  </si>
  <si>
    <t>Allbirds</t>
  </si>
  <si>
    <t>AllyO</t>
  </si>
  <si>
    <t>HR</t>
  </si>
  <si>
    <t>Almanac</t>
  </si>
  <si>
    <t>Other</t>
  </si>
  <si>
    <t>Alto Pharmacy</t>
  </si>
  <si>
    <t>Amazon</t>
  </si>
  <si>
    <t>Amber Group</t>
  </si>
  <si>
    <t>Hong Kong</t>
  </si>
  <si>
    <t>Ambev Tech</t>
  </si>
  <si>
    <t>Blumenau</t>
  </si>
  <si>
    <t>Amdocs</t>
  </si>
  <si>
    <t>St. Louis</t>
  </si>
  <si>
    <t>American Robotics</t>
  </si>
  <si>
    <t>Amobee</t>
  </si>
  <si>
    <t>Amount</t>
  </si>
  <si>
    <t>Amperity</t>
  </si>
  <si>
    <t>Amplero</t>
  </si>
  <si>
    <t>Anagram</t>
  </si>
  <si>
    <t>Andela</t>
  </si>
  <si>
    <t>Recruiting</t>
  </si>
  <si>
    <t>AngelList</t>
  </si>
  <si>
    <t>Anodot</t>
  </si>
  <si>
    <t>Tel Aviv</t>
  </si>
  <si>
    <t>Antidote Health</t>
  </si>
  <si>
    <t>Israel</t>
  </si>
  <si>
    <t>Anyvision</t>
  </si>
  <si>
    <t>Security</t>
  </si>
  <si>
    <t>Anywell</t>
  </si>
  <si>
    <t>Real Estate</t>
  </si>
  <si>
    <t>Apartment List</t>
  </si>
  <si>
    <t>Apeel Sciences</t>
  </si>
  <si>
    <t>Santa Barbara</t>
  </si>
  <si>
    <t>Apollo</t>
  </si>
  <si>
    <t>Apollo Insurance</t>
  </si>
  <si>
    <t>App Annie</t>
  </si>
  <si>
    <t>Appgate</t>
  </si>
  <si>
    <t>Miami</t>
  </si>
  <si>
    <t>AppGate</t>
  </si>
  <si>
    <t>AppLovin</t>
  </si>
  <si>
    <t>ApplyBoard</t>
  </si>
  <si>
    <t>Waterloo</t>
  </si>
  <si>
    <t>Aqgromalin</t>
  </si>
  <si>
    <t>Chennai</t>
  </si>
  <si>
    <t>Aqua Security</t>
  </si>
  <si>
    <t>Arc</t>
  </si>
  <si>
    <t>Arch Oncology</t>
  </si>
  <si>
    <t>Brisbane</t>
  </si>
  <si>
    <t>Arete</t>
  </si>
  <si>
    <t>Argo AI</t>
  </si>
  <si>
    <t>Munich</t>
  </si>
  <si>
    <t>Pittsburgh</t>
  </si>
  <si>
    <t>Argyle</t>
  </si>
  <si>
    <t>Armis</t>
  </si>
  <si>
    <t>Arrival</t>
  </si>
  <si>
    <t>London</t>
  </si>
  <si>
    <t>United Kingdom</t>
  </si>
  <si>
    <t>Arrive Logistics</t>
  </si>
  <si>
    <t>Article</t>
  </si>
  <si>
    <t>Articulate</t>
  </si>
  <si>
    <t>Artnight</t>
  </si>
  <si>
    <t>Asana</t>
  </si>
  <si>
    <t>AskNicely</t>
  </si>
  <si>
    <t>Aspire</t>
  </si>
  <si>
    <t>Assure</t>
  </si>
  <si>
    <t>Astra</t>
  </si>
  <si>
    <t>Astronomer</t>
  </si>
  <si>
    <t>Atlanta Tech Village</t>
  </si>
  <si>
    <t>Atlanta</t>
  </si>
  <si>
    <t>Atlas Obscura</t>
  </si>
  <si>
    <t>Atlassian</t>
  </si>
  <si>
    <t>AtoB</t>
  </si>
  <si>
    <t>Atome</t>
  </si>
  <si>
    <t>Atsu</t>
  </si>
  <si>
    <t>Attentive</t>
  </si>
  <si>
    <t>AU10TIX</t>
  </si>
  <si>
    <t>Augury</t>
  </si>
  <si>
    <t>Manufacturing</t>
  </si>
  <si>
    <t>Aura</t>
  </si>
  <si>
    <t>Aura Financial</t>
  </si>
  <si>
    <t>Autobooks</t>
  </si>
  <si>
    <t>Detroit</t>
  </si>
  <si>
    <t>Autodesk</t>
  </si>
  <si>
    <t>Autograph</t>
  </si>
  <si>
    <t>Automatic</t>
  </si>
  <si>
    <t>Automation Anywhere</t>
  </si>
  <si>
    <t>Automox</t>
  </si>
  <si>
    <t>Boulder</t>
  </si>
  <si>
    <t>Avalara</t>
  </si>
  <si>
    <t>Avantage Entertainment</t>
  </si>
  <si>
    <t>Minneapolis</t>
  </si>
  <si>
    <t>AvantStay</t>
  </si>
  <si>
    <t>Avast</t>
  </si>
  <si>
    <t>Phoenix</t>
  </si>
  <si>
    <t>Avo</t>
  </si>
  <si>
    <t>Aware</t>
  </si>
  <si>
    <t>Columbus</t>
  </si>
  <si>
    <t>Away</t>
  </si>
  <si>
    <t>Awok</t>
  </si>
  <si>
    <t>Dubai</t>
  </si>
  <si>
    <t>United Arab Emirates</t>
  </si>
  <si>
    <t>Aya</t>
  </si>
  <si>
    <t>B8ta</t>
  </si>
  <si>
    <t>Babylon</t>
  </si>
  <si>
    <t>Back Market</t>
  </si>
  <si>
    <t>Paris</t>
  </si>
  <si>
    <t>France</t>
  </si>
  <si>
    <t>Bakkt</t>
  </si>
  <si>
    <t>Bally's Interactive</t>
  </si>
  <si>
    <t>Providence</t>
  </si>
  <si>
    <t>Balto</t>
  </si>
  <si>
    <t>Bamboo Health</t>
  </si>
  <si>
    <t>Louisville</t>
  </si>
  <si>
    <t>Banxa</t>
  </si>
  <si>
    <t>Melbourne</t>
  </si>
  <si>
    <t>Baraja</t>
  </si>
  <si>
    <t>Bark</t>
  </si>
  <si>
    <t>Baton</t>
  </si>
  <si>
    <t>Bcredi</t>
  </si>
  <si>
    <t>Curitiba</t>
  </si>
  <si>
    <t>Beam Benefits</t>
  </si>
  <si>
    <t>Beamery</t>
  </si>
  <si>
    <t>Beat</t>
  </si>
  <si>
    <t>Athens</t>
  </si>
  <si>
    <t>Greece</t>
  </si>
  <si>
    <t>BeeTech</t>
  </si>
  <si>
    <t>Bench</t>
  </si>
  <si>
    <t>Benevity</t>
  </si>
  <si>
    <t>Calgary</t>
  </si>
  <si>
    <t>Benitago Group</t>
  </si>
  <si>
    <t>Berkeley Lights</t>
  </si>
  <si>
    <t>Berlin Brands Group</t>
  </si>
  <si>
    <t>Bestow</t>
  </si>
  <si>
    <t>Dallas</t>
  </si>
  <si>
    <t>Better.com</t>
  </si>
  <si>
    <t>BetterCloud</t>
  </si>
  <si>
    <t>Betterfly</t>
  </si>
  <si>
    <t>Santiago</t>
  </si>
  <si>
    <t>Chile</t>
  </si>
  <si>
    <t>Betterment</t>
  </si>
  <si>
    <t>Bevi</t>
  </si>
  <si>
    <t>Beyond Meat</t>
  </si>
  <si>
    <t>BeyondMinds</t>
  </si>
  <si>
    <t>BharatAgri</t>
  </si>
  <si>
    <t>Big Fish Games</t>
  </si>
  <si>
    <t>BigBear.ai</t>
  </si>
  <si>
    <t>BigCommerce</t>
  </si>
  <si>
    <t>Bikayi</t>
  </si>
  <si>
    <t>Bengaluru</t>
  </si>
  <si>
    <t>Bilibili</t>
  </si>
  <si>
    <t>Shanghai</t>
  </si>
  <si>
    <t>China</t>
  </si>
  <si>
    <t>BioMarin</t>
  </si>
  <si>
    <t>Bird</t>
  </si>
  <si>
    <t>Bitfarms</t>
  </si>
  <si>
    <t>Quebec</t>
  </si>
  <si>
    <t>Bitfront</t>
  </si>
  <si>
    <t>BitGo</t>
  </si>
  <si>
    <t>BitMEX</t>
  </si>
  <si>
    <t>Non-U.S.</t>
  </si>
  <si>
    <t>Seychelles</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</si>
  <si>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</si>
  <si>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</si>
  <si>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</si>
  <si>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</si>
  <si>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</si>
  <si>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</si>
  <si>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</si>
  <si>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</si>
  <si>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</si>
  <si>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</si>
  <si>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</si>
  <si>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</si>
  <si>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</si>
  <si>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</si>
  <si>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</si>
  <si>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</si>
  <si>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</si>
  <si>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Black Shark</t>
  </si>
  <si>
    <t>Shenzen</t>
  </si>
  <si>
    <t>Hardware</t>
  </si>
  <si>
    <t>Blackbaud</t>
  </si>
  <si>
    <t>Charleston</t>
  </si>
  <si>
    <t>BlackBuck</t>
  </si>
  <si>
    <t>BlackLine</t>
  </si>
  <si>
    <t>Bleacher Report</t>
  </si>
  <si>
    <t>Blend</t>
  </si>
  <si>
    <t>Blockchain.com</t>
  </si>
  <si>
    <t>BlockFi</t>
  </si>
  <si>
    <t>BloomTech</t>
  </si>
  <si>
    <t>Blue Apron</t>
  </si>
  <si>
    <t>Blueground</t>
  </si>
  <si>
    <t>BlueStacks</t>
  </si>
  <si>
    <t>Blume Global</t>
  </si>
  <si>
    <t>Bluprint</t>
  </si>
  <si>
    <t>BM Technologies</t>
  </si>
  <si>
    <t>Philadelphia</t>
  </si>
  <si>
    <t>Bolt</t>
  </si>
  <si>
    <t>Lagos</t>
  </si>
  <si>
    <t>Bond</t>
  </si>
  <si>
    <t>Bonsai</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</si>
  <si>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</si>
  <si>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</si>
  <si>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</si>
  <si>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</si>
  <si>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</si>
  <si>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</si>
  <si>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</si>
  <si>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</si>
  <si>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</si>
  <si>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</si>
  <si>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</si>
  <si>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</si>
  <si>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</si>
  <si>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</si>
  <si>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</si>
  <si>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</si>
  <si>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Brainbase</t>
  </si>
  <si>
    <t>Brainly</t>
  </si>
  <si>
    <t>Krakow</t>
  </si>
  <si>
    <t>Poland</t>
  </si>
  <si>
    <t>Branch</t>
  </si>
  <si>
    <t>Branch Metrics</t>
  </si>
  <si>
    <t>Brave Care</t>
  </si>
  <si>
    <t>Breathe</t>
  </si>
  <si>
    <t>New Delhi</t>
  </si>
  <si>
    <t>Breather</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</si>
  <si>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</si>
  <si>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</si>
  <si>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</si>
  <si>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</si>
  <si>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</si>
  <si>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</si>
  <si>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</si>
  <si>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</si>
  <si>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</si>
  <si>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</si>
  <si>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</si>
  <si>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</si>
  <si>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</si>
  <si>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</si>
  <si>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</si>
  <si>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</si>
  <si>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Argentina</t>
  </si>
  <si>
    <t>Builder</t>
  </si>
  <si>
    <t>Built In</t>
  </si>
  <si>
    <t>Bullhorn</t>
  </si>
  <si>
    <t>Bullish</t>
  </si>
  <si>
    <t>Bungalow</t>
  </si>
  <si>
    <t>BusBud</t>
  </si>
  <si>
    <t>Buser</t>
  </si>
  <si>
    <t>Bustle Digital Group</t>
  </si>
  <si>
    <t>Butler Hospitality</t>
  </si>
  <si>
    <t>Butterfly Network</t>
  </si>
  <si>
    <t>New Haven</t>
  </si>
  <si>
    <t>Button</t>
  </si>
  <si>
    <t>BUX</t>
  </si>
  <si>
    <t>Buy.com / Rakuten</t>
  </si>
  <si>
    <t>Buzzer</t>
  </si>
  <si>
    <t>BuzzFeed</t>
  </si>
  <si>
    <t>BVAccel</t>
  </si>
  <si>
    <t>San Diego</t>
  </si>
  <si>
    <t>Bybit</t>
  </si>
  <si>
    <t>Byju's</t>
  </si>
  <si>
    <t>Bytedance</t>
  </si>
  <si>
    <t>ByteDance</t>
  </si>
  <si>
    <t>Byton</t>
  </si>
  <si>
    <t>C2FO</t>
  </si>
  <si>
    <t>Kansas City</t>
  </si>
  <si>
    <t>Series H</t>
  </si>
  <si>
    <t>C6 Bank</t>
  </si>
  <si>
    <t>Cabin</t>
  </si>
  <si>
    <t>Cadre</t>
  </si>
  <si>
    <t>Calibrate</t>
  </si>
  <si>
    <t>Caliva</t>
  </si>
  <si>
    <t>Callisto Media</t>
  </si>
  <si>
    <t>Calm</t>
  </si>
  <si>
    <t>Cameo</t>
  </si>
  <si>
    <t>Camp K12</t>
  </si>
  <si>
    <t>Gurugram</t>
  </si>
  <si>
    <t>Candidate Labs</t>
  </si>
  <si>
    <t>Candy Digital</t>
  </si>
  <si>
    <t>Canoo</t>
  </si>
  <si>
    <t>Capillary</t>
  </si>
  <si>
    <t>Capital One</t>
  </si>
  <si>
    <t>Capiter</t>
  </si>
  <si>
    <t>Cairo</t>
  </si>
  <si>
    <t>Egypt</t>
  </si>
  <si>
    <t>Capitolis</t>
  </si>
  <si>
    <t>Capsule</t>
  </si>
  <si>
    <t>Captain Fresh</t>
  </si>
  <si>
    <t>CaptivateIQ</t>
  </si>
  <si>
    <t>Carbon</t>
  </si>
  <si>
    <t>Carbon Health</t>
  </si>
  <si>
    <t>CarDekho</t>
  </si>
  <si>
    <t>Cardlytics</t>
  </si>
  <si>
    <t>Care.com</t>
  </si>
  <si>
    <t>Careem</t>
  </si>
  <si>
    <t>Career Karma</t>
  </si>
  <si>
    <t>CareerArc</t>
  </si>
  <si>
    <t>CareRev</t>
  </si>
  <si>
    <t>CarGurus</t>
  </si>
  <si>
    <t>Caribou</t>
  </si>
  <si>
    <t>Carousell</t>
  </si>
  <si>
    <t>Cars24</t>
  </si>
  <si>
    <t>Series G</t>
  </si>
  <si>
    <t>Carsome</t>
  </si>
  <si>
    <t>Kuala Lumpur</t>
  </si>
  <si>
    <t>Malaysia</t>
  </si>
  <si>
    <t>Cart.com</t>
  </si>
  <si>
    <t>Carta</t>
  </si>
  <si>
    <t>Carvana</t>
  </si>
  <si>
    <t>Carwow</t>
  </si>
  <si>
    <t>Casavo</t>
  </si>
  <si>
    <t>Milan</t>
  </si>
  <si>
    <t>Italy</t>
  </si>
  <si>
    <t>Cashfree Payments</t>
  </si>
  <si>
    <t>Casper</t>
  </si>
  <si>
    <t>Castlight Health</t>
  </si>
  <si>
    <t>Catalant</t>
  </si>
  <si>
    <t>Catalyst</t>
  </si>
  <si>
    <t>Catch.com.au</t>
  </si>
  <si>
    <t>Cazoo</t>
  </si>
  <si>
    <t>Cedar</t>
  </si>
  <si>
    <t>Celsius</t>
  </si>
  <si>
    <t>Century Therapeutics</t>
  </si>
  <si>
    <t>Cerebral</t>
  </si>
  <si>
    <t>Chainalysis</t>
  </si>
  <si>
    <t>Change Invest</t>
  </si>
  <si>
    <t>Change.org</t>
  </si>
  <si>
    <t>Chargebee</t>
  </si>
  <si>
    <t>Checkmarx</t>
  </si>
  <si>
    <t>Checkout.com</t>
  </si>
  <si>
    <t>Checkr</t>
  </si>
  <si>
    <t>Cheddar</t>
  </si>
  <si>
    <t>Cheetah</t>
  </si>
  <si>
    <t>Chef</t>
  </si>
  <si>
    <t>Chessable</t>
  </si>
  <si>
    <t>Chili Piper</t>
  </si>
  <si>
    <t>Chime</t>
  </si>
  <si>
    <t>Chipax</t>
  </si>
  <si>
    <t>Chipper Cash</t>
  </si>
  <si>
    <t>Chope</t>
  </si>
  <si>
    <t>ChowNow</t>
  </si>
  <si>
    <t>Chrono24</t>
  </si>
  <si>
    <t>Karlsruhe</t>
  </si>
  <si>
    <t>CipherTrace</t>
  </si>
  <si>
    <t>Circ</t>
  </si>
  <si>
    <t>CircleCI</t>
  </si>
  <si>
    <t>CircleUp</t>
  </si>
  <si>
    <t>Circulo Health</t>
  </si>
  <si>
    <t>Cisco</t>
  </si>
  <si>
    <t>Citizen</t>
  </si>
  <si>
    <t>Citrine Informatics</t>
  </si>
  <si>
    <t>Citrix</t>
  </si>
  <si>
    <t>CityMall</t>
  </si>
  <si>
    <t>Claravine</t>
  </si>
  <si>
    <t>Clari</t>
  </si>
  <si>
    <t>Clarify Health</t>
  </si>
  <si>
    <t>Classkick</t>
  </si>
  <si>
    <t>ClassPass</t>
  </si>
  <si>
    <t>Fitness</t>
  </si>
  <si>
    <t>Clear</t>
  </si>
  <si>
    <t>Clear Capital</t>
  </si>
  <si>
    <t>Reno</t>
  </si>
  <si>
    <t>Clearbanc</t>
  </si>
  <si>
    <t>Clearbit</t>
  </si>
  <si>
    <t>Clearco</t>
  </si>
  <si>
    <t>Fin-Tech</t>
  </si>
  <si>
    <t>ClearCo</t>
  </si>
  <si>
    <t>Clever Real Estate</t>
  </si>
  <si>
    <t>CleverTap</t>
  </si>
  <si>
    <t>ClickUp</t>
  </si>
  <si>
    <t>Clinc</t>
  </si>
  <si>
    <t>Ann Arbor</t>
  </si>
  <si>
    <t>Cloudera</t>
  </si>
  <si>
    <t>CloudFactory</t>
  </si>
  <si>
    <t>Nairobi</t>
  </si>
  <si>
    <t>Kenya</t>
  </si>
  <si>
    <t>Cloudinary</t>
  </si>
  <si>
    <t>CloudKitchens</t>
  </si>
  <si>
    <t>Clubhouse</t>
  </si>
  <si>
    <t>Clue</t>
  </si>
  <si>
    <t>Clumio</t>
  </si>
  <si>
    <t>Clutch</t>
  </si>
  <si>
    <t>Clutter</t>
  </si>
  <si>
    <t>Clyde</t>
  </si>
  <si>
    <t>CNET</t>
  </si>
  <si>
    <t>CoachHub</t>
  </si>
  <si>
    <t>Coda</t>
  </si>
  <si>
    <t>Code42</t>
  </si>
  <si>
    <t>CodeCombat</t>
  </si>
  <si>
    <t>Codexis</t>
  </si>
  <si>
    <t>Coding Dojo</t>
  </si>
  <si>
    <t>Cogito</t>
  </si>
  <si>
    <t>Cognyte</t>
  </si>
  <si>
    <t>Cohesity</t>
  </si>
  <si>
    <t>Coinbase</t>
  </si>
  <si>
    <t>CoinDCX</t>
  </si>
  <si>
    <t>CoinFLEX</t>
  </si>
  <si>
    <t>Victoria</t>
  </si>
  <si>
    <t>CoinJar</t>
  </si>
  <si>
    <t>Coinsquare</t>
  </si>
  <si>
    <t>CoinTracker</t>
  </si>
  <si>
    <t>Collective Health</t>
  </si>
  <si>
    <t>Collibra</t>
  </si>
  <si>
    <t>Brussels</t>
  </si>
  <si>
    <t>Belgium</t>
  </si>
  <si>
    <t>Color Health</t>
  </si>
  <si>
    <t>Colossus</t>
  </si>
  <si>
    <t>CommentSold</t>
  </si>
  <si>
    <t>Huntsville</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</si>
  <si>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</si>
  <si>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</si>
  <si>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</si>
  <si>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</si>
  <si>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</si>
  <si>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</si>
  <si>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</si>
  <si>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</si>
  <si>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</si>
  <si>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</si>
  <si>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</si>
  <si>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</si>
  <si>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</si>
  <si>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</si>
  <si>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</si>
  <si>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</si>
  <si>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</si>
  <si>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</si>
  <si>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</si>
  <si>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CoSchedule</t>
  </si>
  <si>
    <t>Bismarck</t>
  </si>
  <si>
    <t>Cosuno</t>
  </si>
  <si>
    <t>Coterie Insurance</t>
  </si>
  <si>
    <t>Coursera</t>
  </si>
  <si>
    <t>Crayon</t>
  </si>
  <si>
    <t>CreateMe</t>
  </si>
  <si>
    <t>Credit Sesame</t>
  </si>
  <si>
    <t>Creditas</t>
  </si>
  <si>
    <t>Crehana</t>
  </si>
  <si>
    <t>Lima</t>
  </si>
  <si>
    <t>Peru</t>
  </si>
  <si>
    <t>Crejo.Fun</t>
  </si>
  <si>
    <t>Criteo</t>
  </si>
  <si>
    <t>CrowdRiff</t>
  </si>
  <si>
    <t>CrowdStreet</t>
  </si>
  <si>
    <t>Cruise</t>
  </si>
  <si>
    <t>Crunchyroll</t>
  </si>
  <si>
    <t>Tokyo</t>
  </si>
  <si>
    <t>Japan</t>
  </si>
  <si>
    <t>Crypto.com</t>
  </si>
  <si>
    <t>CS Disco</t>
  </si>
  <si>
    <t>Legal</t>
  </si>
  <si>
    <t>CTO.ai</t>
  </si>
  <si>
    <t>Cue</t>
  </si>
  <si>
    <t>Culture Amp</t>
  </si>
  <si>
    <t>Culture Trip</t>
  </si>
  <si>
    <t>Curative</t>
  </si>
  <si>
    <t>Curefit</t>
  </si>
  <si>
    <t>CureFit</t>
  </si>
  <si>
    <t>Curology</t>
  </si>
  <si>
    <t>Currency</t>
  </si>
  <si>
    <t>Curve</t>
  </si>
  <si>
    <t>Cuyana</t>
  </si>
  <si>
    <t>Cvent</t>
  </si>
  <si>
    <t>CyberCube</t>
  </si>
  <si>
    <t>Cybereason</t>
  </si>
  <si>
    <t>CyCognito</t>
  </si>
  <si>
    <t>Cypress.io</t>
  </si>
  <si>
    <t>Cyren</t>
  </si>
  <si>
    <t>Cyteir Therapeutics</t>
  </si>
  <si>
    <t>D2iQ</t>
  </si>
  <si>
    <t>D2L</t>
  </si>
  <si>
    <t>Daily Harvest</t>
  </si>
  <si>
    <t>DailyPay</t>
  </si>
  <si>
    <t>Daloopa</t>
  </si>
  <si>
    <t>Dance</t>
  </si>
  <si>
    <t>Daniel Wellington</t>
  </si>
  <si>
    <t>Dapper Labs</t>
  </si>
  <si>
    <t>Daraz</t>
  </si>
  <si>
    <t>Dark</t>
  </si>
  <si>
    <t>DataRails</t>
  </si>
  <si>
    <t>DataRobot</t>
  </si>
  <si>
    <t>DataStax</t>
  </si>
  <si>
    <t>Datera</t>
  </si>
  <si>
    <t>Datto</t>
  </si>
  <si>
    <t>Norwalk</t>
  </si>
  <si>
    <t>DayTwo</t>
  </si>
  <si>
    <t>Dazn</t>
  </si>
  <si>
    <t>DealShare</t>
  </si>
  <si>
    <t>Decent</t>
  </si>
  <si>
    <t>Deep Instinct</t>
  </si>
  <si>
    <t>Defined.ai</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</si>
  <si>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</si>
  <si>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</si>
  <si>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</si>
  <si>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</si>
  <si>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</si>
  <si>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</si>
  <si>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</si>
  <si>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</si>
  <si>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</si>
  <si>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</si>
  <si>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</si>
  <si>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</si>
  <si>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</si>
  <si>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</si>
  <si>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</si>
  <si>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</si>
  <si>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</si>
  <si>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Digimarc</t>
  </si>
  <si>
    <t>Digital Currency Gruop</t>
  </si>
  <si>
    <t>Stamford</t>
  </si>
  <si>
    <t>Digital Surge</t>
  </si>
  <si>
    <t>DigitalOcean</t>
  </si>
  <si>
    <t>DISCO</t>
  </si>
  <si>
    <t>Dispatch</t>
  </si>
  <si>
    <t>Divergent 3D</t>
  </si>
  <si>
    <t>Divvy</t>
  </si>
  <si>
    <t>Divvy Homes</t>
  </si>
  <si>
    <t>divvyDOSE</t>
  </si>
  <si>
    <t>Davenport</t>
  </si>
  <si>
    <t>DJI</t>
  </si>
  <si>
    <t>Dock</t>
  </si>
  <si>
    <t>Docly</t>
  </si>
  <si>
    <t>DocuSign</t>
  </si>
  <si>
    <t>Doma</t>
  </si>
  <si>
    <t>Domestika</t>
  </si>
  <si>
    <t>Domino Data Lab</t>
  </si>
  <si>
    <t>Domio</t>
  </si>
  <si>
    <t>Domo</t>
  </si>
  <si>
    <t>Dooly</t>
  </si>
  <si>
    <t>DoorDash</t>
  </si>
  <si>
    <t>Dotscience</t>
  </si>
  <si>
    <t>Dover</t>
  </si>
  <si>
    <t>DraftKings</t>
  </si>
  <si>
    <t>DreamBox Learning</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</si>
  <si>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</si>
  <si>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</si>
  <si>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</si>
  <si>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</si>
  <si>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</si>
  <si>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</si>
  <si>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</si>
  <si>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</si>
  <si>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</si>
  <si>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</si>
  <si>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</si>
  <si>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</si>
  <si>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</si>
  <si>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</si>
  <si>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</si>
  <si>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</si>
  <si>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</si>
  <si>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</si>
  <si>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</si>
  <si>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</si>
  <si>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</si>
  <si>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</si>
  <si>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</si>
  <si>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</si>
  <si>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</si>
  <si>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</si>
  <si>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</si>
  <si>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</si>
  <si>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</si>
  <si>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</si>
  <si>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</si>
  <si>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</si>
  <si>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</si>
  <si>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</si>
  <si>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</si>
  <si>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</si>
  <si>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</si>
  <si>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</si>
  <si>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</si>
  <si>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</si>
  <si>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Elemy</t>
  </si>
  <si>
    <t>Elinvar</t>
  </si>
  <si>
    <t>Elliptic</t>
  </si>
  <si>
    <t>Embark</t>
  </si>
  <si>
    <t>Embark Trucks</t>
  </si>
  <si>
    <t>Embroker</t>
  </si>
  <si>
    <t>Emitwise</t>
  </si>
  <si>
    <t>Emotive</t>
  </si>
  <si>
    <t>EMX Digital</t>
  </si>
  <si>
    <t>Engine eCommerce</t>
  </si>
  <si>
    <t>Fayetteville</t>
  </si>
  <si>
    <t>Enjoei</t>
  </si>
  <si>
    <t>Enjoy</t>
  </si>
  <si>
    <t>Envato</t>
  </si>
  <si>
    <t>Envoy</t>
  </si>
  <si>
    <t>Equitybee</t>
  </si>
  <si>
    <t>EquityZen</t>
  </si>
  <si>
    <t>Ericsson</t>
  </si>
  <si>
    <t>Ermetic</t>
  </si>
  <si>
    <t>Eruditus</t>
  </si>
  <si>
    <t>Esme Learning</t>
  </si>
  <si>
    <t>Esper</t>
  </si>
  <si>
    <t>Etermax</t>
  </si>
  <si>
    <t>Ethos Life</t>
  </si>
  <si>
    <t>eToro</t>
  </si>
  <si>
    <t>Eucalyptus</t>
  </si>
  <si>
    <t>Eventbrite</t>
  </si>
  <si>
    <t>EverBridge</t>
  </si>
  <si>
    <t>Everlane</t>
  </si>
  <si>
    <t>Evernote</t>
  </si>
  <si>
    <t>EVgo</t>
  </si>
  <si>
    <t>Exodus</t>
  </si>
  <si>
    <t>Nebraska City</t>
  </si>
  <si>
    <t>Exotel</t>
  </si>
  <si>
    <t>Expert360</t>
  </si>
  <si>
    <t>Exterro</t>
  </si>
  <si>
    <t>ExtraHop</t>
  </si>
  <si>
    <t>ezCater</t>
  </si>
  <si>
    <t>F5</t>
  </si>
  <si>
    <t>FabHotels</t>
  </si>
  <si>
    <t>Fabric</t>
  </si>
  <si>
    <t>Facily</t>
  </si>
  <si>
    <t>Faire</t>
  </si>
  <si>
    <t>Fandom</t>
  </si>
  <si>
    <t>Fareportal</t>
  </si>
  <si>
    <t>FarEye</t>
  </si>
  <si>
    <t>Fast</t>
  </si>
  <si>
    <t>Fate Therapeutics</t>
  </si>
  <si>
    <t>Favo</t>
  </si>
  <si>
    <t>Faze Medicines</t>
  </si>
  <si>
    <t>Feather</t>
  </si>
  <si>
    <t>Feedzai</t>
  </si>
  <si>
    <t>Coimbra</t>
  </si>
  <si>
    <t>Portugal</t>
  </si>
  <si>
    <t>Fifth Season</t>
  </si>
  <si>
    <t>Filevine</t>
  </si>
  <si>
    <t>Finastra</t>
  </si>
  <si>
    <t>Finder</t>
  </si>
  <si>
    <t>Finite State</t>
  </si>
  <si>
    <t>Finleap Connect</t>
  </si>
  <si>
    <t>Hamburg</t>
  </si>
  <si>
    <t>Fipola</t>
  </si>
  <si>
    <t>Fireblocks</t>
  </si>
  <si>
    <t>Firebolt</t>
  </si>
  <si>
    <t>FireHydrant</t>
  </si>
  <si>
    <t>Firework</t>
  </si>
  <si>
    <t>First AML</t>
  </si>
  <si>
    <t>Auckland</t>
  </si>
  <si>
    <t>New Zealand</t>
  </si>
  <si>
    <t>FiscalNote</t>
  </si>
  <si>
    <t>Fishbrain</t>
  </si>
  <si>
    <t>Fittr</t>
  </si>
  <si>
    <t>Pune</t>
  </si>
  <si>
    <t>Fiverr</t>
  </si>
  <si>
    <t>Fivetran</t>
  </si>
  <si>
    <t>Flash Coffee</t>
  </si>
  <si>
    <t>Flatiron School</t>
  </si>
  <si>
    <t>Flexport</t>
  </si>
  <si>
    <t>Flipboard</t>
  </si>
  <si>
    <t>Flipkart</t>
  </si>
  <si>
    <t>Flockjay</t>
  </si>
  <si>
    <t>FloQast</t>
  </si>
  <si>
    <t>Flowhub</t>
  </si>
  <si>
    <t>Flowr</t>
  </si>
  <si>
    <t>Fluke</t>
  </si>
  <si>
    <t>Flux Systems</t>
  </si>
  <si>
    <t>Flyhomes</t>
  </si>
  <si>
    <t>Flymya</t>
  </si>
  <si>
    <t>Yangon</t>
  </si>
  <si>
    <t>Myanmar</t>
  </si>
  <si>
    <t>Flynote</t>
  </si>
  <si>
    <t>Flytedesk</t>
  </si>
  <si>
    <t>Flywheel Sports</t>
  </si>
  <si>
    <t>Flywire</t>
  </si>
  <si>
    <t>Food52</t>
  </si>
  <si>
    <t>Foodpanda</t>
  </si>
  <si>
    <t>Bucharest</t>
  </si>
  <si>
    <t>Romania</t>
  </si>
  <si>
    <t>Foodsby</t>
  </si>
  <si>
    <t>ForeScout</t>
  </si>
  <si>
    <t>Foresight Insurance</t>
  </si>
  <si>
    <t>Forma.ai</t>
  </si>
  <si>
    <t>Forto</t>
  </si>
  <si>
    <t>Forward</t>
  </si>
  <si>
    <t>FourKites</t>
  </si>
  <si>
    <t>Foxtrot</t>
  </si>
  <si>
    <t>Fraazo</t>
  </si>
  <si>
    <t>Freetrade</t>
  </si>
  <si>
    <t>Frequency Therapeutics</t>
  </si>
  <si>
    <t>Freshbooks</t>
  </si>
  <si>
    <t>FreshDirect</t>
  </si>
  <si>
    <t>Freshly</t>
  </si>
  <si>
    <t>Freshworks</t>
  </si>
  <si>
    <t>Front</t>
  </si>
  <si>
    <t>Frontdesk</t>
  </si>
  <si>
    <t>Milwaukee</t>
  </si>
  <si>
    <t>FrontRow</t>
  </si>
  <si>
    <t>Frubana</t>
  </si>
  <si>
    <t>FuboTV</t>
  </si>
  <si>
    <t>FullStory</t>
  </si>
  <si>
    <t>Fundbox</t>
  </si>
  <si>
    <t>Funding Circle</t>
  </si>
  <si>
    <t>Funding Societies</t>
  </si>
  <si>
    <t>Fungible</t>
  </si>
  <si>
    <t>Furlenco</t>
  </si>
  <si>
    <t>FutureLearn</t>
  </si>
  <si>
    <t>G/O Media Group</t>
  </si>
  <si>
    <t>G2</t>
  </si>
  <si>
    <t>Gather</t>
  </si>
  <si>
    <t>Gatherly</t>
  </si>
  <si>
    <t>Gavelytics</t>
  </si>
  <si>
    <t>Geekwire</t>
  </si>
  <si>
    <t>Gem</t>
  </si>
  <si>
    <t>Gemini</t>
  </si>
  <si>
    <t>Genesis</t>
  </si>
  <si>
    <t>Genius</t>
  </si>
  <si>
    <t>Genome Medical</t>
  </si>
  <si>
    <t>Getaround</t>
  </si>
  <si>
    <t>Getir</t>
  </si>
  <si>
    <t>Istanbul</t>
  </si>
  <si>
    <t>Turkey</t>
  </si>
  <si>
    <t>GetNinjas</t>
  </si>
  <si>
    <t>Getta</t>
  </si>
  <si>
    <t>GetYourGuide</t>
  </si>
  <si>
    <t>GitHub</t>
  </si>
  <si>
    <t>GitLab</t>
  </si>
  <si>
    <t>Gitpod</t>
  </si>
  <si>
    <t>Kiel</t>
  </si>
  <si>
    <t>Give Legacy</t>
  </si>
  <si>
    <t>Glassdoor</t>
  </si>
  <si>
    <t>Glints</t>
  </si>
  <si>
    <t>Glitch</t>
  </si>
  <si>
    <t>GloriFi</t>
  </si>
  <si>
    <t>Glossier</t>
  </si>
  <si>
    <t>Glovo</t>
  </si>
  <si>
    <t>Barcelona</t>
  </si>
  <si>
    <t>Spain</t>
  </si>
  <si>
    <t>GOAT Group</t>
  </si>
  <si>
    <t>GoBear</t>
  </si>
  <si>
    <t>GoBolt</t>
  </si>
  <si>
    <t>GoCanvas</t>
  </si>
  <si>
    <t>GoCardless</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</si>
  <si>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</si>
  <si>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</si>
  <si>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</si>
  <si>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</si>
  <si>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</si>
  <si>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</si>
  <si>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</si>
  <si>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</si>
  <si>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</si>
  <si>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</si>
  <si>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</si>
  <si>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</si>
  <si>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</si>
  <si>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</si>
  <si>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</si>
  <si>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</si>
  <si>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</si>
  <si>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</si>
  <si>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</si>
  <si>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</si>
  <si>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Grailed</t>
  </si>
  <si>
    <t>Gramophone</t>
  </si>
  <si>
    <t>Indore</t>
  </si>
  <si>
    <t>Graphcore</t>
  </si>
  <si>
    <t>Bristol</t>
  </si>
  <si>
    <t>GrayMeta</t>
  </si>
  <si>
    <t>Green Labs</t>
  </si>
  <si>
    <t>Seoul</t>
  </si>
  <si>
    <t>South Korea</t>
  </si>
  <si>
    <t>Greenhouse Software</t>
  </si>
  <si>
    <t>Greenlight</t>
  </si>
  <si>
    <t>Grin</t>
  </si>
  <si>
    <t>Group Nine Media</t>
  </si>
  <si>
    <t>Groupon</t>
  </si>
  <si>
    <t>Grove Collaborative</t>
  </si>
  <si>
    <t>Grover</t>
  </si>
  <si>
    <t>GSR</t>
  </si>
  <si>
    <t>Guardant Health</t>
  </si>
  <si>
    <t>Guidewire</t>
  </si>
  <si>
    <t>GumGum</t>
  </si>
  <si>
    <t>Gusto</t>
  </si>
  <si>
    <t>Gympass</t>
  </si>
  <si>
    <t>HackerEarth</t>
  </si>
  <si>
    <t>Halcyon Health</t>
  </si>
  <si>
    <t>Handshake</t>
  </si>
  <si>
    <t>Happy Money</t>
  </si>
  <si>
    <t>Harappa</t>
  </si>
  <si>
    <t>Hash</t>
  </si>
  <si>
    <t>HashiCorp</t>
  </si>
  <si>
    <t>Haus</t>
  </si>
  <si>
    <t>Havenly</t>
  </si>
  <si>
    <t>Headspace</t>
  </si>
  <si>
    <t>Health IQ</t>
  </si>
  <si>
    <t>Healthcare.com</t>
  </si>
  <si>
    <t>HealthifyMe</t>
  </si>
  <si>
    <t>HealthMatch</t>
  </si>
  <si>
    <t>Hedvig</t>
  </si>
  <si>
    <t>HelloFresh</t>
  </si>
  <si>
    <t>Help Scout</t>
  </si>
  <si>
    <t>Help.com</t>
  </si>
  <si>
    <t>Her Campus Media</t>
  </si>
  <si>
    <t>Heroes</t>
  </si>
  <si>
    <t>Heycar</t>
  </si>
  <si>
    <t>Hibob</t>
  </si>
  <si>
    <t>HighRadius</t>
  </si>
  <si>
    <t>Highsnobiety</t>
  </si>
  <si>
    <t>Highspot</t>
  </si>
  <si>
    <t>Hipcamp</t>
  </si>
  <si>
    <t>Hippo Insurance</t>
  </si>
  <si>
    <t>Hirect</t>
  </si>
  <si>
    <t>Hired</t>
  </si>
  <si>
    <t>Hireology</t>
  </si>
  <si>
    <t>Hodlnaut</t>
  </si>
  <si>
    <t>Hologram</t>
  </si>
  <si>
    <t>Homebot</t>
  </si>
  <si>
    <t>Homebound</t>
  </si>
  <si>
    <t>HomeLight</t>
  </si>
  <si>
    <t>Homepoint</t>
  </si>
  <si>
    <t>Homeward</t>
  </si>
  <si>
    <t>Homie</t>
  </si>
  <si>
    <t>HOOQ</t>
  </si>
  <si>
    <t>Hootsuite</t>
  </si>
  <si>
    <t>Hopin</t>
  </si>
  <si>
    <t>Hopper</t>
  </si>
  <si>
    <t>HopSkipDrive</t>
  </si>
  <si>
    <t>Horizn Studios</t>
  </si>
  <si>
    <t>Hotmart</t>
  </si>
  <si>
    <t>Belo Horizonte</t>
  </si>
  <si>
    <t>Houzz</t>
  </si>
  <si>
    <t>Hoxhunt</t>
  </si>
  <si>
    <t>HP</t>
  </si>
  <si>
    <t>Huawei</t>
  </si>
  <si>
    <t>Hubba</t>
  </si>
  <si>
    <t>HubHaus</t>
  </si>
  <si>
    <t>Hubilo</t>
  </si>
  <si>
    <t>HubSpot</t>
  </si>
  <si>
    <t>HuffPo</t>
  </si>
  <si>
    <t>HumanForest</t>
  </si>
  <si>
    <t>Humble</t>
  </si>
  <si>
    <t>Humu</t>
  </si>
  <si>
    <t>Hunty</t>
  </si>
  <si>
    <t>Huobi</t>
  </si>
  <si>
    <t>Beijing</t>
  </si>
  <si>
    <t>Hydrow</t>
  </si>
  <si>
    <t>Hyperscience</t>
  </si>
  <si>
    <t>IAM Robotics</t>
  </si>
  <si>
    <t>IBM</t>
  </si>
  <si>
    <t>Ibotta</t>
  </si>
  <si>
    <t>Icertis</t>
  </si>
  <si>
    <t>Icon</t>
  </si>
  <si>
    <t>ID.me</t>
  </si>
  <si>
    <t>Ideoclick</t>
  </si>
  <si>
    <t>iFit</t>
  </si>
  <si>
    <t>Logan</t>
  </si>
  <si>
    <t>Iflix</t>
  </si>
  <si>
    <t>iFood</t>
  </si>
  <si>
    <t>Subsidiary</t>
  </si>
  <si>
    <t>Igenous</t>
  </si>
  <si>
    <t>Ignite</t>
  </si>
  <si>
    <t>Ignition</t>
  </si>
  <si>
    <t>Ike</t>
  </si>
  <si>
    <t>Illumina</t>
  </si>
  <si>
    <t>Immersive Labs</t>
  </si>
  <si>
    <t>Immutable</t>
  </si>
  <si>
    <t>Impact.com</t>
  </si>
  <si>
    <t>Impala</t>
  </si>
  <si>
    <t>Imperfect Foods</t>
  </si>
  <si>
    <t>Impossible Foods</t>
  </si>
  <si>
    <t>Impossible Foods copy</t>
  </si>
  <si>
    <t>Improbable</t>
  </si>
  <si>
    <t>Incredible Health</t>
  </si>
  <si>
    <t>InDebted</t>
  </si>
  <si>
    <t>Indigo</t>
  </si>
  <si>
    <t>Industrious</t>
  </si>
  <si>
    <t>Infarm</t>
  </si>
  <si>
    <t>Influitive</t>
  </si>
  <si>
    <t>InfluxData</t>
  </si>
  <si>
    <t>Infogrid</t>
  </si>
  <si>
    <t>Informatica</t>
  </si>
  <si>
    <t>InfoSum</t>
  </si>
  <si>
    <t>Inmobi</t>
  </si>
  <si>
    <t>Innovaccer</t>
  </si>
  <si>
    <t>Innovid</t>
  </si>
  <si>
    <t>Inscripta</t>
  </si>
  <si>
    <t>Inspectify</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</si>
  <si>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</si>
  <si>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</si>
  <si>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</si>
  <si>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</si>
  <si>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</si>
  <si>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</si>
  <si>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</si>
  <si>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</si>
  <si>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</si>
  <si>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</si>
  <si>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</si>
  <si>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</si>
  <si>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</si>
  <si>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</si>
  <si>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</si>
  <si>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</si>
  <si>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</si>
  <si>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FlorianÃƒÂ³polis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</si>
  <si>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</si>
  <si>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</si>
  <si>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</si>
  <si>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</si>
  <si>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</si>
  <si>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</si>
  <si>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</si>
  <si>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</si>
  <si>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</si>
  <si>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</si>
  <si>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</si>
  <si>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</si>
  <si>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</si>
  <si>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</si>
  <si>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</si>
  <si>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</si>
  <si>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</si>
  <si>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</si>
  <si>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</si>
  <si>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</si>
  <si>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</si>
  <si>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</si>
  <si>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</si>
  <si>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</si>
  <si>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t>
  </si>
  <si>
    <t>Juniper Square</t>
  </si>
  <si>
    <t>Just Eat Takeaway</t>
  </si>
  <si>
    <t>Juul</t>
  </si>
  <si>
    <t>Kabam</t>
  </si>
  <si>
    <t>Kaltura</t>
  </si>
  <si>
    <t>Kandela</t>
  </si>
  <si>
    <t>Kandji</t>
  </si>
  <si>
    <t>Kaodim</t>
  </si>
  <si>
    <t>Selangor</t>
  </si>
  <si>
    <t>Kapten / Free Now</t>
  </si>
  <si>
    <t>Karat</t>
  </si>
  <si>
    <t>Karbon</t>
  </si>
  <si>
    <t>Katerra</t>
  </si>
  <si>
    <t>Kavak</t>
  </si>
  <si>
    <t>Kayak / OpenTable</t>
  </si>
  <si>
    <t>Kazoo</t>
  </si>
  <si>
    <t>Keepe</t>
  </si>
  <si>
    <t>KeepTruckin</t>
  </si>
  <si>
    <t>Kenoby</t>
  </si>
  <si>
    <t>Khoros</t>
  </si>
  <si>
    <t>Kiavi</t>
  </si>
  <si>
    <t>Kickstarter</t>
  </si>
  <si>
    <t>Kinde</t>
  </si>
  <si>
    <t>Kite</t>
  </si>
  <si>
    <t>Kitopi</t>
  </si>
  <si>
    <t>Kitty Hawk</t>
  </si>
  <si>
    <t>KiwiCo</t>
  </si>
  <si>
    <t>Klarna</t>
  </si>
  <si>
    <t>Klook</t>
  </si>
  <si>
    <t>Knock</t>
  </si>
  <si>
    <t>Knotel</t>
  </si>
  <si>
    <t>Kodiak Robotics</t>
  </si>
  <si>
    <t>Kogan</t>
  </si>
  <si>
    <t>Koho</t>
  </si>
  <si>
    <t>Koinly</t>
  </si>
  <si>
    <t>KoinWorks</t>
  </si>
  <si>
    <t>Komodo Health</t>
  </si>
  <si>
    <t>Konfio</t>
  </si>
  <si>
    <t>Kongregate</t>
  </si>
  <si>
    <t>Kontist</t>
  </si>
  <si>
    <t>Koo</t>
  </si>
  <si>
    <t>Kraken</t>
  </si>
  <si>
    <t>Kry</t>
  </si>
  <si>
    <t>Kuda</t>
  </si>
  <si>
    <t>Kueski</t>
  </si>
  <si>
    <t>Guadalajara</t>
  </si>
  <si>
    <t>Kune</t>
  </si>
  <si>
    <t>kununu</t>
  </si>
  <si>
    <t>Kyruus</t>
  </si>
  <si>
    <t>Labelbox</t>
  </si>
  <si>
    <t>Labster</t>
  </si>
  <si>
    <t>Lacework</t>
  </si>
  <si>
    <t>Ladder Life</t>
  </si>
  <si>
    <t>Lam Research</t>
  </si>
  <si>
    <t>Lambda School</t>
  </si>
  <si>
    <t>Landing</t>
  </si>
  <si>
    <t>Birmingham</t>
  </si>
  <si>
    <t>Lantern</t>
  </si>
  <si>
    <t>Lastline</t>
  </si>
  <si>
    <t>Latch</t>
  </si>
  <si>
    <t>Lattice</t>
  </si>
  <si>
    <t>Lawgeex</t>
  </si>
  <si>
    <t>Laybuy</t>
  </si>
  <si>
    <t>Lazerpay</t>
  </si>
  <si>
    <t>Le Tote</t>
  </si>
  <si>
    <t>LEAD</t>
  </si>
  <si>
    <t>LeafLink</t>
  </si>
  <si>
    <t>Leafly</t>
  </si>
  <si>
    <t>League</t>
  </si>
  <si>
    <t>LearnUpon</t>
  </si>
  <si>
    <t>Ledn</t>
  </si>
  <si>
    <t>Legible</t>
  </si>
  <si>
    <t>Lemon</t>
  </si>
  <si>
    <t>Lemonade</t>
  </si>
  <si>
    <t>Lendi</t>
  </si>
  <si>
    <t>Lending Club</t>
  </si>
  <si>
    <t>Lendingkart</t>
  </si>
  <si>
    <t>Ahmedabad</t>
  </si>
  <si>
    <t>LendingTree</t>
  </si>
  <si>
    <t>Charlotte</t>
  </si>
  <si>
    <t>Lendis</t>
  </si>
  <si>
    <t>Lenovo</t>
  </si>
  <si>
    <t>LetsGetChecked</t>
  </si>
  <si>
    <t>Lev</t>
  </si>
  <si>
    <t>Levelset</t>
  </si>
  <si>
    <t>New Orleans</t>
  </si>
  <si>
    <t>Lever</t>
  </si>
  <si>
    <t>Lido</t>
  </si>
  <si>
    <t>Lido Learning</t>
  </si>
  <si>
    <t>Life360</t>
  </si>
  <si>
    <t>Liftoff</t>
  </si>
  <si>
    <t>Lighter Capital</t>
  </si>
  <si>
    <t>Lighthouse Labs</t>
  </si>
  <si>
    <t>Lightico</t>
  </si>
  <si>
    <t>Lightricks</t>
  </si>
  <si>
    <t>Jerusalem</t>
  </si>
  <si>
    <t>Lightspeed Commerce</t>
  </si>
  <si>
    <t>Lime</t>
  </si>
  <si>
    <t>Limeade</t>
  </si>
  <si>
    <t>Limelight</t>
  </si>
  <si>
    <t>LinkedIn</t>
  </si>
  <si>
    <t>Linkfire</t>
  </si>
  <si>
    <t>Linktree</t>
  </si>
  <si>
    <t>Liongard</t>
  </si>
  <si>
    <t>Houston</t>
  </si>
  <si>
    <t>Lithic</t>
  </si>
  <si>
    <t>Liv Up</t>
  </si>
  <si>
    <t>LivePerson</t>
  </si>
  <si>
    <t>LiveRamp</t>
  </si>
  <si>
    <t>LiveTiles</t>
  </si>
  <si>
    <t>LiveVox</t>
  </si>
  <si>
    <t>Livspace</t>
  </si>
  <si>
    <t>Locomation</t>
  </si>
  <si>
    <t>Loft</t>
  </si>
  <si>
    <t>Loftium</t>
  </si>
  <si>
    <t>Loftsmart</t>
  </si>
  <si>
    <t>Loggi</t>
  </si>
  <si>
    <t>Loja Integrada</t>
  </si>
  <si>
    <t>Lokalise</t>
  </si>
  <si>
    <t>Lola</t>
  </si>
  <si>
    <t>Loom</t>
  </si>
  <si>
    <t>Loop</t>
  </si>
  <si>
    <t>Loopio</t>
  </si>
  <si>
    <t>LoopMe</t>
  </si>
  <si>
    <t>Lora DiCarlo</t>
  </si>
  <si>
    <t>Lucid Diagnostics</t>
  </si>
  <si>
    <t>Lucira Health</t>
  </si>
  <si>
    <t>LumenAd</t>
  </si>
  <si>
    <t>Missoula</t>
  </si>
  <si>
    <t>Lumina Networks</t>
  </si>
  <si>
    <t>Lummo</t>
  </si>
  <si>
    <t>Lunchbox</t>
  </si>
  <si>
    <t>Luno</t>
  </si>
  <si>
    <t>Lusha</t>
  </si>
  <si>
    <t>Luxury Presence</t>
  </si>
  <si>
    <t>Lyft</t>
  </si>
  <si>
    <t>Lyric</t>
  </si>
  <si>
    <t>Lyst</t>
  </si>
  <si>
    <t>Lytics</t>
  </si>
  <si>
    <t>M1</t>
  </si>
  <si>
    <t>Made.com</t>
  </si>
  <si>
    <t>Madefire</t>
  </si>
  <si>
    <t>MadeiraMadeira</t>
  </si>
  <si>
    <t>Magic Eden</t>
  </si>
  <si>
    <t>Magic Leap</t>
  </si>
  <si>
    <t>Magicbricks</t>
  </si>
  <si>
    <t>Noida</t>
  </si>
  <si>
    <t>Magnite</t>
  </si>
  <si>
    <t>Mainstreet</t>
  </si>
  <si>
    <t>Make School</t>
  </si>
  <si>
    <t>MakeMyTrip</t>
  </si>
  <si>
    <t>MakerBot</t>
  </si>
  <si>
    <t>Malwarebytes</t>
  </si>
  <si>
    <t>Mapbox</t>
  </si>
  <si>
    <t>Mapify</t>
  </si>
  <si>
    <t>MariaDB</t>
  </si>
  <si>
    <t>Mark43</t>
  </si>
  <si>
    <t>Marketforce</t>
  </si>
  <si>
    <t>Masse</t>
  </si>
  <si>
    <t>MasterClass</t>
  </si>
  <si>
    <t>Match Group</t>
  </si>
  <si>
    <t>Matrixport</t>
  </si>
  <si>
    <t>Matterport</t>
  </si>
  <si>
    <t>Maven</t>
  </si>
  <si>
    <t>Mavenir</t>
  </si>
  <si>
    <t>MaxMilhas</t>
  </si>
  <si>
    <t>McMakler</t>
  </si>
  <si>
    <t>Me Poupe</t>
  </si>
  <si>
    <t>Medallia</t>
  </si>
  <si>
    <t>MediaMath</t>
  </si>
  <si>
    <t>MediBuddy</t>
  </si>
  <si>
    <t>Medium</t>
  </si>
  <si>
    <t>Medly</t>
  </si>
  <si>
    <t>Meero</t>
  </si>
  <si>
    <t>Meesho</t>
  </si>
  <si>
    <t>Megaport</t>
  </si>
  <si>
    <t>Mejuri</t>
  </si>
  <si>
    <t>Melio</t>
  </si>
  <si>
    <t>Memmo</t>
  </si>
  <si>
    <t>Menulog</t>
  </si>
  <si>
    <t>Meow Wolf</t>
  </si>
  <si>
    <t>Merative</t>
  </si>
  <si>
    <t>Mercos</t>
  </si>
  <si>
    <t>MeridianLink</t>
  </si>
  <si>
    <t>MessageBird</t>
  </si>
  <si>
    <t>Messari</t>
  </si>
  <si>
    <t>Meta</t>
  </si>
  <si>
    <t>Metaplex</t>
  </si>
  <si>
    <t>Metigy</t>
  </si>
  <si>
    <t>Metromile</t>
  </si>
  <si>
    <t>Mews</t>
  </si>
  <si>
    <t>Prague</t>
  </si>
  <si>
    <t>Czech Republic</t>
  </si>
  <si>
    <t>MFine</t>
  </si>
  <si>
    <t>Microsoft</t>
  </si>
  <si>
    <t>Migo</t>
  </si>
  <si>
    <t>Milkrun</t>
  </si>
  <si>
    <t>MindBody</t>
  </si>
  <si>
    <t>San Luis Obispo</t>
  </si>
  <si>
    <t>Mindgeek</t>
  </si>
  <si>
    <t>Luxembourg</t>
  </si>
  <si>
    <t>Mindstrong</t>
  </si>
  <si>
    <t>Minted</t>
  </si>
  <si>
    <t>Minute Media</t>
  </si>
  <si>
    <t>Miro</t>
  </si>
  <si>
    <t>Misfits Market</t>
  </si>
  <si>
    <t>MissFresh</t>
  </si>
  <si>
    <t>Mixpanel</t>
  </si>
  <si>
    <t>Mobile Premier League</t>
  </si>
  <si>
    <t>Mode Analytics</t>
  </si>
  <si>
    <t>Mode Global</t>
  </si>
  <si>
    <t>Modern Treasury</t>
  </si>
  <si>
    <t>Modsy</t>
  </si>
  <si>
    <t>Moglix</t>
  </si>
  <si>
    <t>Mogo</t>
  </si>
  <si>
    <t>Mojo Vision</t>
  </si>
  <si>
    <t>Moladin</t>
  </si>
  <si>
    <t>Momentive</t>
  </si>
  <si>
    <t>Monese</t>
  </si>
  <si>
    <t>Lisbon</t>
  </si>
  <si>
    <t>Monzo</t>
  </si>
  <si>
    <t>Las Vegas</t>
  </si>
  <si>
    <t>Moove</t>
  </si>
  <si>
    <t>Moovel</t>
  </si>
  <si>
    <t>Morning Brew</t>
  </si>
  <si>
    <t>Morning Consult</t>
  </si>
  <si>
    <t>Moss</t>
  </si>
  <si>
    <t>Motif Foodworks</t>
  </si>
  <si>
    <t>Motif Investing</t>
  </si>
  <si>
    <t>Motional</t>
  </si>
  <si>
    <t>Motive</t>
  </si>
  <si>
    <t>Movidesk</t>
  </si>
  <si>
    <t>Mozilla</t>
  </si>
  <si>
    <t>Mr. Yum</t>
  </si>
  <si>
    <t>Mudafy</t>
  </si>
  <si>
    <t>Mural</t>
  </si>
  <si>
    <t>Mux</t>
  </si>
  <si>
    <t>MX</t>
  </si>
  <si>
    <t>Lehi</t>
  </si>
  <si>
    <t>MyGate</t>
  </si>
  <si>
    <t>Mythical Games</t>
  </si>
  <si>
    <t>N-able Technologies</t>
  </si>
  <si>
    <t>N26</t>
  </si>
  <si>
    <t>Namely</t>
  </si>
  <si>
    <t>Namogoo</t>
  </si>
  <si>
    <t>NanoString</t>
  </si>
  <si>
    <t>Nate</t>
  </si>
  <si>
    <t>Natera</t>
  </si>
  <si>
    <t>National Instruments</t>
  </si>
  <si>
    <t>Nativo</t>
  </si>
  <si>
    <t>Nav</t>
  </si>
  <si>
    <t>Navi</t>
  </si>
  <si>
    <t>NCC Group</t>
  </si>
  <si>
    <t>Manchester</t>
  </si>
  <si>
    <t>nCino</t>
  </si>
  <si>
    <t>Wilmington</t>
  </si>
  <si>
    <t>NCSoft</t>
  </si>
  <si>
    <t>NCX</t>
  </si>
  <si>
    <t>Nearmap</t>
  </si>
  <si>
    <t>Neon</t>
  </si>
  <si>
    <t>Nerdy</t>
  </si>
  <si>
    <t>Nestcoin</t>
  </si>
  <si>
    <t>NetApp</t>
  </si>
  <si>
    <t>Netflix</t>
  </si>
  <si>
    <t>Netlify</t>
  </si>
  <si>
    <t>New Relic</t>
  </si>
  <si>
    <t>Newfront Insurance</t>
  </si>
  <si>
    <t>Next Insurance</t>
  </si>
  <si>
    <t>Nextbite</t>
  </si>
  <si>
    <t>Nextiva</t>
  </si>
  <si>
    <t>NextRoll</t>
  </si>
  <si>
    <t>Niantic</t>
  </si>
  <si>
    <t>Ninjacart</t>
  </si>
  <si>
    <t>Nirvana Money</t>
  </si>
  <si>
    <t>Nomad</t>
  </si>
  <si>
    <t>Nomad Health</t>
  </si>
  <si>
    <t>Noom</t>
  </si>
  <si>
    <t>Notarize</t>
  </si>
  <si>
    <t>Nova Benefits</t>
  </si>
  <si>
    <t>NS8</t>
  </si>
  <si>
    <t>NSO</t>
  </si>
  <si>
    <t>Numbrs</t>
  </si>
  <si>
    <t>Zurich</t>
  </si>
  <si>
    <t>Switzerland</t>
  </si>
  <si>
    <t>NuoDB</t>
  </si>
  <si>
    <t>Nuri</t>
  </si>
  <si>
    <t>Nuro</t>
  </si>
  <si>
    <t>Nutanix</t>
  </si>
  <si>
    <t>NYDIG</t>
  </si>
  <si>
    <t>Nylas</t>
  </si>
  <si>
    <t>Nyriad</t>
  </si>
  <si>
    <t>O'Reilly Media</t>
  </si>
  <si>
    <t>Oatly</t>
  </si>
  <si>
    <t>MalmÃƒÂ¶</t>
  </si>
  <si>
    <t>Observe.AI</t>
  </si>
  <si>
    <t>Ocavu</t>
  </si>
  <si>
    <t>Octopus Network</t>
  </si>
  <si>
    <t>Beau Vallon</t>
  </si>
  <si>
    <t>Oda</t>
  </si>
  <si>
    <t>Oslo</t>
  </si>
  <si>
    <t>Norway</t>
  </si>
  <si>
    <t>Offerpad</t>
  </si>
  <si>
    <t>OfferUp</t>
  </si>
  <si>
    <t>OFFOR Health</t>
  </si>
  <si>
    <t>Oh My Green</t>
  </si>
  <si>
    <t>OKCredit</t>
  </si>
  <si>
    <t>Okta</t>
  </si>
  <si>
    <t>Ola</t>
  </si>
  <si>
    <t>Series J</t>
  </si>
  <si>
    <t>Olist</t>
  </si>
  <si>
    <t>Olive</t>
  </si>
  <si>
    <t>Olive AI</t>
  </si>
  <si>
    <t>OLX Group</t>
  </si>
  <si>
    <t>OLX India</t>
  </si>
  <si>
    <t>Omie</t>
  </si>
  <si>
    <t>Omnipresent</t>
  </si>
  <si>
    <t>On Deck</t>
  </si>
  <si>
    <t>OnDeck</t>
  </si>
  <si>
    <t>OneFootball</t>
  </si>
  <si>
    <t>OneStudyTeam</t>
  </si>
  <si>
    <t>OneTrust</t>
  </si>
  <si>
    <t>OneWeb</t>
  </si>
  <si>
    <t>OnlyFans</t>
  </si>
  <si>
    <t>Opal</t>
  </si>
  <si>
    <t>OPay</t>
  </si>
  <si>
    <t>Open Co</t>
  </si>
  <si>
    <t>Opencare</t>
  </si>
  <si>
    <t>Opendoor</t>
  </si>
  <si>
    <t>Openpay</t>
  </si>
  <si>
    <t>OpenSea</t>
  </si>
  <si>
    <t>OpenText</t>
  </si>
  <si>
    <t>OpenWeb</t>
  </si>
  <si>
    <t>OpenX</t>
  </si>
  <si>
    <t>Oportun</t>
  </si>
  <si>
    <t>Optimizely</t>
  </si>
  <si>
    <t>Oracle</t>
  </si>
  <si>
    <t>Orbit</t>
  </si>
  <si>
    <t>OrCam</t>
  </si>
  <si>
    <t>Orchard</t>
  </si>
  <si>
    <t>Oriente</t>
  </si>
  <si>
    <t>Oscar Health</t>
  </si>
  <si>
    <t>Otonomo</t>
  </si>
  <si>
    <t>Ouster</t>
  </si>
  <si>
    <t>OutboundEngine</t>
  </si>
  <si>
    <t>Outbrain</t>
  </si>
  <si>
    <t>Outdoorsy</t>
  </si>
  <si>
    <t>Outreach</t>
  </si>
  <si>
    <t>Outschool</t>
  </si>
  <si>
    <t>Outside</t>
  </si>
  <si>
    <t>Overtime</t>
  </si>
  <si>
    <t>Owlet</t>
  </si>
  <si>
    <t>OwnBackup</t>
  </si>
  <si>
    <t>Oye Rickshaw</t>
  </si>
  <si>
    <t>OYO</t>
  </si>
  <si>
    <t>Oyster</t>
  </si>
  <si>
    <t>Ozy Media</t>
  </si>
  <si>
    <t>Pacaso</t>
  </si>
  <si>
    <t>Packable</t>
  </si>
  <si>
    <t>PACT Pharma</t>
  </si>
  <si>
    <t>Paddle</t>
  </si>
  <si>
    <t>Pagarbook</t>
  </si>
  <si>
    <t>Pagaya</t>
  </si>
  <si>
    <t>PagBank</t>
  </si>
  <si>
    <t>PagerDuty</t>
  </si>
  <si>
    <t>PagSeguro</t>
  </si>
  <si>
    <t>PaisaBazaar</t>
  </si>
  <si>
    <t>Palantir</t>
  </si>
  <si>
    <t>Pana</t>
  </si>
  <si>
    <t>Panda Squad</t>
  </si>
  <si>
    <t>Papa</t>
  </si>
  <si>
    <t>Parallel Wireless</t>
  </si>
  <si>
    <t>Nashua</t>
  </si>
  <si>
    <t>Pared</t>
  </si>
  <si>
    <t>Parler</t>
  </si>
  <si>
    <t>Parsable</t>
  </si>
  <si>
    <t>PartnerStack</t>
  </si>
  <si>
    <t>Passport</t>
  </si>
  <si>
    <t>Pastel</t>
  </si>
  <si>
    <t>PatientPop</t>
  </si>
  <si>
    <t>Patreon</t>
  </si>
  <si>
    <t>Pavilion Data</t>
  </si>
  <si>
    <t>Payfactors</t>
  </si>
  <si>
    <t>PayFit</t>
  </si>
  <si>
    <t>PayJoy</t>
  </si>
  <si>
    <t>PayPal</t>
  </si>
  <si>
    <t>PaySense</t>
  </si>
  <si>
    <t>Paytm</t>
  </si>
  <si>
    <t>PayU</t>
  </si>
  <si>
    <t>Pear Therapeutics</t>
  </si>
  <si>
    <t>Pebblepost</t>
  </si>
  <si>
    <t>Pecan AI</t>
  </si>
  <si>
    <t>Peek</t>
  </si>
  <si>
    <t>Peerfit</t>
  </si>
  <si>
    <t>Tampa Bay</t>
  </si>
  <si>
    <t>Peerspace</t>
  </si>
  <si>
    <t>PeerStreet</t>
  </si>
  <si>
    <t>Pegasystems</t>
  </si>
  <si>
    <t>Peloton</t>
  </si>
  <si>
    <t>Pendo</t>
  </si>
  <si>
    <t>People.ai</t>
  </si>
  <si>
    <t>PeopleGrove</t>
  </si>
  <si>
    <t>Perceptive Automata</t>
  </si>
  <si>
    <t>Perimeter 81</t>
  </si>
  <si>
    <t>Perion</t>
  </si>
  <si>
    <t>Perkbox</t>
  </si>
  <si>
    <t>PerkSpot</t>
  </si>
  <si>
    <t>Permutive</t>
  </si>
  <si>
    <t>Personalis</t>
  </si>
  <si>
    <t>Personetics</t>
  </si>
  <si>
    <t>Perx Health</t>
  </si>
  <si>
    <t>Pesto</t>
  </si>
  <si>
    <t>Petal</t>
  </si>
  <si>
    <t>PetLove</t>
  </si>
  <si>
    <t>PhableCare</t>
  </si>
  <si>
    <t>PharmEasy</t>
  </si>
  <si>
    <t>Philips</t>
  </si>
  <si>
    <t>PickYourTrail</t>
  </si>
  <si>
    <t>Picnic</t>
  </si>
  <si>
    <t>Pico Interactive</t>
  </si>
  <si>
    <t>PicoBrew</t>
  </si>
  <si>
    <t>Picsart</t>
  </si>
  <si>
    <t>Pier</t>
  </si>
  <si>
    <t>Pinterest</t>
  </si>
  <si>
    <t>Pipedrive</t>
  </si>
  <si>
    <t>Tallinn</t>
  </si>
  <si>
    <t>Estonia</t>
  </si>
  <si>
    <t>Pipl</t>
  </si>
  <si>
    <t>Spokane</t>
  </si>
  <si>
    <t>Pitch</t>
  </si>
  <si>
    <t>Pivot3</t>
  </si>
  <si>
    <t>Pix</t>
  </si>
  <si>
    <t>Plaid</t>
  </si>
  <si>
    <t>Planetly</t>
  </si>
  <si>
    <t>Plato</t>
  </si>
  <si>
    <t>Playdots</t>
  </si>
  <si>
    <t>Playtika</t>
  </si>
  <si>
    <t>Pleo</t>
  </si>
  <si>
    <t>Plerk</t>
  </si>
  <si>
    <t>Pliops</t>
  </si>
  <si>
    <t>Plum</t>
  </si>
  <si>
    <t>Pluralsight</t>
  </si>
  <si>
    <t>Plus One Robotics</t>
  </si>
  <si>
    <t>San Antonio</t>
  </si>
  <si>
    <t>Pocket Aces</t>
  </si>
  <si>
    <t>Pocketmath</t>
  </si>
  <si>
    <t>Podium</t>
  </si>
  <si>
    <t>Polarr</t>
  </si>
  <si>
    <t>PolicyGenius</t>
  </si>
  <si>
    <t>Politico / Protocol</t>
  </si>
  <si>
    <t>Pollen</t>
  </si>
  <si>
    <t>Polly</t>
  </si>
  <si>
    <t>Burlington</t>
  </si>
  <si>
    <t>Polygon</t>
  </si>
  <si>
    <t>Pomelo Fashion</t>
  </si>
  <si>
    <t>Bangkok</t>
  </si>
  <si>
    <t>Thailand</t>
  </si>
  <si>
    <t>Popin</t>
  </si>
  <si>
    <t>Poshmark</t>
  </si>
  <si>
    <t>Postmates</t>
  </si>
  <si>
    <t>Postscript</t>
  </si>
  <si>
    <t>PowerReviews</t>
  </si>
  <si>
    <t>Practically</t>
  </si>
  <si>
    <t>Hyderabad</t>
  </si>
  <si>
    <t>Preply</t>
  </si>
  <si>
    <t>Prime Trust</t>
  </si>
  <si>
    <t>Primer</t>
  </si>
  <si>
    <t>Prisma</t>
  </si>
  <si>
    <t>Privitar</t>
  </si>
  <si>
    <t>Procore</t>
  </si>
  <si>
    <t>Productboard</t>
  </si>
  <si>
    <t>Project44</t>
  </si>
  <si>
    <t>Properly</t>
  </si>
  <si>
    <t>Propzy</t>
  </si>
  <si>
    <t>Ho Chi Minh City</t>
  </si>
  <si>
    <t>Vietnam</t>
  </si>
  <si>
    <t>Prosus</t>
  </si>
  <si>
    <t>Protego Trust Bank</t>
  </si>
  <si>
    <t>Proterra</t>
  </si>
  <si>
    <t>Protocol</t>
  </si>
  <si>
    <t>Protocol Labs</t>
  </si>
  <si>
    <t>Proton.ai</t>
  </si>
  <si>
    <t>Provi</t>
  </si>
  <si>
    <t>PuduTech</t>
  </si>
  <si>
    <t>Pulse Secure</t>
  </si>
  <si>
    <t>Puppet</t>
  </si>
  <si>
    <t>Purse</t>
  </si>
  <si>
    <t>Q4</t>
  </si>
  <si>
    <t>Qin1</t>
  </si>
  <si>
    <t>Qualcomm</t>
  </si>
  <si>
    <t>Qualtrics</t>
  </si>
  <si>
    <t>Quandoo</t>
  </si>
  <si>
    <t>Quanergy Systems</t>
  </si>
  <si>
    <t>Quantcast</t>
  </si>
  <si>
    <t>Quanterix</t>
  </si>
  <si>
    <t>Quanto</t>
  </si>
  <si>
    <t>Quantum SI</t>
  </si>
  <si>
    <t>Quartz</t>
  </si>
  <si>
    <t>Quibi</t>
  </si>
  <si>
    <t>Quicko</t>
  </si>
  <si>
    <t>Quidax</t>
  </si>
  <si>
    <t>Quillt</t>
  </si>
  <si>
    <t>QuintoAndar</t>
  </si>
  <si>
    <t>Qumulo</t>
  </si>
  <si>
    <t>Quora</t>
  </si>
  <si>
    <t>Qwick</t>
  </si>
  <si>
    <t>Rad Power Bikes</t>
  </si>
  <si>
    <t>Rain</t>
  </si>
  <si>
    <t>Manama</t>
  </si>
  <si>
    <t>Bahrain</t>
  </si>
  <si>
    <t>RainFocus</t>
  </si>
  <si>
    <t>Raken</t>
  </si>
  <si>
    <t>Rangle</t>
  </si>
  <si>
    <t>Rappi</t>
  </si>
  <si>
    <t>Rapyd</t>
  </si>
  <si>
    <t>Rasa</t>
  </si>
  <si>
    <t>RateGenius</t>
  </si>
  <si>
    <t>Reach</t>
  </si>
  <si>
    <t>Reali</t>
  </si>
  <si>
    <t>RealSelf</t>
  </si>
  <si>
    <t>Realtor.com</t>
  </si>
  <si>
    <t>Rebel Foods</t>
  </si>
  <si>
    <t>Recharge</t>
  </si>
  <si>
    <t>Recur Forever</t>
  </si>
  <si>
    <t>Redbubble</t>
  </si>
  <si>
    <t>RedDoorz</t>
  </si>
  <si>
    <t>Redesign Health</t>
  </si>
  <si>
    <t>Redfin</t>
  </si>
  <si>
    <t>Redox</t>
  </si>
  <si>
    <t>Madison</t>
  </si>
  <si>
    <t>REE Automotive</t>
  </si>
  <si>
    <t>Reef</t>
  </si>
  <si>
    <t>Reforge</t>
  </si>
  <si>
    <t>Relativity</t>
  </si>
  <si>
    <t>Relevel</t>
  </si>
  <si>
    <t>Religion of Sports</t>
  </si>
  <si>
    <t>Remedy</t>
  </si>
  <si>
    <t>Remesh</t>
  </si>
  <si>
    <t>Remote</t>
  </si>
  <si>
    <t>Remote Year</t>
  </si>
  <si>
    <t>Renmoney</t>
  </si>
  <si>
    <t>RenoRun</t>
  </si>
  <si>
    <t>Rent the Runway</t>
  </si>
  <si>
    <t>Repertoire Immune Medicines</t>
  </si>
  <si>
    <t>Replicated</t>
  </si>
  <si>
    <t>ResearchGate</t>
  </si>
  <si>
    <t>Reserve</t>
  </si>
  <si>
    <t>Restaurant365</t>
  </si>
  <si>
    <t>Rev.com</t>
  </si>
  <si>
    <t>Revelate</t>
  </si>
  <si>
    <t>Revolut</t>
  </si>
  <si>
    <t>Rhino</t>
  </si>
  <si>
    <t>Rhumbix</t>
  </si>
  <si>
    <t>Ribbon</t>
  </si>
  <si>
    <t>Ridecell</t>
  </si>
  <si>
    <t>Rigetti Computing</t>
  </si>
  <si>
    <t>RigUp</t>
  </si>
  <si>
    <t>RingCentral</t>
  </si>
  <si>
    <t>Riot Games</t>
  </si>
  <si>
    <t>Ritual</t>
  </si>
  <si>
    <t>Rivian</t>
  </si>
  <si>
    <t>Ro</t>
  </si>
  <si>
    <t>Robinhood</t>
  </si>
  <si>
    <t>Rock Content</t>
  </si>
  <si>
    <t>Roku</t>
  </si>
  <si>
    <t>Roofstock</t>
  </si>
  <si>
    <t>Root Insurance</t>
  </si>
  <si>
    <t>Route</t>
  </si>
  <si>
    <t>Rover</t>
  </si>
  <si>
    <t>Rows</t>
  </si>
  <si>
    <t>Ruangguru</t>
  </si>
  <si>
    <t>Rubica</t>
  </si>
  <si>
    <t>Rubicon Project</t>
  </si>
  <si>
    <t>Rubicon Technologies</t>
  </si>
  <si>
    <t>Lexington</t>
  </si>
  <si>
    <t>Rubius</t>
  </si>
  <si>
    <t>Rubrik</t>
  </si>
  <si>
    <t>Ruggable</t>
  </si>
  <si>
    <t>Rupeek</t>
  </si>
  <si>
    <t>SADA</t>
  </si>
  <si>
    <t>SafeGraph</t>
  </si>
  <si>
    <t>Sage Therapeutics</t>
  </si>
  <si>
    <t>Saks.com</t>
  </si>
  <si>
    <t>Sales Boomerang</t>
  </si>
  <si>
    <t>Salesforce</t>
  </si>
  <si>
    <t>SalesLoft</t>
  </si>
  <si>
    <t>Salesloft</t>
  </si>
  <si>
    <t>Salsify</t>
  </si>
  <si>
    <t>Sama</t>
  </si>
  <si>
    <t>Sami</t>
  </si>
  <si>
    <t>Samsara</t>
  </si>
  <si>
    <t>Sana</t>
  </si>
  <si>
    <t>Sana Benefits</t>
  </si>
  <si>
    <t>Sanar</t>
  </si>
  <si>
    <t>Sandbox VR</t>
  </si>
  <si>
    <t>SAP</t>
  </si>
  <si>
    <t>Walldorf</t>
  </si>
  <si>
    <t>SAP Labs</t>
  </si>
  <si>
    <t>Sauce Labs</t>
  </si>
  <si>
    <t>Sayurbox</t>
  </si>
  <si>
    <t>Scale AI</t>
  </si>
  <si>
    <t>ScaleFactor</t>
  </si>
  <si>
    <t>ScaleFocus</t>
  </si>
  <si>
    <t>Sofia</t>
  </si>
  <si>
    <t>Bulgaria</t>
  </si>
  <si>
    <t>Science 37</t>
  </si>
  <si>
    <t>Scoop</t>
  </si>
  <si>
    <t>Scoro</t>
  </si>
  <si>
    <t>Sea</t>
  </si>
  <si>
    <t>Secfi</t>
  </si>
  <si>
    <t>Section4</t>
  </si>
  <si>
    <t>SecureWorks</t>
  </si>
  <si>
    <t>Seegrid</t>
  </si>
  <si>
    <t>Segment</t>
  </si>
  <si>
    <t>SellerX</t>
  </si>
  <si>
    <t>Sema4</t>
  </si>
  <si>
    <t>SEND</t>
  </si>
  <si>
    <t>SendCloud</t>
  </si>
  <si>
    <t>Eindhoven</t>
  </si>
  <si>
    <t>Sendle</t>
  </si>
  <si>
    <t>Sendoso</t>
  </si>
  <si>
    <t>Sendy</t>
  </si>
  <si>
    <t>Sensibill</t>
  </si>
  <si>
    <t>Service</t>
  </si>
  <si>
    <t>ServiceTitan</t>
  </si>
  <si>
    <t>Sezzle</t>
  </si>
  <si>
    <t>Shakepay</t>
  </si>
  <si>
    <t>Share Now</t>
  </si>
  <si>
    <t>ShareChat</t>
  </si>
  <si>
    <t>Sharethrough</t>
  </si>
  <si>
    <t>Shef</t>
  </si>
  <si>
    <t>Shelf Engine</t>
  </si>
  <si>
    <t>Sherpa</t>
  </si>
  <si>
    <t>Shift</t>
  </si>
  <si>
    <t>ShipBob</t>
  </si>
  <si>
    <t>Shippo</t>
  </si>
  <si>
    <t>Shipsi</t>
  </si>
  <si>
    <t>Shogun</t>
  </si>
  <si>
    <t>Shop101</t>
  </si>
  <si>
    <t>Shopee</t>
  </si>
  <si>
    <t>Shopify</t>
  </si>
  <si>
    <t>Ottawa</t>
  </si>
  <si>
    <t>ShopX</t>
  </si>
  <si>
    <t>Showpad</t>
  </si>
  <si>
    <t>Shutterfly</t>
  </si>
  <si>
    <t>Shuttl</t>
  </si>
  <si>
    <t>Side</t>
  </si>
  <si>
    <t>Sidecar Health</t>
  </si>
  <si>
    <t>Sift</t>
  </si>
  <si>
    <t>Sigfox</t>
  </si>
  <si>
    <t>Toulouse</t>
  </si>
  <si>
    <t>Signicat</t>
  </si>
  <si>
    <t>Trondheim</t>
  </si>
  <si>
    <t>SimilarWeb</t>
  </si>
  <si>
    <t>Simon Data</t>
  </si>
  <si>
    <t>Simple</t>
  </si>
  <si>
    <t>Simple Feast</t>
  </si>
  <si>
    <t>Sinch</t>
  </si>
  <si>
    <t>Singular</t>
  </si>
  <si>
    <t>SIRCLO</t>
  </si>
  <si>
    <t>SirionLabs</t>
  </si>
  <si>
    <t>SiriusXM</t>
  </si>
  <si>
    <t>Sisense</t>
  </si>
  <si>
    <t>Siteimprove</t>
  </si>
  <si>
    <t>Skai</t>
  </si>
  <si>
    <t>Skedulo</t>
  </si>
  <si>
    <t>Sketch</t>
  </si>
  <si>
    <t>The Hague</t>
  </si>
  <si>
    <t>Skillshare</t>
  </si>
  <si>
    <t>Skillz</t>
  </si>
  <si>
    <t>SkipTheDishes</t>
  </si>
  <si>
    <t>Winnipeg</t>
  </si>
  <si>
    <t>Skit.ai</t>
  </si>
  <si>
    <t>Skyscanner</t>
  </si>
  <si>
    <t>Edinburgh</t>
  </si>
  <si>
    <t>SkySlope</t>
  </si>
  <si>
    <t>Slice Labs</t>
  </si>
  <si>
    <t>Slync</t>
  </si>
  <si>
    <t>Smarsh</t>
  </si>
  <si>
    <t>SmartNews</t>
  </si>
  <si>
    <t>Smartsheet</t>
  </si>
  <si>
    <t>Smava</t>
  </si>
  <si>
    <t>Snagajob</t>
  </si>
  <si>
    <t>Richmond</t>
  </si>
  <si>
    <t>Snap</t>
  </si>
  <si>
    <t>Snap Finance</t>
  </si>
  <si>
    <t>Snapdocs</t>
  </si>
  <si>
    <t>Snappy</t>
  </si>
  <si>
    <t>Snaptravel</t>
  </si>
  <si>
    <t>Snowplow</t>
  </si>
  <si>
    <t>Snyk</t>
  </si>
  <si>
    <t>Socure</t>
  </si>
  <si>
    <t>SoFi</t>
  </si>
  <si>
    <t>Software AG</t>
  </si>
  <si>
    <t>Frankfurt</t>
  </si>
  <si>
    <t>Sojern</t>
  </si>
  <si>
    <t>Solarisbank</t>
  </si>
  <si>
    <t>Soluto</t>
  </si>
  <si>
    <t>Sonder</t>
  </si>
  <si>
    <t>SonderMind</t>
  </si>
  <si>
    <t>Sono Motors</t>
  </si>
  <si>
    <t>Sonos</t>
  </si>
  <si>
    <t>Sophos</t>
  </si>
  <si>
    <t>Oxford</t>
  </si>
  <si>
    <t>Sorabel</t>
  </si>
  <si>
    <t>SoundCloud</t>
  </si>
  <si>
    <t>SoundHound</t>
  </si>
  <si>
    <t>Sourcegraph</t>
  </si>
  <si>
    <t>Spaces</t>
  </si>
  <si>
    <t>Spaceship</t>
  </si>
  <si>
    <t>Spin</t>
  </si>
  <si>
    <t>Splice</t>
  </si>
  <si>
    <t>Splunk</t>
  </si>
  <si>
    <t>Splyt</t>
  </si>
  <si>
    <t>SpotHero</t>
  </si>
  <si>
    <t>Spotify</t>
  </si>
  <si>
    <t>Spreetail</t>
  </si>
  <si>
    <t>Spring</t>
  </si>
  <si>
    <t>Springbig</t>
  </si>
  <si>
    <t>Springlane</t>
  </si>
  <si>
    <t>DÃƒÂ¼sseldorf</t>
  </si>
  <si>
    <t>Sprinklr</t>
  </si>
  <si>
    <t>Spyce</t>
  </si>
  <si>
    <t>SQream</t>
  </si>
  <si>
    <t>SquadVoice</t>
  </si>
  <si>
    <t>SQZ Biotech</t>
  </si>
  <si>
    <t>SSense</t>
  </si>
  <si>
    <t>Stack Overflow</t>
  </si>
  <si>
    <t>Starry</t>
  </si>
  <si>
    <t>Starship</t>
  </si>
  <si>
    <t>Starship Technologies</t>
  </si>
  <si>
    <t>Stash</t>
  </si>
  <si>
    <t>Stash Financial</t>
  </si>
  <si>
    <t>Stashaway</t>
  </si>
  <si>
    <t>Stax</t>
  </si>
  <si>
    <t>Orlando</t>
  </si>
  <si>
    <t>Stay Alfred</t>
  </si>
  <si>
    <t>Stedi</t>
  </si>
  <si>
    <t>Stint</t>
  </si>
  <si>
    <t>Stitch Fix</t>
  </si>
  <si>
    <t>Stockwell AI</t>
  </si>
  <si>
    <t>StockX</t>
  </si>
  <si>
    <t>Stone</t>
  </si>
  <si>
    <t>Stoqo</t>
  </si>
  <si>
    <t>Stord</t>
  </si>
  <si>
    <t>StoryBlocks</t>
  </si>
  <si>
    <t>Storytel</t>
  </si>
  <si>
    <t>Strava</t>
  </si>
  <si>
    <t>Stream</t>
  </si>
  <si>
    <t>StreamElements</t>
  </si>
  <si>
    <t>StreamSets</t>
  </si>
  <si>
    <t>StreetBees</t>
  </si>
  <si>
    <t>Stripe</t>
  </si>
  <si>
    <t>StrongDM</t>
  </si>
  <si>
    <t>StubHub</t>
  </si>
  <si>
    <t>Studio</t>
  </si>
  <si>
    <t>StudySmarter</t>
  </si>
  <si>
    <t>StyleSeat</t>
  </si>
  <si>
    <t>Stytch</t>
  </si>
  <si>
    <t>Submittable</t>
  </si>
  <si>
    <t>Subspace</t>
  </si>
  <si>
    <t>Substack</t>
  </si>
  <si>
    <t>SummerBio</t>
  </si>
  <si>
    <t>SumUp</t>
  </si>
  <si>
    <t>Sundae</t>
  </si>
  <si>
    <t>Sunday</t>
  </si>
  <si>
    <t>SundaySky</t>
  </si>
  <si>
    <t>Superhuman</t>
  </si>
  <si>
    <t>SuperLearn</t>
  </si>
  <si>
    <t>Superloop</t>
  </si>
  <si>
    <t>Superpedestrian</t>
  </si>
  <si>
    <t>SuperRare</t>
  </si>
  <si>
    <t>Swappie</t>
  </si>
  <si>
    <t>SweetEscape</t>
  </si>
  <si>
    <t>Sweetgreen</t>
  </si>
  <si>
    <t>Swiggy</t>
  </si>
  <si>
    <t>Swing Education</t>
  </si>
  <si>
    <t>SWVL</t>
  </si>
  <si>
    <t>Swyft</t>
  </si>
  <si>
    <t>Swyftx</t>
  </si>
  <si>
    <t>Symend</t>
  </si>
  <si>
    <t>Synamedia</t>
  </si>
  <si>
    <t>SynapseFI</t>
  </si>
  <si>
    <t>Synapsica</t>
  </si>
  <si>
    <t>Synergysuite</t>
  </si>
  <si>
    <t>Synlogic</t>
  </si>
  <si>
    <t>Synopsys</t>
  </si>
  <si>
    <t>Synthego</t>
  </si>
  <si>
    <t>Syte</t>
  </si>
  <si>
    <t>Taboola</t>
  </si>
  <si>
    <t>Tackle</t>
  </si>
  <si>
    <t>Boise</t>
  </si>
  <si>
    <t>Takl</t>
  </si>
  <si>
    <t>Talis Biomedical</t>
  </si>
  <si>
    <t>Talkdesk</t>
  </si>
  <si>
    <t>Talkwalker</t>
  </si>
  <si>
    <t>Tally</t>
  </si>
  <si>
    <t>Tamara Mellon</t>
  </si>
  <si>
    <t>Tanium</t>
  </si>
  <si>
    <t>Tapas Media</t>
  </si>
  <si>
    <t>Tapps Games</t>
  </si>
  <si>
    <t>TaskUs</t>
  </si>
  <si>
    <t>TaxBit</t>
  </si>
  <si>
    <t>TCR2</t>
  </si>
  <si>
    <t>Teachmint</t>
  </si>
  <si>
    <t>TealBook</t>
  </si>
  <si>
    <t>Teamwork</t>
  </si>
  <si>
    <t>Cork</t>
  </si>
  <si>
    <t>TechAdvance</t>
  </si>
  <si>
    <t>TechTarget</t>
  </si>
  <si>
    <t>Teladoc Health</t>
  </si>
  <si>
    <t>Teleport</t>
  </si>
  <si>
    <t>Tempo</t>
  </si>
  <si>
    <t>Tempo Automation</t>
  </si>
  <si>
    <t>Tempus Ex</t>
  </si>
  <si>
    <t>Tencent</t>
  </si>
  <si>
    <t>TenureX</t>
  </si>
  <si>
    <t>Terminus</t>
  </si>
  <si>
    <t>Tesla</t>
  </si>
  <si>
    <t>Textio</t>
  </si>
  <si>
    <t>TextNow</t>
  </si>
  <si>
    <t>The Appraisal Lane</t>
  </si>
  <si>
    <t>Montevideo</t>
  </si>
  <si>
    <t>Uruguay</t>
  </si>
  <si>
    <t>The Athletic</t>
  </si>
  <si>
    <t>The Grommet</t>
  </si>
  <si>
    <t>The Guild</t>
  </si>
  <si>
    <t>The Iconic</t>
  </si>
  <si>
    <t>The Modist</t>
  </si>
  <si>
    <t>The Mom Project</t>
  </si>
  <si>
    <t>The Muse</t>
  </si>
  <si>
    <t>The Org</t>
  </si>
  <si>
    <t>The Predictive Index</t>
  </si>
  <si>
    <t>The RealReal</t>
  </si>
  <si>
    <t>The Sill</t>
  </si>
  <si>
    <t>The Wing</t>
  </si>
  <si>
    <t>The Zebra</t>
  </si>
  <si>
    <t>TheSkimm</t>
  </si>
  <si>
    <t>TheWrap</t>
  </si>
  <si>
    <t>Thimble</t>
  </si>
  <si>
    <t>Thinkific</t>
  </si>
  <si>
    <t>ThirdLove</t>
  </si>
  <si>
    <t>Thirty Madison</t>
  </si>
  <si>
    <t>ThoughtSpot</t>
  </si>
  <si>
    <t>Thoughtworks</t>
  </si>
  <si>
    <t>Thrasio</t>
  </si>
  <si>
    <t>Thread</t>
  </si>
  <si>
    <t>ThredUp</t>
  </si>
  <si>
    <t>Thriver</t>
  </si>
  <si>
    <t>Thumbtack</t>
  </si>
  <si>
    <t>Tidepool</t>
  </si>
  <si>
    <t>Tiendanube</t>
  </si>
  <si>
    <t>Tier Mobility</t>
  </si>
  <si>
    <t>TIFIN</t>
  </si>
  <si>
    <t>TikTok</t>
  </si>
  <si>
    <t>TikTok India</t>
  </si>
  <si>
    <t>Till Payments</t>
  </si>
  <si>
    <t>Tilting Point</t>
  </si>
  <si>
    <t>Tipalti</t>
  </si>
  <si>
    <t>Toast</t>
  </si>
  <si>
    <t>Tomo</t>
  </si>
  <si>
    <t>Tomorrow</t>
  </si>
  <si>
    <t>TomTom</t>
  </si>
  <si>
    <t>Tonal</t>
  </si>
  <si>
    <t>Tonkean</t>
  </si>
  <si>
    <t>Top Hat</t>
  </si>
  <si>
    <t>Toppr</t>
  </si>
  <si>
    <t>Tor</t>
  </si>
  <si>
    <t>TouchBistro</t>
  </si>
  <si>
    <t>Trade Republic</t>
  </si>
  <si>
    <t>Transfix</t>
  </si>
  <si>
    <t>Transmit Security</t>
  </si>
  <si>
    <t>TravelBank</t>
  </si>
  <si>
    <t>Traveloka</t>
  </si>
  <si>
    <t>TravelTriangle</t>
  </si>
  <si>
    <t>Trax</t>
  </si>
  <si>
    <t>Tray.io</t>
  </si>
  <si>
    <t>Treehouse</t>
  </si>
  <si>
    <t>Trell</t>
  </si>
  <si>
    <t>Tricida</t>
  </si>
  <si>
    <t>TripActions</t>
  </si>
  <si>
    <t>TripAdvisor</t>
  </si>
  <si>
    <t>Tripbam</t>
  </si>
  <si>
    <t>Triplebyte</t>
  </si>
  <si>
    <t>TripleLift</t>
  </si>
  <si>
    <t>Tripwire</t>
  </si>
  <si>
    <t>Trivago</t>
  </si>
  <si>
    <t>Dusseldorf</t>
  </si>
  <si>
    <t>Trove Recommerce</t>
  </si>
  <si>
    <t>Truck It In</t>
  </si>
  <si>
    <t>Karachi</t>
  </si>
  <si>
    <t>Truckstop.com</t>
  </si>
  <si>
    <t>TrueCar</t>
  </si>
  <si>
    <t>TrueLayer</t>
  </si>
  <si>
    <t>Truepill</t>
  </si>
  <si>
    <t>Truiloo</t>
  </si>
  <si>
    <t>Trustly</t>
  </si>
  <si>
    <t>Trybe</t>
  </si>
  <si>
    <t>Tufin</t>
  </si>
  <si>
    <t>Tuft &amp; Needle</t>
  </si>
  <si>
    <t>Tul</t>
  </si>
  <si>
    <t>Tulip Retail</t>
  </si>
  <si>
    <t>Turnitin</t>
  </si>
  <si>
    <t>Turntide</t>
  </si>
  <si>
    <t>Turo</t>
  </si>
  <si>
    <t>TuSimple</t>
  </si>
  <si>
    <t>TutorMundi</t>
  </si>
  <si>
    <t>Twiga</t>
  </si>
  <si>
    <t>Twilio</t>
  </si>
  <si>
    <t>Twine Solutions</t>
  </si>
  <si>
    <t>TwinStrand</t>
  </si>
  <si>
    <t>Twitter</t>
  </si>
  <si>
    <t>Typeform</t>
  </si>
  <si>
    <t>tZero</t>
  </si>
  <si>
    <t>UalÃƒÂ¡</t>
  </si>
  <si>
    <t>Uber</t>
  </si>
  <si>
    <t>Vilnius</t>
  </si>
  <si>
    <t>Lithuania</t>
  </si>
  <si>
    <t>Uber Freight</t>
  </si>
  <si>
    <t>Uberflip</t>
  </si>
  <si>
    <t>Udaan</t>
  </si>
  <si>
    <t>Udacity</t>
  </si>
  <si>
    <t>Udayy</t>
  </si>
  <si>
    <t>Udemy</t>
  </si>
  <si>
    <t>UiPath</t>
  </si>
  <si>
    <t>Ula</t>
  </si>
  <si>
    <t>Una Brands</t>
  </si>
  <si>
    <t>Unacademy</t>
  </si>
  <si>
    <t>Unbabel</t>
  </si>
  <si>
    <t>Unbounce</t>
  </si>
  <si>
    <t>Uncapped</t>
  </si>
  <si>
    <t>Unchained Capital</t>
  </si>
  <si>
    <t>Unico</t>
  </si>
  <si>
    <t>Uniphore</t>
  </si>
  <si>
    <t>Unison</t>
  </si>
  <si>
    <t>Unity</t>
  </si>
  <si>
    <t>Universal Standard</t>
  </si>
  <si>
    <t>Unstoppable Domains</t>
  </si>
  <si>
    <t>Updater</t>
  </si>
  <si>
    <t>UpGrad</t>
  </si>
  <si>
    <t>UpScalio</t>
  </si>
  <si>
    <t>UPshow</t>
  </si>
  <si>
    <t>Upstart</t>
  </si>
  <si>
    <t>Urban Sports Club</t>
  </si>
  <si>
    <t>Usermind</t>
  </si>
  <si>
    <t>UserTesting</t>
  </si>
  <si>
    <t>uShip</t>
  </si>
  <si>
    <t>Utopia Music</t>
  </si>
  <si>
    <t>Zug</t>
  </si>
  <si>
    <t>Vacasa</t>
  </si>
  <si>
    <t>Validity</t>
  </si>
  <si>
    <t>VanHack</t>
  </si>
  <si>
    <t>Vanta</t>
  </si>
  <si>
    <t>Varo</t>
  </si>
  <si>
    <t>Varonis</t>
  </si>
  <si>
    <t>Vedanta Biosciences</t>
  </si>
  <si>
    <t>Vedantu</t>
  </si>
  <si>
    <t>Vee</t>
  </si>
  <si>
    <t>Veem</t>
  </si>
  <si>
    <t>Veev</t>
  </si>
  <si>
    <t>Velodyne Lidar</t>
  </si>
  <si>
    <t>Venafi</t>
  </si>
  <si>
    <t>Vendasta</t>
  </si>
  <si>
    <t>Saskatoon</t>
  </si>
  <si>
    <t>Vendease</t>
  </si>
  <si>
    <t>Venngage</t>
  </si>
  <si>
    <t>Verbit</t>
  </si>
  <si>
    <t>Veriff</t>
  </si>
  <si>
    <t>Verily</t>
  </si>
  <si>
    <t>VerSe Innovation</t>
  </si>
  <si>
    <t>VerticalScope</t>
  </si>
  <si>
    <t>Vesalius Therapeutics</t>
  </si>
  <si>
    <t>Vesta</t>
  </si>
  <si>
    <t>Vezeeta</t>
  </si>
  <si>
    <t>Vial</t>
  </si>
  <si>
    <t>Viamo</t>
  </si>
  <si>
    <t>Accra</t>
  </si>
  <si>
    <t>Ghana</t>
  </si>
  <si>
    <t>Viant</t>
  </si>
  <si>
    <t>Viber</t>
  </si>
  <si>
    <t>Vibrent Health</t>
  </si>
  <si>
    <t>Vicarious Surgical</t>
  </si>
  <si>
    <t>VideoAmp</t>
  </si>
  <si>
    <t>View</t>
  </si>
  <si>
    <t>Vimeo</t>
  </si>
  <si>
    <t>VinFast US</t>
  </si>
  <si>
    <t>Virgin Hyperloop</t>
  </si>
  <si>
    <t>Virta Health</t>
  </si>
  <si>
    <t>Virtudent</t>
  </si>
  <si>
    <t>Vise</t>
  </si>
  <si>
    <t>Voi</t>
  </si>
  <si>
    <t>Volt Bank</t>
  </si>
  <si>
    <t>Volta</t>
  </si>
  <si>
    <t>Voly</t>
  </si>
  <si>
    <t>Vouch</t>
  </si>
  <si>
    <t>Vox Media</t>
  </si>
  <si>
    <t>Voyage SMS</t>
  </si>
  <si>
    <t>Vroom</t>
  </si>
  <si>
    <t>VSCO</t>
  </si>
  <si>
    <t>VTEX</t>
  </si>
  <si>
    <t>Wahoo Fitness</t>
  </si>
  <si>
    <t>WalkMe</t>
  </si>
  <si>
    <t>Wallbox</t>
  </si>
  <si>
    <t>WanderJaunt</t>
  </si>
  <si>
    <t>Warby Parker</t>
  </si>
  <si>
    <t>Warren</t>
  </si>
  <si>
    <t>Porto Alegre</t>
  </si>
  <si>
    <t>Wave</t>
  </si>
  <si>
    <t>Dakar</t>
  </si>
  <si>
    <t>Senegal</t>
  </si>
  <si>
    <t>Wave Sports and Entertainment</t>
  </si>
  <si>
    <t>Wavely</t>
  </si>
  <si>
    <t>Wayfair</t>
  </si>
  <si>
    <t>Wayflyer</t>
  </si>
  <si>
    <t>Waymo</t>
  </si>
  <si>
    <t>Waze</t>
  </si>
  <si>
    <t>WazirX</t>
  </si>
  <si>
    <t>Wealthsimple</t>
  </si>
  <si>
    <t>WeDoctor</t>
  </si>
  <si>
    <t>Weedmaps</t>
  </si>
  <si>
    <t>Weee!</t>
  </si>
  <si>
    <t>WeFit</t>
  </si>
  <si>
    <t>Hanoi</t>
  </si>
  <si>
    <t>Wefox</t>
  </si>
  <si>
    <t>Welkin Health</t>
  </si>
  <si>
    <t>Western Digital</t>
  </si>
  <si>
    <t>Westwing</t>
  </si>
  <si>
    <t>WeTrade</t>
  </si>
  <si>
    <t>WeWork</t>
  </si>
  <si>
    <t>Wheel</t>
  </si>
  <si>
    <t>When I Work</t>
  </si>
  <si>
    <t>Whereby</t>
  </si>
  <si>
    <t>Whispir</t>
  </si>
  <si>
    <t>WhiteHat Jr</t>
  </si>
  <si>
    <t>WHOOP</t>
  </si>
  <si>
    <t>WhyHotel</t>
  </si>
  <si>
    <t>Wildlife Studios</t>
  </si>
  <si>
    <t>Willow</t>
  </si>
  <si>
    <t>Wish</t>
  </si>
  <si>
    <t>Wistia</t>
  </si>
  <si>
    <t>Wix</t>
  </si>
  <si>
    <t>Wizeline</t>
  </si>
  <si>
    <t>Wonder</t>
  </si>
  <si>
    <t>Wonderschool</t>
  </si>
  <si>
    <t>Wonolo</t>
  </si>
  <si>
    <t>Wordstream</t>
  </si>
  <si>
    <t>Workable</t>
  </si>
  <si>
    <t>Workato</t>
  </si>
  <si>
    <t>Workday</t>
  </si>
  <si>
    <t>Workfront</t>
  </si>
  <si>
    <t>Workmotion</t>
  </si>
  <si>
    <t>WorkRamp</t>
  </si>
  <si>
    <t>Workrise</t>
  </si>
  <si>
    <t>Worksmith</t>
  </si>
  <si>
    <t>Workstream</t>
  </si>
  <si>
    <t>Woven</t>
  </si>
  <si>
    <t>Indianapolis</t>
  </si>
  <si>
    <t>Wyre</t>
  </si>
  <si>
    <t>Xendit</t>
  </si>
  <si>
    <t>Xentral</t>
  </si>
  <si>
    <t>Xerpa</t>
  </si>
  <si>
    <t>Xiaohongshu</t>
  </si>
  <si>
    <t>Xiaomi</t>
  </si>
  <si>
    <t>XP</t>
  </si>
  <si>
    <t>Xsight Labs</t>
  </si>
  <si>
    <t>Yabonza</t>
  </si>
  <si>
    <t>Yahoo</t>
  </si>
  <si>
    <t>Yapily</t>
  </si>
  <si>
    <t>Yellow.ai</t>
  </si>
  <si>
    <t>Yelp</t>
  </si>
  <si>
    <t>Yext</t>
  </si>
  <si>
    <t>Yoco</t>
  </si>
  <si>
    <t>Cape Town</t>
  </si>
  <si>
    <t>South Africa</t>
  </si>
  <si>
    <t>Yojak</t>
  </si>
  <si>
    <t>Yonder</t>
  </si>
  <si>
    <t>Yotpo</t>
  </si>
  <si>
    <t>YourGrocer</t>
  </si>
  <si>
    <t>Zak</t>
  </si>
  <si>
    <t>Zalando</t>
  </si>
  <si>
    <t>Zapp</t>
  </si>
  <si>
    <t>Zappos</t>
  </si>
  <si>
    <t>Zego</t>
  </si>
  <si>
    <t>Zeitgold</t>
  </si>
  <si>
    <t>ZenBusiness</t>
  </si>
  <si>
    <t>Zencity</t>
  </si>
  <si>
    <t>Zendesk</t>
  </si>
  <si>
    <t>Zenefits</t>
  </si>
  <si>
    <t>Zenius</t>
  </si>
  <si>
    <t>Zenjob</t>
  </si>
  <si>
    <t>ZenLedger</t>
  </si>
  <si>
    <t>Zenoti</t>
  </si>
  <si>
    <t>Zepto</t>
  </si>
  <si>
    <t>Zerto</t>
  </si>
  <si>
    <t>Zest AI</t>
  </si>
  <si>
    <t>Zeus Living</t>
  </si>
  <si>
    <t>Zhihu</t>
  </si>
  <si>
    <t>Zilch</t>
  </si>
  <si>
    <t>Zilingo</t>
  </si>
  <si>
    <t>Zillow</t>
  </si>
  <si>
    <t>Zinier</t>
  </si>
  <si>
    <t>Zipcar</t>
  </si>
  <si>
    <t>ZipRecruiter</t>
  </si>
  <si>
    <t>Ziroom</t>
  </si>
  <si>
    <t>Zola</t>
  </si>
  <si>
    <t>Zomato</t>
  </si>
  <si>
    <t>Zoom</t>
  </si>
  <si>
    <t>Zoomo</t>
  </si>
  <si>
    <t>Zoopla</t>
  </si>
  <si>
    <t>Zoox</t>
  </si>
  <si>
    <t>Zscaler</t>
  </si>
  <si>
    <t>Zulily</t>
  </si>
  <si>
    <t>Zum</t>
  </si>
  <si>
    <t>Zume</t>
  </si>
  <si>
    <t>Zumper</t>
  </si>
  <si>
    <t>Zuora</t>
  </si>
  <si>
    <t>Zwift</t>
  </si>
  <si>
    <t>Zymergen</t>
  </si>
  <si>
    <t>Zywave</t>
  </si>
  <si>
    <t>Sum of total_laid_off</t>
  </si>
  <si>
    <t>Row Labels</t>
  </si>
  <si>
    <t>Grand Total</t>
  </si>
  <si>
    <t>2020</t>
  </si>
  <si>
    <t>2021</t>
  </si>
  <si>
    <t>2022</t>
  </si>
  <si>
    <t>2023</t>
  </si>
  <si>
    <t>Layoffs by Year</t>
  </si>
  <si>
    <t>Top Companies</t>
  </si>
  <si>
    <t>Layoffs by Industry</t>
  </si>
  <si>
    <t>company</t>
  </si>
  <si>
    <t>Layoffs by Country</t>
  </si>
  <si>
    <t>Layoffs by Stage</t>
  </si>
  <si>
    <t>Count of stage</t>
  </si>
  <si>
    <t>Worst Months</t>
  </si>
  <si>
    <t>Companies Shutdown</t>
  </si>
  <si>
    <t>Layoffs 2022 — EDA Dashboard</t>
  </si>
  <si>
    <t>Total Records</t>
  </si>
  <si>
    <t>Total People Laid Off</t>
  </si>
  <si>
    <t>Years Covered</t>
  </si>
  <si>
    <t>2020 - 2023</t>
  </si>
  <si>
    <t>Month_Year</t>
  </si>
  <si>
    <t>2020-04</t>
  </si>
  <si>
    <t>2020-05</t>
  </si>
  <si>
    <t>2022-05</t>
  </si>
  <si>
    <t>2022-06</t>
  </si>
  <si>
    <t>2022-07</t>
  </si>
  <si>
    <t>2022-08</t>
  </si>
  <si>
    <t>2022-10</t>
  </si>
  <si>
    <t>2022-11</t>
  </si>
  <si>
    <t>2023-01</t>
  </si>
  <si>
    <t>2023-02</t>
  </si>
  <si>
    <t>Hardest-Hit Industry</t>
  </si>
  <si>
    <t>Consumer (45,182)</t>
  </si>
  <si>
    <t>Top Company by Layoffs</t>
  </si>
  <si>
    <t>Amazon (18,150)</t>
  </si>
  <si>
    <t>Companies that Shutdown (100%)</t>
  </si>
  <si>
    <t>• Layoffs by Year</t>
  </si>
  <si>
    <t>• Top Companies</t>
  </si>
  <si>
    <t>• Layoffs by Industry</t>
  </si>
  <si>
    <t>• Layoffs by Country</t>
  </si>
  <si>
    <t>• Layoffs by Stage</t>
  </si>
  <si>
    <t>• Worst Months</t>
  </si>
  <si>
    <t>• Companies Shutdown</t>
  </si>
  <si>
    <t>• Funding vs Layoffs</t>
  </si>
  <si>
    <t>Navigate to the sheets below to view detailed tables and charts for each analysis:</t>
  </si>
  <si>
    <t>Sum of percentage_laid_off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</si>
</sst>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7" x14ac:knownFonts="1">
    <font>
      <sz val="11"/>
      <color theme="1"/>
      <name val="Aptos Narrow"/>
      <family val="2"/>
      <scheme val="minor"/>
    </font>
    <font>
      <sz val="11"/>
      <color theme="1"/>
      <name val="Aptos Narrow"/>
      <family val="2"/>
      <scheme val="minor"/>
    </font>
    <font>
      <b/>
      <sz val="16"/>
      <color theme="4" tint="-0.249977111117893"/>
      <name val="Aptos Narrow"/>
      <family val="2"/>
      <scheme val="minor"/>
    </font>
    <font>
      <b/>
      <sz val="12"/>
      <color theme="1"/>
      <name val="Aptos Narrow"/>
      <family val="2"/>
      <scheme val="minor"/>
    </font>
    <font>
      <b/>
      <i/>
      <sz val="18"/>
      <color theme="1"/>
      <name val="Aptos Narrow"/>
      <family val="2"/>
      <scheme val="minor"/>
    </font>
    <font>
      <sz val="10"/>
      <name val="Arial"/>
      <family val="2"/>
    </font>
    <font>
      <i/>
      <sz val="10"/>
      <color theme="1"/>
      <name val="Arial"/>
      <family val="2"/>
    </font>
  </fonts>
  <fills count="4">
    <fill>
      <patternFill patternType="none"/>
    </fill>
    <fill>
      <patternFill patternType="gray125"/>
    </fill>
    <fill>
      <patternFill patternType="solid">
        <fgColor theme="7" tint="0.79998168889431442"/>
        <bgColor indexed="64"/>
      </patternFill>
    </fill>
    <fill>
      <patternFill patternType="solid">
        <fgColor theme="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0" borderId="0" xfId="0" applyFont="1"/>
    <xf numFmtId="0" fontId="5" fillId="0" borderId="0" xfId="0" applyFont="1"/>
    <xf numFmtId="0" fontId="6" fillId="0" borderId="0" xfId="0" applyFont="1"/>
    <xf numFmtId="0" fontId="3" fillId="2" borderId="0" xfId="0" applyFont="1" applyFill="1" applyAlignment="1">
      <alignment horizontal="center"/>
    </xf>
    <xf numFmtId="164" fontId="2" fillId="2" borderId="0" xfId="1" applyNumberFormat="1" applyFont="1" applyFill="1" applyAlignment="1">
      <alignment horizontal="center"/>
    </xf>
    <xf numFmtId="0" fontId="0" fillId="3" borderId="0" xfId="0" applyFill="1"/>
    <xf numFmtId="0" fontId="0" fillId="3" borderId="0" xfId="0" applyFill="1" applyAlignment="1">
      <alignment horizontal="center"/>
    </xf>
  </cellXfs>
  <cellStyles count="2">
    <cellStyle name="Comma" xfId="1" builtinId="3"/>
    <cellStyle name="Normal" xfId="0" builtinId="0"/>
  </cellStyles>
  <dxfs count="8">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00000"/>
      <color rgb="FFEAF1F8"/>
      <color rgb="FF1F2A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_2022_EDA_Dashboard.xlsx]Layoffs by Year!PivotTable1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90610050308587"/>
          <c:y val="0.17176149908650262"/>
          <c:w val="0.71150873052952202"/>
          <c:h val="0.58155935242433365"/>
        </c:manualLayout>
      </c:layout>
      <c:lineChart>
        <c:grouping val="standard"/>
        <c:varyColors val="0"/>
        <c:ser>
          <c:idx val="0"/>
          <c:order val="0"/>
          <c:tx>
            <c:strRef>
              <c:f>'Layoffs by Year'!$B$3</c:f>
              <c:strCache>
                <c:ptCount val="1"/>
                <c:pt idx="0">
                  <c:v>Total</c:v>
                </c:pt>
              </c:strCache>
            </c:strRef>
          </c:tx>
          <c:spPr>
            <a:ln w="28575" cap="rnd">
              <a:solidFill>
                <a:schemeClr val="accent1"/>
              </a:solidFill>
              <a:round/>
            </a:ln>
            <a:effectLst/>
          </c:spPr>
          <c:marker>
            <c:symbol val="none"/>
          </c:marker>
          <c:cat>
            <c:strRef>
              <c:f>'Layoffs by Year'!$A$4:$A$8</c:f>
              <c:strCache>
                <c:ptCount val="4"/>
                <c:pt idx="0">
                  <c:v>2020</c:v>
                </c:pt>
                <c:pt idx="1">
                  <c:v>2021</c:v>
                </c:pt>
                <c:pt idx="2">
                  <c:v>2022</c:v>
                </c:pt>
                <c:pt idx="3">
                  <c:v>2023</c:v>
                </c:pt>
              </c:strCache>
            </c:strRef>
          </c:cat>
          <c:val>
            <c:numRef>
              <c:f>'Layoffs by Year'!$B$4:$B$8</c:f>
              <c:numCache>
                <c:formatCode>General</c:formatCode>
                <c:ptCount val="4"/>
                <c:pt idx="0">
                  <c:v>80998</c:v>
                </c:pt>
                <c:pt idx="1">
                  <c:v>15823</c:v>
                </c:pt>
                <c:pt idx="2">
                  <c:v>160661</c:v>
                </c:pt>
                <c:pt idx="3">
                  <c:v>125677</c:v>
                </c:pt>
              </c:numCache>
            </c:numRef>
          </c:val>
          <c:smooth val="0"/>
          <c:extLst>
            <c:ext xmlns:c16="http://schemas.microsoft.com/office/drawing/2014/chart" uri="{C3380CC4-5D6E-409C-BE32-E72D297353CC}">
              <c16:uniqueId val="{00000000-EBE7-4C10-AD80-D2FD241CE4D0}"/>
            </c:ext>
          </c:extLst>
        </c:ser>
        <c:dLbls>
          <c:showLegendKey val="0"/>
          <c:showVal val="0"/>
          <c:showCatName val="0"/>
          <c:showSerName val="0"/>
          <c:showPercent val="0"/>
          <c:showBubbleSize val="0"/>
        </c:dLbls>
        <c:smooth val="0"/>
        <c:axId val="1959395471"/>
        <c:axId val="1951820255"/>
      </c:lineChart>
      <c:catAx>
        <c:axId val="19593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51820255"/>
        <c:crosses val="autoZero"/>
        <c:auto val="1"/>
        <c:lblAlgn val="ctr"/>
        <c:lblOffset val="100"/>
        <c:noMultiLvlLbl val="0"/>
      </c:catAx>
      <c:valAx>
        <c:axId val="195182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593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_2022_EDA_Dashboard.xlsx]Top Companies!PivotTable2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99423136974925"/>
          <c:y val="0.1945889536787456"/>
          <c:w val="0.53987445584373717"/>
          <c:h val="0.6341648137457202"/>
        </c:manualLayout>
      </c:layout>
      <c:barChart>
        <c:barDir val="bar"/>
        <c:grouping val="clustered"/>
        <c:varyColors val="0"/>
        <c:ser>
          <c:idx val="0"/>
          <c:order val="0"/>
          <c:tx>
            <c:strRef>
              <c:f>'Top Companies'!$B$2</c:f>
              <c:strCache>
                <c:ptCount val="1"/>
                <c:pt idx="0">
                  <c:v>Total</c:v>
                </c:pt>
              </c:strCache>
            </c:strRef>
          </c:tx>
          <c:spPr>
            <a:solidFill>
              <a:schemeClr val="accent1"/>
            </a:solidFill>
            <a:ln w="19050">
              <a:solidFill>
                <a:schemeClr val="lt1"/>
              </a:solidFill>
            </a:ln>
            <a:effectLst/>
          </c:spPr>
          <c:invertIfNegative val="0"/>
          <c:cat>
            <c:strRef>
              <c:f>'Top Companies'!$A$3:$A$13</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'Top Companies'!$B$3:$B$13</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C0F8-494E-B301-C0CEAA6ECC3E}"/>
            </c:ext>
          </c:extLst>
        </c:ser>
        <c:dLbls>
          <c:showLegendKey val="0"/>
          <c:showVal val="0"/>
          <c:showCatName val="0"/>
          <c:showSerName val="0"/>
          <c:showPercent val="0"/>
          <c:showBubbleSize val="0"/>
        </c:dLbls>
        <c:gapWidth val="100"/>
        <c:axId val="1845167135"/>
        <c:axId val="1845168575"/>
      </c:barChart>
      <c:valAx>
        <c:axId val="184516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KE"/>
          </a:p>
        </c:txPr>
        <c:crossAx val="1845167135"/>
        <c:crosses val="autoZero"/>
        <c:crossBetween val="between"/>
      </c:valAx>
      <c:catAx>
        <c:axId val="1845167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KE"/>
          </a:p>
        </c:txPr>
        <c:crossAx val="1845168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_2022_EDA_Dashboard.xlsx]Worst Months!PivotTable7</c:name>
    <c:fmtId val="19"/>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032455160070735"/>
          <c:y val="0.19865661609371996"/>
          <c:w val="0.6403024581144322"/>
          <c:h val="0.62116733883874276"/>
        </c:manualLayout>
      </c:layout>
      <c:bar3DChart>
        <c:barDir val="col"/>
        <c:grouping val="clustered"/>
        <c:varyColors val="0"/>
        <c:ser>
          <c:idx val="0"/>
          <c:order val="0"/>
          <c:tx>
            <c:strRef>
              <c:f>'Worst Months'!$B$2</c:f>
              <c:strCache>
                <c:ptCount val="1"/>
                <c:pt idx="0">
                  <c:v>Total</c:v>
                </c:pt>
              </c:strCache>
            </c:strRef>
          </c:tx>
          <c:spPr>
            <a:solidFill>
              <a:schemeClr val="accent1"/>
            </a:solidFill>
            <a:ln>
              <a:noFill/>
            </a:ln>
            <a:effectLst/>
            <a:sp3d/>
          </c:spPr>
          <c:invertIfNegative val="0"/>
          <c:cat>
            <c:strRef>
              <c:f>'Worst Months'!$A$3:$A$13</c:f>
              <c:strCache>
                <c:ptCount val="10"/>
                <c:pt idx="0">
                  <c:v>2023-01</c:v>
                </c:pt>
                <c:pt idx="1">
                  <c:v>2022-11</c:v>
                </c:pt>
                <c:pt idx="2">
                  <c:v>2023-02</c:v>
                </c:pt>
                <c:pt idx="3">
                  <c:v>2020-04</c:v>
                </c:pt>
                <c:pt idx="4">
                  <c:v>2020-05</c:v>
                </c:pt>
                <c:pt idx="5">
                  <c:v>2022-10</c:v>
                </c:pt>
                <c:pt idx="6">
                  <c:v>2022-06</c:v>
                </c:pt>
                <c:pt idx="7">
                  <c:v>2022-07</c:v>
                </c:pt>
                <c:pt idx="8">
                  <c:v>2022-08</c:v>
                </c:pt>
                <c:pt idx="9">
                  <c:v>2022-05</c:v>
                </c:pt>
              </c:strCache>
            </c:strRef>
          </c:cat>
          <c:val>
            <c:numRef>
              <c:f>'Worst Months'!$B$3:$B$13</c:f>
              <c:numCache>
                <c:formatCode>General</c:formatCode>
                <c:ptCount val="10"/>
                <c:pt idx="0">
                  <c:v>84714</c:v>
                </c:pt>
                <c:pt idx="1">
                  <c:v>53451</c:v>
                </c:pt>
                <c:pt idx="2">
                  <c:v>36493</c:v>
                </c:pt>
                <c:pt idx="3">
                  <c:v>26710</c:v>
                </c:pt>
                <c:pt idx="4">
                  <c:v>25804</c:v>
                </c:pt>
                <c:pt idx="5">
                  <c:v>17406</c:v>
                </c:pt>
                <c:pt idx="6">
                  <c:v>17394</c:v>
                </c:pt>
                <c:pt idx="7">
                  <c:v>16223</c:v>
                </c:pt>
                <c:pt idx="8">
                  <c:v>13055</c:v>
                </c:pt>
                <c:pt idx="9">
                  <c:v>12885</c:v>
                </c:pt>
              </c:numCache>
            </c:numRef>
          </c:val>
          <c:extLst>
            <c:ext xmlns:c16="http://schemas.microsoft.com/office/drawing/2014/chart" uri="{C3380CC4-5D6E-409C-BE32-E72D297353CC}">
              <c16:uniqueId val="{00000000-F0DE-40D8-AAD7-D8E98BC5B4E7}"/>
            </c:ext>
          </c:extLst>
        </c:ser>
        <c:dLbls>
          <c:showLegendKey val="0"/>
          <c:showVal val="0"/>
          <c:showCatName val="0"/>
          <c:showSerName val="0"/>
          <c:showPercent val="0"/>
          <c:showBubbleSize val="0"/>
        </c:dLbls>
        <c:gapWidth val="150"/>
        <c:shape val="box"/>
        <c:axId val="540540383"/>
        <c:axId val="540535103"/>
        <c:axId val="0"/>
      </c:bar3DChart>
      <c:catAx>
        <c:axId val="54054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35103"/>
        <c:crosses val="autoZero"/>
        <c:auto val="1"/>
        <c:lblAlgn val="ctr"/>
        <c:lblOffset val="100"/>
        <c:noMultiLvlLbl val="0"/>
      </c:catAx>
      <c:valAx>
        <c:axId val="54053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4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_2022_EDA_Dashboard.xlsx]Layoffs by Industry!PivotTable4</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'Layoffs by Industry'!$B$2</c:f>
              <c:strCache>
                <c:ptCount val="1"/>
                <c:pt idx="0">
                  <c:v>Total</c:v>
                </c:pt>
              </c:strCache>
            </c:strRef>
          </c:tx>
          <c:spPr>
            <a:solidFill>
              <a:schemeClr val="accent1"/>
            </a:solidFill>
            <a:ln w="19050">
              <a:solidFill>
                <a:schemeClr val="lt1"/>
              </a:solidFill>
            </a:ln>
            <a:effectLst/>
          </c:spPr>
          <c:invertIfNegative val="0"/>
          <c:cat>
            <c:strRef>
              <c:f>'Layoffs by Industry'!$A$3:$A$13</c:f>
              <c:strCache>
                <c:ptCount val="10"/>
                <c:pt idx="0">
                  <c:v>Consumer</c:v>
                </c:pt>
                <c:pt idx="1">
                  <c:v>Retail</c:v>
                </c:pt>
                <c:pt idx="2">
                  <c:v>Other</c:v>
                </c:pt>
                <c:pt idx="3">
                  <c:v>Transportation</c:v>
                </c:pt>
                <c:pt idx="4">
                  <c:v>Finance</c:v>
                </c:pt>
                <c:pt idx="5">
                  <c:v>Healthcare</c:v>
                </c:pt>
                <c:pt idx="6">
                  <c:v>Food</c:v>
                </c:pt>
                <c:pt idx="7">
                  <c:v>Real Estate</c:v>
                </c:pt>
                <c:pt idx="8">
                  <c:v>Travel</c:v>
                </c:pt>
                <c:pt idx="9">
                  <c:v>Hardware</c:v>
                </c:pt>
              </c:strCache>
            </c:strRef>
          </c:cat>
          <c:val>
            <c:numRef>
              <c:f>'Layoffs by Industry'!$B$3:$B$13</c:f>
              <c:numCache>
                <c:formatCode>General</c:formatCode>
                <c:ptCount val="10"/>
                <c:pt idx="0">
                  <c:v>45182</c:v>
                </c:pt>
                <c:pt idx="1">
                  <c:v>43613</c:v>
                </c:pt>
                <c:pt idx="2">
                  <c:v>35789</c:v>
                </c:pt>
                <c:pt idx="3">
                  <c:v>33748</c:v>
                </c:pt>
                <c:pt idx="4">
                  <c:v>28344</c:v>
                </c:pt>
                <c:pt idx="5">
                  <c:v>25953</c:v>
                </c:pt>
                <c:pt idx="6">
                  <c:v>22855</c:v>
                </c:pt>
                <c:pt idx="7">
                  <c:v>17565</c:v>
                </c:pt>
                <c:pt idx="8">
                  <c:v>17159</c:v>
                </c:pt>
                <c:pt idx="9">
                  <c:v>13828</c:v>
                </c:pt>
              </c:numCache>
            </c:numRef>
          </c:val>
          <c:extLst>
            <c:ext xmlns:c16="http://schemas.microsoft.com/office/drawing/2014/chart" uri="{C3380CC4-5D6E-409C-BE32-E72D297353CC}">
              <c16:uniqueId val="{00000000-8845-42D7-BB45-07D9E12DEF7B}"/>
            </c:ext>
          </c:extLst>
        </c:ser>
        <c:dLbls>
          <c:showLegendKey val="0"/>
          <c:showVal val="0"/>
          <c:showCatName val="0"/>
          <c:showSerName val="0"/>
          <c:showPercent val="0"/>
          <c:showBubbleSize val="0"/>
        </c:dLbls>
        <c:gapWidth val="150"/>
        <c:axId val="1593775119"/>
        <c:axId val="1593774639"/>
      </c:barChart>
      <c:valAx>
        <c:axId val="159377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crossAx val="1593775119"/>
        <c:crosses val="autoZero"/>
        <c:crossBetween val="between"/>
      </c:valAx>
      <c:catAx>
        <c:axId val="1593775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KE"/>
          </a:p>
        </c:txPr>
        <c:crossAx val="1593774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_2022_EDA_Dashboard.xlsx]Layoffs by Year!PivotTable1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Layoffs by Year</a:t>
            </a:r>
            <a:endParaRPr lang="en-US"/>
          </a:p>
        </c:rich>
      </c:tx>
      <c:layout>
        <c:manualLayout>
          <c:xMode val="edge"/>
          <c:yMode val="edge"/>
          <c:x val="0.3714930008748906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'Layoffs by Year'!$B$3</c:f>
              <c:strCache>
                <c:ptCount val="1"/>
                <c:pt idx="0">
                  <c:v>Total</c:v>
                </c:pt>
              </c:strCache>
            </c:strRef>
          </c:tx>
          <c:spPr>
            <a:ln w="28575" cap="rnd">
              <a:solidFill>
                <a:schemeClr val="accent1"/>
              </a:solidFill>
              <a:round/>
            </a:ln>
            <a:effectLst/>
          </c:spPr>
          <c:marker>
            <c:symbol val="none"/>
          </c:marker>
          <c:cat>
            <c:strRef>
              <c:f>'Layoffs by Year'!$A$4:$A$8</c:f>
              <c:strCache>
                <c:ptCount val="4"/>
                <c:pt idx="0">
                  <c:v>2020</c:v>
                </c:pt>
                <c:pt idx="1">
                  <c:v>2021</c:v>
                </c:pt>
                <c:pt idx="2">
                  <c:v>2022</c:v>
                </c:pt>
                <c:pt idx="3">
                  <c:v>2023</c:v>
                </c:pt>
              </c:strCache>
            </c:strRef>
          </c:cat>
          <c:val>
            <c:numRef>
              <c:f>'Layoffs by Year'!$B$4:$B$8</c:f>
              <c:numCache>
                <c:formatCode>General</c:formatCode>
                <c:ptCount val="4"/>
                <c:pt idx="0">
                  <c:v>80998</c:v>
                </c:pt>
                <c:pt idx="1">
                  <c:v>15823</c:v>
                </c:pt>
                <c:pt idx="2">
                  <c:v>160661</c:v>
                </c:pt>
                <c:pt idx="3">
                  <c:v>125677</c:v>
                </c:pt>
              </c:numCache>
            </c:numRef>
          </c:val>
          <c:smooth val="0"/>
          <c:extLst>
            <c:ext xmlns:c16="http://schemas.microsoft.com/office/drawing/2014/chart" uri="{C3380CC4-5D6E-409C-BE32-E72D297353CC}">
              <c16:uniqueId val="{00000000-235F-4456-B257-FBB82EB924C9}"/>
            </c:ext>
          </c:extLst>
        </c:ser>
        <c:dLbls>
          <c:showLegendKey val="0"/>
          <c:showVal val="0"/>
          <c:showCatName val="0"/>
          <c:showSerName val="0"/>
          <c:showPercent val="0"/>
          <c:showBubbleSize val="0"/>
        </c:dLbls>
        <c:smooth val="0"/>
        <c:axId val="1959395471"/>
        <c:axId val="1951820255"/>
      </c:lineChart>
      <c:catAx>
        <c:axId val="19593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51820255"/>
        <c:crosses val="autoZero"/>
        <c:auto val="1"/>
        <c:lblAlgn val="ctr"/>
        <c:lblOffset val="100"/>
        <c:noMultiLvlLbl val="0"/>
      </c:catAx>
      <c:valAx>
        <c:axId val="195182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5939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_2022_EDA_Dashboard.xlsx]Top Companies!PivotTable2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Companies by Total Layoffs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Companies'!$B$2</c:f>
              <c:strCache>
                <c:ptCount val="1"/>
                <c:pt idx="0">
                  <c:v>Total</c:v>
                </c:pt>
              </c:strCache>
            </c:strRef>
          </c:tx>
          <c:spPr>
            <a:solidFill>
              <a:schemeClr val="accent1"/>
            </a:solidFill>
            <a:ln w="19050">
              <a:solidFill>
                <a:schemeClr val="lt1"/>
              </a:solidFill>
            </a:ln>
            <a:effectLst/>
          </c:spPr>
          <c:invertIfNegative val="0"/>
          <c:cat>
            <c:strRef>
              <c:f>'Top Companies'!$A$3:$A$13</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'Top Companies'!$B$3:$B$13</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FD32-4589-8EDA-991458BFCFE4}"/>
            </c:ext>
          </c:extLst>
        </c:ser>
        <c:dLbls>
          <c:showLegendKey val="0"/>
          <c:showVal val="0"/>
          <c:showCatName val="0"/>
          <c:showSerName val="0"/>
          <c:showPercent val="0"/>
          <c:showBubbleSize val="0"/>
        </c:dLbls>
        <c:gapWidth val="150"/>
        <c:axId val="1845167135"/>
        <c:axId val="1845168575"/>
      </c:barChart>
      <c:valAx>
        <c:axId val="184516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5167135"/>
        <c:crosses val="autoZero"/>
        <c:crossBetween val="between"/>
      </c:valAx>
      <c:catAx>
        <c:axId val="1845167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51685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_2022_EDA_Dashboard.xlsx]Layoffs by Industry!PivotTable4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Layoffs by Industry</a:t>
            </a:r>
            <a:endParaRPr lang="en-US"/>
          </a:p>
        </c:rich>
      </c:tx>
      <c:layout>
        <c:manualLayout>
          <c:xMode val="edge"/>
          <c:yMode val="edge"/>
          <c:x val="0.27982633420822395"/>
          <c:y val="5.71036457433416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'Layoffs by Industry'!$B$2</c:f>
              <c:strCache>
                <c:ptCount val="1"/>
                <c:pt idx="0">
                  <c:v>Total</c:v>
                </c:pt>
              </c:strCache>
            </c:strRef>
          </c:tx>
          <c:spPr>
            <a:solidFill>
              <a:schemeClr val="accent1"/>
            </a:solidFill>
            <a:ln w="19050">
              <a:solidFill>
                <a:schemeClr val="lt1"/>
              </a:solidFill>
            </a:ln>
            <a:effectLst/>
          </c:spPr>
          <c:invertIfNegative val="0"/>
          <c:cat>
            <c:strRef>
              <c:f>'Layoffs by Industry'!$A$3:$A$13</c:f>
              <c:strCache>
                <c:ptCount val="10"/>
                <c:pt idx="0">
                  <c:v>Consumer</c:v>
                </c:pt>
                <c:pt idx="1">
                  <c:v>Retail</c:v>
                </c:pt>
                <c:pt idx="2">
                  <c:v>Other</c:v>
                </c:pt>
                <c:pt idx="3">
                  <c:v>Transportation</c:v>
                </c:pt>
                <c:pt idx="4">
                  <c:v>Finance</c:v>
                </c:pt>
                <c:pt idx="5">
                  <c:v>Healthcare</c:v>
                </c:pt>
                <c:pt idx="6">
                  <c:v>Food</c:v>
                </c:pt>
                <c:pt idx="7">
                  <c:v>Real Estate</c:v>
                </c:pt>
                <c:pt idx="8">
                  <c:v>Travel</c:v>
                </c:pt>
                <c:pt idx="9">
                  <c:v>Hardware</c:v>
                </c:pt>
              </c:strCache>
            </c:strRef>
          </c:cat>
          <c:val>
            <c:numRef>
              <c:f>'Layoffs by Industry'!$B$3:$B$13</c:f>
              <c:numCache>
                <c:formatCode>General</c:formatCode>
                <c:ptCount val="10"/>
                <c:pt idx="0">
                  <c:v>45182</c:v>
                </c:pt>
                <c:pt idx="1">
                  <c:v>43613</c:v>
                </c:pt>
                <c:pt idx="2">
                  <c:v>35789</c:v>
                </c:pt>
                <c:pt idx="3">
                  <c:v>33748</c:v>
                </c:pt>
                <c:pt idx="4">
                  <c:v>28344</c:v>
                </c:pt>
                <c:pt idx="5">
                  <c:v>25953</c:v>
                </c:pt>
                <c:pt idx="6">
                  <c:v>22855</c:v>
                </c:pt>
                <c:pt idx="7">
                  <c:v>17565</c:v>
                </c:pt>
                <c:pt idx="8">
                  <c:v>17159</c:v>
                </c:pt>
                <c:pt idx="9">
                  <c:v>13828</c:v>
                </c:pt>
              </c:numCache>
            </c:numRef>
          </c:val>
          <c:extLst>
            <c:ext xmlns:c16="http://schemas.microsoft.com/office/drawing/2014/chart" uri="{C3380CC4-5D6E-409C-BE32-E72D297353CC}">
              <c16:uniqueId val="{00000000-BC66-4F8D-B393-8F0ACF22914F}"/>
            </c:ext>
          </c:extLst>
        </c:ser>
        <c:dLbls>
          <c:showLegendKey val="0"/>
          <c:showVal val="0"/>
          <c:showCatName val="0"/>
          <c:showSerName val="0"/>
          <c:showPercent val="0"/>
          <c:showBubbleSize val="0"/>
        </c:dLbls>
        <c:gapWidth val="150"/>
        <c:axId val="1593775119"/>
        <c:axId val="1593774639"/>
      </c:barChart>
      <c:valAx>
        <c:axId val="159377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3775119"/>
        <c:crosses val="autoZero"/>
        <c:crossBetween val="between"/>
      </c:valAx>
      <c:catAx>
        <c:axId val="1593775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3774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_2022_EDA_Dashboard.xlsx]Layoffs by Country!PivotTable5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Countries by Total Layoffs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'Layoffs by Country'!$B$2</c:f>
              <c:strCache>
                <c:ptCount val="1"/>
                <c:pt idx="0">
                  <c:v>Total</c:v>
                </c:pt>
              </c:strCache>
            </c:strRef>
          </c:tx>
          <c:spPr>
            <a:solidFill>
              <a:schemeClr val="accent1"/>
            </a:solidFill>
            <a:ln w="19050">
              <a:solidFill>
                <a:schemeClr val="lt1"/>
              </a:solidFill>
            </a:ln>
            <a:effectLst/>
          </c:spPr>
          <c:invertIfNegative val="0"/>
          <c:cat>
            <c:strRef>
              <c:f>'Layoffs by Country'!$A$3:$A$62</c:f>
              <c:strCache>
                <c:ptCount val="59"/>
                <c:pt idx="0">
                  <c:v>United States</c:v>
                </c:pt>
                <c:pt idx="1">
                  <c:v>India</c:v>
                </c:pt>
                <c:pt idx="2">
                  <c:v>Netherlands</c:v>
                </c:pt>
                <c:pt idx="3">
                  <c:v>Sweden</c:v>
                </c:pt>
                <c:pt idx="4">
                  <c:v>Brazil</c:v>
                </c:pt>
                <c:pt idx="5">
                  <c:v>Germany</c:v>
                </c:pt>
                <c:pt idx="6">
                  <c:v>United Kingdom</c:v>
                </c:pt>
                <c:pt idx="7">
                  <c:v>Canada</c:v>
                </c:pt>
                <c:pt idx="8">
                  <c:v>Singapore</c:v>
                </c:pt>
                <c:pt idx="9">
                  <c:v>China</c:v>
                </c:pt>
                <c:pt idx="10">
                  <c:v>Israel</c:v>
                </c:pt>
                <c:pt idx="11">
                  <c:v>Indonesia</c:v>
                </c:pt>
                <c:pt idx="12">
                  <c:v>Australia</c:v>
                </c:pt>
                <c:pt idx="13">
                  <c:v>Nigeria</c:v>
                </c:pt>
                <c:pt idx="14">
                  <c:v>United Arab Emirates</c:v>
                </c:pt>
                <c:pt idx="15">
                  <c:v>France</c:v>
                </c:pt>
                <c:pt idx="16">
                  <c:v>Hong Kong</c:v>
                </c:pt>
                <c:pt idx="17">
                  <c:v>Austria</c:v>
                </c:pt>
                <c:pt idx="18">
                  <c:v>Russia</c:v>
                </c:pt>
                <c:pt idx="19">
                  <c:v>Kenya</c:v>
                </c:pt>
                <c:pt idx="20">
                  <c:v>Estonia</c:v>
                </c:pt>
                <c:pt idx="21">
                  <c:v>Argentina</c:v>
                </c:pt>
                <c:pt idx="22">
                  <c:v>Senegal</c:v>
                </c:pt>
                <c:pt idx="23">
                  <c:v>Mexico</c:v>
                </c:pt>
                <c:pt idx="24">
                  <c:v>Ireland</c:v>
                </c:pt>
                <c:pt idx="25">
                  <c:v>Finland</c:v>
                </c:pt>
                <c:pt idx="26">
                  <c:v>Spain</c:v>
                </c:pt>
                <c:pt idx="27">
                  <c:v>Denmark</c:v>
                </c:pt>
                <c:pt idx="28">
                  <c:v>Myanmar</c:v>
                </c:pt>
                <c:pt idx="29">
                  <c:v>Norway</c:v>
                </c:pt>
                <c:pt idx="30">
                  <c:v>Colombia</c:v>
                </c:pt>
                <c:pt idx="31">
                  <c:v>Bulgaria</c:v>
                </c:pt>
                <c:pt idx="32">
                  <c:v>Portugal</c:v>
                </c:pt>
                <c:pt idx="33">
                  <c:v>Malaysia</c:v>
                </c:pt>
                <c:pt idx="34">
                  <c:v>Japan</c:v>
                </c:pt>
                <c:pt idx="35">
                  <c:v>Romania</c:v>
                </c:pt>
                <c:pt idx="36">
                  <c:v>Seychelles</c:v>
                </c:pt>
                <c:pt idx="37">
                  <c:v>Switzerland</c:v>
                </c:pt>
                <c:pt idx="38">
                  <c:v>Lithuania</c:v>
                </c:pt>
                <c:pt idx="39">
                  <c:v>Thailand</c:v>
                </c:pt>
                <c:pt idx="40">
                  <c:v>New Zealand</c:v>
                </c:pt>
                <c:pt idx="41">
                  <c:v>Luxembourg</c:v>
                </c:pt>
                <c:pt idx="42">
                  <c:v>Chile</c:v>
                </c:pt>
                <c:pt idx="43">
                  <c:v>Poland</c:v>
                </c:pt>
                <c:pt idx="44">
                  <c:v>Pakistan</c:v>
                </c:pt>
                <c:pt idx="45">
                  <c:v>Czech Republic</c:v>
                </c:pt>
                <c:pt idx="46">
                  <c:v>Vietnam</c:v>
                </c:pt>
                <c:pt idx="47">
                  <c:v>Bahrain</c:v>
                </c:pt>
                <c:pt idx="48">
                  <c:v>Ghana</c:v>
                </c:pt>
                <c:pt idx="49">
                  <c:v>Egypt</c:v>
                </c:pt>
                <c:pt idx="50">
                  <c:v>Greece</c:v>
                </c:pt>
                <c:pt idx="51">
                  <c:v>Turkey</c:v>
                </c:pt>
                <c:pt idx="52">
                  <c:v>Hungary</c:v>
                </c:pt>
                <c:pt idx="53">
                  <c:v>Italy</c:v>
                </c:pt>
                <c:pt idx="54">
                  <c:v>Belgium</c:v>
                </c:pt>
                <c:pt idx="55">
                  <c:v>Uruguay</c:v>
                </c:pt>
                <c:pt idx="56">
                  <c:v>South Africa</c:v>
                </c:pt>
                <c:pt idx="57">
                  <c:v>Peru</c:v>
                </c:pt>
                <c:pt idx="58">
                  <c:v>South Korea</c:v>
                </c:pt>
              </c:strCache>
            </c:strRef>
          </c:cat>
          <c:val>
            <c:numRef>
              <c:f>'Layoffs by Country'!$B$3:$B$62</c:f>
              <c:numCache>
                <c:formatCode>General</c:formatCode>
                <c:ptCount val="59"/>
                <c:pt idx="0">
                  <c:v>256059</c:v>
                </c:pt>
                <c:pt idx="1">
                  <c:v>35993</c:v>
                </c:pt>
                <c:pt idx="2">
                  <c:v>17220</c:v>
                </c:pt>
                <c:pt idx="3">
                  <c:v>11264</c:v>
                </c:pt>
                <c:pt idx="4">
                  <c:v>10391</c:v>
                </c:pt>
                <c:pt idx="5">
                  <c:v>8701</c:v>
                </c:pt>
                <c:pt idx="6">
                  <c:v>6398</c:v>
                </c:pt>
                <c:pt idx="7">
                  <c:v>6319</c:v>
                </c:pt>
                <c:pt idx="8">
                  <c:v>5995</c:v>
                </c:pt>
                <c:pt idx="9">
                  <c:v>5905</c:v>
                </c:pt>
                <c:pt idx="10">
                  <c:v>3638</c:v>
                </c:pt>
                <c:pt idx="11">
                  <c:v>3521</c:v>
                </c:pt>
                <c:pt idx="12">
                  <c:v>2324</c:v>
                </c:pt>
                <c:pt idx="13">
                  <c:v>1882</c:v>
                </c:pt>
                <c:pt idx="14">
                  <c:v>995</c:v>
                </c:pt>
                <c:pt idx="15">
                  <c:v>915</c:v>
                </c:pt>
                <c:pt idx="16">
                  <c:v>730</c:v>
                </c:pt>
                <c:pt idx="17">
                  <c:v>570</c:v>
                </c:pt>
                <c:pt idx="18">
                  <c:v>400</c:v>
                </c:pt>
                <c:pt idx="19">
                  <c:v>349</c:v>
                </c:pt>
                <c:pt idx="20">
                  <c:v>333</c:v>
                </c:pt>
                <c:pt idx="21">
                  <c:v>323</c:v>
                </c:pt>
                <c:pt idx="22">
                  <c:v>300</c:v>
                </c:pt>
                <c:pt idx="23">
                  <c:v>270</c:v>
                </c:pt>
                <c:pt idx="24">
                  <c:v>257</c:v>
                </c:pt>
                <c:pt idx="25">
                  <c:v>250</c:v>
                </c:pt>
                <c:pt idx="26">
                  <c:v>250</c:v>
                </c:pt>
                <c:pt idx="27">
                  <c:v>240</c:v>
                </c:pt>
                <c:pt idx="28">
                  <c:v>200</c:v>
                </c:pt>
                <c:pt idx="29">
                  <c:v>140</c:v>
                </c:pt>
                <c:pt idx="30">
                  <c:v>130</c:v>
                </c:pt>
                <c:pt idx="31">
                  <c:v>120</c:v>
                </c:pt>
                <c:pt idx="32">
                  <c:v>115</c:v>
                </c:pt>
                <c:pt idx="33">
                  <c:v>100</c:v>
                </c:pt>
                <c:pt idx="34">
                  <c:v>85</c:v>
                </c:pt>
                <c:pt idx="35">
                  <c:v>80</c:v>
                </c:pt>
                <c:pt idx="36">
                  <c:v>75</c:v>
                </c:pt>
                <c:pt idx="37">
                  <c:v>62</c:v>
                </c:pt>
                <c:pt idx="38">
                  <c:v>60</c:v>
                </c:pt>
                <c:pt idx="39">
                  <c:v>55</c:v>
                </c:pt>
                <c:pt idx="40">
                  <c:v>45</c:v>
                </c:pt>
                <c:pt idx="41">
                  <c:v>45</c:v>
                </c:pt>
                <c:pt idx="42">
                  <c:v>30</c:v>
                </c:pt>
                <c:pt idx="43">
                  <c:v>25</c:v>
                </c:pt>
              </c:numCache>
            </c:numRef>
          </c:val>
          <c:extLst>
            <c:ext xmlns:c16="http://schemas.microsoft.com/office/drawing/2014/chart" uri="{C3380CC4-5D6E-409C-BE32-E72D297353CC}">
              <c16:uniqueId val="{00000000-8150-425B-9C45-386292090000}"/>
            </c:ext>
          </c:extLst>
        </c:ser>
        <c:dLbls>
          <c:showLegendKey val="0"/>
          <c:showVal val="0"/>
          <c:showCatName val="0"/>
          <c:showSerName val="0"/>
          <c:showPercent val="0"/>
          <c:showBubbleSize val="0"/>
        </c:dLbls>
        <c:gapWidth val="150"/>
        <c:axId val="1593775599"/>
        <c:axId val="1593774159"/>
      </c:barChart>
      <c:catAx>
        <c:axId val="1593775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3774159"/>
        <c:crosses val="autoZero"/>
        <c:auto val="1"/>
        <c:lblAlgn val="ctr"/>
        <c:lblOffset val="100"/>
        <c:noMultiLvlLbl val="0"/>
      </c:catAx>
      <c:valAx>
        <c:axId val="159377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9377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_2022_EDA_Dashboard.xlsx]Layoffs by Stage!PivotTable6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Layoffs by Company Stage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'Layoffs by Stage'!$B$2</c:f>
              <c:strCache>
                <c:ptCount val="1"/>
                <c:pt idx="0">
                  <c:v>Sum of total_laid_off</c:v>
                </c:pt>
              </c:strCache>
            </c:strRef>
          </c:tx>
          <c:spPr>
            <a:solidFill>
              <a:schemeClr val="accent1"/>
            </a:solidFill>
            <a:ln w="19050">
              <a:solidFill>
                <a:schemeClr val="lt1"/>
              </a:solidFill>
            </a:ln>
            <a:effectLst/>
          </c:spPr>
          <c:invertIfNegative val="0"/>
          <c:cat>
            <c:strRef>
              <c:f>'Layoffs by Stage'!$A$3:$A$20</c:f>
              <c:strCache>
                <c:ptCount val="17"/>
                <c:pt idx="0">
                  <c:v>Post-IPO</c:v>
                </c:pt>
                <c:pt idx="1">
                  <c:v>Unknown</c:v>
                </c:pt>
                <c:pt idx="2">
                  <c:v>Acquired</c:v>
                </c:pt>
                <c:pt idx="3">
                  <c:v>Series C</c:v>
                </c:pt>
                <c:pt idx="4">
                  <c:v>Series D</c:v>
                </c:pt>
                <c:pt idx="5">
                  <c:v>Series B</c:v>
                </c:pt>
                <c:pt idx="6">
                  <c:v>Series E</c:v>
                </c:pt>
                <c:pt idx="7">
                  <c:v>Series F</c:v>
                </c:pt>
                <c:pt idx="8">
                  <c:v>Private Equity</c:v>
                </c:pt>
                <c:pt idx="9">
                  <c:v>Series H</c:v>
                </c:pt>
                <c:pt idx="10">
                  <c:v>Series A</c:v>
                </c:pt>
                <c:pt idx="11">
                  <c:v>Series G</c:v>
                </c:pt>
                <c:pt idx="12">
                  <c:v>Series J</c:v>
                </c:pt>
                <c:pt idx="13">
                  <c:v>Series I</c:v>
                </c:pt>
                <c:pt idx="14">
                  <c:v>Seed</c:v>
                </c:pt>
                <c:pt idx="15">
                  <c:v>Subsidiary</c:v>
                </c:pt>
                <c:pt idx="16">
                  <c:v>NULL</c:v>
                </c:pt>
              </c:strCache>
            </c:strRef>
          </c:cat>
          <c:val>
            <c:numRef>
              <c:f>'Layoffs by Stage'!$B$3:$B$20</c:f>
              <c:numCache>
                <c:formatCode>General</c:formatCode>
                <c:ptCount val="17"/>
                <c:pt idx="0">
                  <c:v>203632</c:v>
                </c:pt>
                <c:pt idx="1">
                  <c:v>40716</c:v>
                </c:pt>
                <c:pt idx="2">
                  <c:v>27576</c:v>
                </c:pt>
                <c:pt idx="3">
                  <c:v>20017</c:v>
                </c:pt>
                <c:pt idx="4">
                  <c:v>19225</c:v>
                </c:pt>
                <c:pt idx="5">
                  <c:v>15311</c:v>
                </c:pt>
                <c:pt idx="6">
                  <c:v>12697</c:v>
                </c:pt>
                <c:pt idx="7">
                  <c:v>9932</c:v>
                </c:pt>
                <c:pt idx="8">
                  <c:v>7957</c:v>
                </c:pt>
                <c:pt idx="9">
                  <c:v>7244</c:v>
                </c:pt>
                <c:pt idx="10">
                  <c:v>5678</c:v>
                </c:pt>
                <c:pt idx="11">
                  <c:v>3697</c:v>
                </c:pt>
                <c:pt idx="12">
                  <c:v>3570</c:v>
                </c:pt>
                <c:pt idx="13">
                  <c:v>2855</c:v>
                </c:pt>
                <c:pt idx="14">
                  <c:v>1636</c:v>
                </c:pt>
                <c:pt idx="15">
                  <c:v>1094</c:v>
                </c:pt>
                <c:pt idx="16">
                  <c:v>322</c:v>
                </c:pt>
              </c:numCache>
            </c:numRef>
          </c:val>
          <c:extLst>
            <c:ext xmlns:c16="http://schemas.microsoft.com/office/drawing/2014/chart" uri="{C3380CC4-5D6E-409C-BE32-E72D297353CC}">
              <c16:uniqueId val="{00000000-C22D-4BBF-88D3-FCCF6E53C6D3}"/>
            </c:ext>
          </c:extLst>
        </c:ser>
        <c:ser>
          <c:idx val="1"/>
          <c:order val="1"/>
          <c:tx>
            <c:strRef>
              <c:f>'Layoffs by Stage'!$C$2</c:f>
              <c:strCache>
                <c:ptCount val="1"/>
                <c:pt idx="0">
                  <c:v>Count of stage</c:v>
                </c:pt>
              </c:strCache>
            </c:strRef>
          </c:tx>
          <c:spPr>
            <a:solidFill>
              <a:schemeClr val="accent2"/>
            </a:solidFill>
            <a:ln w="19050">
              <a:solidFill>
                <a:schemeClr val="lt1"/>
              </a:solidFill>
            </a:ln>
            <a:effectLst/>
          </c:spPr>
          <c:invertIfNegative val="0"/>
          <c:cat>
            <c:strRef>
              <c:f>'Layoffs by Stage'!$A$3:$A$20</c:f>
              <c:strCache>
                <c:ptCount val="17"/>
                <c:pt idx="0">
                  <c:v>Post-IPO</c:v>
                </c:pt>
                <c:pt idx="1">
                  <c:v>Unknown</c:v>
                </c:pt>
                <c:pt idx="2">
                  <c:v>Acquired</c:v>
                </c:pt>
                <c:pt idx="3">
                  <c:v>Series C</c:v>
                </c:pt>
                <c:pt idx="4">
                  <c:v>Series D</c:v>
                </c:pt>
                <c:pt idx="5">
                  <c:v>Series B</c:v>
                </c:pt>
                <c:pt idx="6">
                  <c:v>Series E</c:v>
                </c:pt>
                <c:pt idx="7">
                  <c:v>Series F</c:v>
                </c:pt>
                <c:pt idx="8">
                  <c:v>Private Equity</c:v>
                </c:pt>
                <c:pt idx="9">
                  <c:v>Series H</c:v>
                </c:pt>
                <c:pt idx="10">
                  <c:v>Series A</c:v>
                </c:pt>
                <c:pt idx="11">
                  <c:v>Series G</c:v>
                </c:pt>
                <c:pt idx="12">
                  <c:v>Series J</c:v>
                </c:pt>
                <c:pt idx="13">
                  <c:v>Series I</c:v>
                </c:pt>
                <c:pt idx="14">
                  <c:v>Seed</c:v>
                </c:pt>
                <c:pt idx="15">
                  <c:v>Subsidiary</c:v>
                </c:pt>
                <c:pt idx="16">
                  <c:v>NULL</c:v>
                </c:pt>
              </c:strCache>
            </c:strRef>
          </c:cat>
          <c:val>
            <c:numRef>
              <c:f>'Layoffs by Stage'!$C$3:$C$20</c:f>
              <c:numCache>
                <c:formatCode>General</c:formatCode>
                <c:ptCount val="17"/>
                <c:pt idx="0">
                  <c:v>425</c:v>
                </c:pt>
                <c:pt idx="1">
                  <c:v>392</c:v>
                </c:pt>
                <c:pt idx="2">
                  <c:v>171</c:v>
                </c:pt>
                <c:pt idx="3">
                  <c:v>303</c:v>
                </c:pt>
                <c:pt idx="4">
                  <c:v>225</c:v>
                </c:pt>
                <c:pt idx="5">
                  <c:v>305</c:v>
                </c:pt>
                <c:pt idx="6">
                  <c:v>125</c:v>
                </c:pt>
                <c:pt idx="7">
                  <c:v>65</c:v>
                </c:pt>
                <c:pt idx="8">
                  <c:v>38</c:v>
                </c:pt>
                <c:pt idx="9">
                  <c:v>24</c:v>
                </c:pt>
                <c:pt idx="10">
                  <c:v>176</c:v>
                </c:pt>
                <c:pt idx="11">
                  <c:v>15</c:v>
                </c:pt>
                <c:pt idx="12">
                  <c:v>8</c:v>
                </c:pt>
                <c:pt idx="13">
                  <c:v>7</c:v>
                </c:pt>
                <c:pt idx="14">
                  <c:v>65</c:v>
                </c:pt>
                <c:pt idx="15">
                  <c:v>5</c:v>
                </c:pt>
                <c:pt idx="16">
                  <c:v>6</c:v>
                </c:pt>
              </c:numCache>
            </c:numRef>
          </c:val>
          <c:extLst>
            <c:ext xmlns:c16="http://schemas.microsoft.com/office/drawing/2014/chart" uri="{C3380CC4-5D6E-409C-BE32-E72D297353CC}">
              <c16:uniqueId val="{00000002-C22D-4BBF-88D3-FCCF6E53C6D3}"/>
            </c:ext>
          </c:extLst>
        </c:ser>
        <c:dLbls>
          <c:showLegendKey val="0"/>
          <c:showVal val="0"/>
          <c:showCatName val="0"/>
          <c:showSerName val="0"/>
          <c:showPercent val="0"/>
          <c:showBubbleSize val="0"/>
        </c:dLbls>
        <c:gapWidth val="150"/>
        <c:axId val="540537503"/>
        <c:axId val="540541343"/>
      </c:barChart>
      <c:catAx>
        <c:axId val="54053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41343"/>
        <c:crosses val="autoZero"/>
        <c:auto val="1"/>
        <c:lblAlgn val="ctr"/>
        <c:lblOffset val="100"/>
        <c:noMultiLvlLbl val="0"/>
      </c:catAx>
      <c:valAx>
        <c:axId val="54054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'Funding vs Layoffs'!$B$2:$B$2141</c:f>
              <c:numCache>
                <c:formatCode>General</c:formatCode>
                <c:ptCount val="2140"/>
                <c:pt idx="0">
                  <c:v>272</c:v>
                </c:pt>
                <c:pt idx="1">
                  <c:v>35</c:v>
                </c:pt>
                <c:pt idx="2">
                  <c:v>21</c:v>
                </c:pt>
                <c:pt idx="3">
                  <c:v>120</c:v>
                </c:pt>
                <c:pt idx="4">
                  <c:v>120</c:v>
                </c:pt>
                <c:pt idx="5">
                  <c:v>242</c:v>
                </c:pt>
                <c:pt idx="6">
                  <c:v>253</c:v>
                </c:pt>
                <c:pt idx="7">
                  <c:v>250</c:v>
                </c:pt>
                <c:pt idx="8">
                  <c:v>250</c:v>
                </c:pt>
                <c:pt idx="9">
                  <c:v>426</c:v>
                </c:pt>
                <c:pt idx="10">
                  <c:v>44</c:v>
                </c:pt>
                <c:pt idx="11">
                  <c:v>12</c:v>
                </c:pt>
                <c:pt idx="12">
                  <c:v>426</c:v>
                </c:pt>
                <c:pt idx="13">
                  <c:v>275</c:v>
                </c:pt>
                <c:pt idx="14">
                  <c:v>253</c:v>
                </c:pt>
                <c:pt idx="15">
                  <c:v>253</c:v>
                </c:pt>
                <c:pt idx="16">
                  <c:v>247</c:v>
                </c:pt>
                <c:pt idx="17">
                  <c:v>244</c:v>
                </c:pt>
                <c:pt idx="18">
                  <c:v>106</c:v>
                </c:pt>
                <c:pt idx="19">
                  <c:v>237</c:v>
                </c:pt>
                <c:pt idx="20">
                  <c:v>126</c:v>
                </c:pt>
                <c:pt idx="21">
                  <c:v>458</c:v>
                </c:pt>
                <c:pt idx="22">
                  <c:v>143</c:v>
                </c:pt>
                <c:pt idx="23">
                  <c:v>207</c:v>
                </c:pt>
                <c:pt idx="24">
                  <c:v>352</c:v>
                </c:pt>
                <c:pt idx="25">
                  <c:v>360</c:v>
                </c:pt>
                <c:pt idx="26">
                  <c:v>190</c:v>
                </c:pt>
                <c:pt idx="27">
                  <c:v>190</c:v>
                </c:pt>
                <c:pt idx="28">
                  <c:v>189</c:v>
                </c:pt>
                <c:pt idx="29">
                  <c:v>60</c:v>
                </c:pt>
                <c:pt idx="30">
                  <c:v>406</c:v>
                </c:pt>
                <c:pt idx="31">
                  <c:v>67</c:v>
                </c:pt>
                <c:pt idx="32">
                  <c:v>491</c:v>
                </c:pt>
                <c:pt idx="33">
                  <c:v>376</c:v>
                </c:pt>
                <c:pt idx="34">
                  <c:v>2</c:v>
                </c:pt>
                <c:pt idx="35">
                  <c:v>89</c:v>
                </c:pt>
                <c:pt idx="36">
                  <c:v>20</c:v>
                </c:pt>
                <c:pt idx="37">
                  <c:v>1500</c:v>
                </c:pt>
                <c:pt idx="38">
                  <c:v>1500</c:v>
                </c:pt>
                <c:pt idx="39">
                  <c:v>9</c:v>
                </c:pt>
                <c:pt idx="40">
                  <c:v>18</c:v>
                </c:pt>
                <c:pt idx="41">
                  <c:v>6400</c:v>
                </c:pt>
                <c:pt idx="42">
                  <c:v>5400</c:v>
                </c:pt>
                <c:pt idx="43">
                  <c:v>109</c:v>
                </c:pt>
                <c:pt idx="44">
                  <c:v>109</c:v>
                </c:pt>
                <c:pt idx="45">
                  <c:v>75</c:v>
                </c:pt>
                <c:pt idx="46">
                  <c:v>1400</c:v>
                </c:pt>
                <c:pt idx="47">
                  <c:v>7</c:v>
                </c:pt>
                <c:pt idx="48">
                  <c:v>26</c:v>
                </c:pt>
                <c:pt idx="49">
                  <c:v>33</c:v>
                </c:pt>
                <c:pt idx="50">
                  <c:v>420</c:v>
                </c:pt>
                <c:pt idx="51">
                  <c:v>245</c:v>
                </c:pt>
                <c:pt idx="52">
                  <c:v>46</c:v>
                </c:pt>
                <c:pt idx="53">
                  <c:v>160</c:v>
                </c:pt>
                <c:pt idx="54">
                  <c:v>293</c:v>
                </c:pt>
                <c:pt idx="55">
                  <c:v>175</c:v>
                </c:pt>
                <c:pt idx="56">
                  <c:v>16</c:v>
                </c:pt>
                <c:pt idx="57">
                  <c:v>16</c:v>
                </c:pt>
                <c:pt idx="58">
                  <c:v>16</c:v>
                </c:pt>
                <c:pt idx="59">
                  <c:v>174</c:v>
                </c:pt>
                <c:pt idx="60">
                  <c:v>174</c:v>
                </c:pt>
                <c:pt idx="61">
                  <c:v>60</c:v>
                </c:pt>
                <c:pt idx="62">
                  <c:v>202</c:v>
                </c:pt>
                <c:pt idx="63">
                  <c:v>64</c:v>
                </c:pt>
                <c:pt idx="64">
                  <c:v>45</c:v>
                </c:pt>
                <c:pt idx="65">
                  <c:v>560</c:v>
                </c:pt>
                <c:pt idx="66">
                  <c:v>356</c:v>
                </c:pt>
                <c:pt idx="67">
                  <c:v>108</c:v>
                </c:pt>
                <c:pt idx="68">
                  <c:v>108</c:v>
                </c:pt>
                <c:pt idx="69">
                  <c:v>108</c:v>
                </c:pt>
                <c:pt idx="70">
                  <c:v>328</c:v>
                </c:pt>
                <c:pt idx="71">
                  <c:v>92</c:v>
                </c:pt>
                <c:pt idx="72">
                  <c:v>72</c:v>
                </c:pt>
                <c:pt idx="73">
                  <c:v>283</c:v>
                </c:pt>
                <c:pt idx="74">
                  <c:v>283</c:v>
                </c:pt>
                <c:pt idx="75">
                  <c:v>187</c:v>
                </c:pt>
                <c:pt idx="76">
                  <c:v>25</c:v>
                </c:pt>
                <c:pt idx="77">
                  <c:v>14</c:v>
                </c:pt>
                <c:pt idx="78">
                  <c:v>181</c:v>
                </c:pt>
                <c:pt idx="79">
                  <c:v>26</c:v>
                </c:pt>
                <c:pt idx="80">
                  <c:v>64</c:v>
                </c:pt>
                <c:pt idx="81">
                  <c:v>36</c:v>
                </c:pt>
                <c:pt idx="82">
                  <c:v>74</c:v>
                </c:pt>
                <c:pt idx="83">
                  <c:v>15</c:v>
                </c:pt>
                <c:pt idx="84">
                  <c:v>169</c:v>
                </c:pt>
                <c:pt idx="85">
                  <c:v>640</c:v>
                </c:pt>
                <c:pt idx="86">
                  <c:v>183</c:v>
                </c:pt>
                <c:pt idx="87">
                  <c:v>11</c:v>
                </c:pt>
                <c:pt idx="88">
                  <c:v>156</c:v>
                </c:pt>
                <c:pt idx="89">
                  <c:v>1600</c:v>
                </c:pt>
                <c:pt idx="90">
                  <c:v>483</c:v>
                </c:pt>
                <c:pt idx="91">
                  <c:v>12</c:v>
                </c:pt>
                <c:pt idx="92">
                  <c:v>265</c:v>
                </c:pt>
                <c:pt idx="93">
                  <c:v>100</c:v>
                </c:pt>
                <c:pt idx="94">
                  <c:v>1</c:v>
                </c:pt>
                <c:pt idx="95">
                  <c:v>155</c:v>
                </c:pt>
                <c:pt idx="96">
                  <c:v>155</c:v>
                </c:pt>
                <c:pt idx="97">
                  <c:v>3600</c:v>
                </c:pt>
                <c:pt idx="98">
                  <c:v>3600</c:v>
                </c:pt>
                <c:pt idx="99">
                  <c:v>3600</c:v>
                </c:pt>
                <c:pt idx="100">
                  <c:v>3600</c:v>
                </c:pt>
                <c:pt idx="101">
                  <c:v>78</c:v>
                </c:pt>
                <c:pt idx="102">
                  <c:v>537</c:v>
                </c:pt>
                <c:pt idx="103">
                  <c:v>629</c:v>
                </c:pt>
                <c:pt idx="104">
                  <c:v>629</c:v>
                </c:pt>
                <c:pt idx="105">
                  <c:v>629</c:v>
                </c:pt>
                <c:pt idx="106">
                  <c:v>35</c:v>
                </c:pt>
                <c:pt idx="107">
                  <c:v>1500</c:v>
                </c:pt>
                <c:pt idx="108">
                  <c:v>453</c:v>
                </c:pt>
                <c:pt idx="109">
                  <c:v>15</c:v>
                </c:pt>
                <c:pt idx="110">
                  <c:v>27</c:v>
                </c:pt>
                <c:pt idx="111">
                  <c:v>2</c:v>
                </c:pt>
                <c:pt idx="112">
                  <c:v>300</c:v>
                </c:pt>
                <c:pt idx="113">
                  <c:v>100</c:v>
                </c:pt>
                <c:pt idx="114">
                  <c:v>282</c:v>
                </c:pt>
                <c:pt idx="115">
                  <c:v>32</c:v>
                </c:pt>
                <c:pt idx="116">
                  <c:v>210</c:v>
                </c:pt>
                <c:pt idx="117">
                  <c:v>177</c:v>
                </c:pt>
                <c:pt idx="118">
                  <c:v>645</c:v>
                </c:pt>
                <c:pt idx="119">
                  <c:v>1</c:v>
                </c:pt>
                <c:pt idx="120">
                  <c:v>863</c:v>
                </c:pt>
                <c:pt idx="121">
                  <c:v>80</c:v>
                </c:pt>
                <c:pt idx="122">
                  <c:v>274</c:v>
                </c:pt>
                <c:pt idx="123">
                  <c:v>500</c:v>
                </c:pt>
                <c:pt idx="124">
                  <c:v>584</c:v>
                </c:pt>
                <c:pt idx="125">
                  <c:v>584</c:v>
                </c:pt>
                <c:pt idx="126">
                  <c:v>97</c:v>
                </c:pt>
                <c:pt idx="127">
                  <c:v>205</c:v>
                </c:pt>
                <c:pt idx="128">
                  <c:v>24</c:v>
                </c:pt>
                <c:pt idx="129">
                  <c:v>840</c:v>
                </c:pt>
                <c:pt idx="130">
                  <c:v>152</c:v>
                </c:pt>
                <c:pt idx="131">
                  <c:v>152</c:v>
                </c:pt>
                <c:pt idx="132">
                  <c:v>341</c:v>
                </c:pt>
                <c:pt idx="133">
                  <c:v>811</c:v>
                </c:pt>
                <c:pt idx="134">
                  <c:v>686</c:v>
                </c:pt>
                <c:pt idx="135">
                  <c:v>45</c:v>
                </c:pt>
                <c:pt idx="136">
                  <c:v>88</c:v>
                </c:pt>
                <c:pt idx="137">
                  <c:v>181</c:v>
                </c:pt>
                <c:pt idx="138">
                  <c:v>30</c:v>
                </c:pt>
                <c:pt idx="139">
                  <c:v>3</c:v>
                </c:pt>
                <c:pt idx="140">
                  <c:v>88</c:v>
                </c:pt>
                <c:pt idx="141">
                  <c:v>1100</c:v>
                </c:pt>
                <c:pt idx="142">
                  <c:v>1000</c:v>
                </c:pt>
                <c:pt idx="143">
                  <c:v>932</c:v>
                </c:pt>
                <c:pt idx="144">
                  <c:v>946</c:v>
                </c:pt>
                <c:pt idx="145">
                  <c:v>51</c:v>
                </c:pt>
                <c:pt idx="146">
                  <c:v>51</c:v>
                </c:pt>
                <c:pt idx="147">
                  <c:v>13</c:v>
                </c:pt>
                <c:pt idx="148">
                  <c:v>63</c:v>
                </c:pt>
                <c:pt idx="149">
                  <c:v>13</c:v>
                </c:pt>
                <c:pt idx="150">
                  <c:v>168</c:v>
                </c:pt>
                <c:pt idx="151">
                  <c:v>223</c:v>
                </c:pt>
                <c:pt idx="152">
                  <c:v>6</c:v>
                </c:pt>
                <c:pt idx="153">
                  <c:v>14</c:v>
                </c:pt>
                <c:pt idx="154">
                  <c:v>49</c:v>
                </c:pt>
                <c:pt idx="155">
                  <c:v>69</c:v>
                </c:pt>
                <c:pt idx="156">
                  <c:v>380</c:v>
                </c:pt>
                <c:pt idx="157">
                  <c:v>272</c:v>
                </c:pt>
                <c:pt idx="158">
                  <c:v>1000</c:v>
                </c:pt>
                <c:pt idx="159">
                  <c:v>137</c:v>
                </c:pt>
                <c:pt idx="160">
                  <c:v>905</c:v>
                </c:pt>
                <c:pt idx="161">
                  <c:v>905</c:v>
                </c:pt>
                <c:pt idx="162">
                  <c:v>905</c:v>
                </c:pt>
                <c:pt idx="163">
                  <c:v>905</c:v>
                </c:pt>
                <c:pt idx="164">
                  <c:v>111</c:v>
                </c:pt>
                <c:pt idx="165">
                  <c:v>204</c:v>
                </c:pt>
                <c:pt idx="166">
                  <c:v>204</c:v>
                </c:pt>
                <c:pt idx="167">
                  <c:v>435</c:v>
                </c:pt>
                <c:pt idx="168">
                  <c:v>60</c:v>
                </c:pt>
                <c:pt idx="169">
                  <c:v>122</c:v>
                </c:pt>
                <c:pt idx="170">
                  <c:v>122</c:v>
                </c:pt>
                <c:pt idx="171">
                  <c:v>16</c:v>
                </c:pt>
                <c:pt idx="172">
                  <c:v>21</c:v>
                </c:pt>
                <c:pt idx="173">
                  <c:v>95</c:v>
                </c:pt>
                <c:pt idx="174">
                  <c:v>200</c:v>
                </c:pt>
                <c:pt idx="175">
                  <c:v>224</c:v>
                </c:pt>
                <c:pt idx="176">
                  <c:v>12</c:v>
                </c:pt>
                <c:pt idx="177">
                  <c:v>3700</c:v>
                </c:pt>
                <c:pt idx="178">
                  <c:v>585</c:v>
                </c:pt>
                <c:pt idx="179">
                  <c:v>783</c:v>
                </c:pt>
                <c:pt idx="180">
                  <c:v>623</c:v>
                </c:pt>
                <c:pt idx="181">
                  <c:v>25</c:v>
                </c:pt>
                <c:pt idx="182">
                  <c:v>69</c:v>
                </c:pt>
                <c:pt idx="183">
                  <c:v>30</c:v>
                </c:pt>
                <c:pt idx="184">
                  <c:v>546</c:v>
                </c:pt>
                <c:pt idx="185">
                  <c:v>83</c:v>
                </c:pt>
                <c:pt idx="186">
                  <c:v>401</c:v>
                </c:pt>
                <c:pt idx="187">
                  <c:v>378</c:v>
                </c:pt>
                <c:pt idx="188">
                  <c:v>378</c:v>
                </c:pt>
                <c:pt idx="189">
                  <c:v>46</c:v>
                </c:pt>
                <c:pt idx="190">
                  <c:v>70</c:v>
                </c:pt>
                <c:pt idx="191">
                  <c:v>45</c:v>
                </c:pt>
                <c:pt idx="192">
                  <c:v>194</c:v>
                </c:pt>
                <c:pt idx="193">
                  <c:v>194</c:v>
                </c:pt>
                <c:pt idx="194">
                  <c:v>293</c:v>
                </c:pt>
                <c:pt idx="195">
                  <c:v>220</c:v>
                </c:pt>
                <c:pt idx="196">
                  <c:v>41</c:v>
                </c:pt>
                <c:pt idx="197">
                  <c:v>665</c:v>
                </c:pt>
                <c:pt idx="198">
                  <c:v>665</c:v>
                </c:pt>
                <c:pt idx="199">
                  <c:v>665</c:v>
                </c:pt>
                <c:pt idx="200">
                  <c:v>665</c:v>
                </c:pt>
                <c:pt idx="201">
                  <c:v>490</c:v>
                </c:pt>
                <c:pt idx="202">
                  <c:v>490</c:v>
                </c:pt>
                <c:pt idx="203">
                  <c:v>1000</c:v>
                </c:pt>
                <c:pt idx="204">
                  <c:v>1000</c:v>
                </c:pt>
                <c:pt idx="205">
                  <c:v>352</c:v>
                </c:pt>
                <c:pt idx="206">
                  <c:v>77</c:v>
                </c:pt>
                <c:pt idx="207">
                  <c:v>48</c:v>
                </c:pt>
                <c:pt idx="208">
                  <c:v>108</c:v>
                </c:pt>
                <c:pt idx="209">
                  <c:v>1300</c:v>
                </c:pt>
                <c:pt idx="210">
                  <c:v>1300</c:v>
                </c:pt>
                <c:pt idx="211">
                  <c:v>42</c:v>
                </c:pt>
                <c:pt idx="212">
                  <c:v>27</c:v>
                </c:pt>
                <c:pt idx="213">
                  <c:v>27</c:v>
                </c:pt>
                <c:pt idx="214">
                  <c:v>26</c:v>
                </c:pt>
                <c:pt idx="215">
                  <c:v>224</c:v>
                </c:pt>
                <c:pt idx="216">
                  <c:v>48</c:v>
                </c:pt>
                <c:pt idx="217">
                  <c:v>23</c:v>
                </c:pt>
                <c:pt idx="218">
                  <c:v>23</c:v>
                </c:pt>
                <c:pt idx="219">
                  <c:v>137</c:v>
                </c:pt>
                <c:pt idx="220">
                  <c:v>56</c:v>
                </c:pt>
                <c:pt idx="221">
                  <c:v>72</c:v>
                </c:pt>
                <c:pt idx="222">
                  <c:v>102</c:v>
                </c:pt>
                <c:pt idx="223">
                  <c:v>102</c:v>
                </c:pt>
                <c:pt idx="224">
                  <c:v>214</c:v>
                </c:pt>
                <c:pt idx="225">
                  <c:v>214</c:v>
                </c:pt>
                <c:pt idx="226">
                  <c:v>214</c:v>
                </c:pt>
                <c:pt idx="227">
                  <c:v>214</c:v>
                </c:pt>
                <c:pt idx="228">
                  <c:v>75</c:v>
                </c:pt>
                <c:pt idx="229">
                  <c:v>12</c:v>
                </c:pt>
                <c:pt idx="230">
                  <c:v>148</c:v>
                </c:pt>
                <c:pt idx="231">
                  <c:v>2</c:v>
                </c:pt>
                <c:pt idx="232">
                  <c:v>367</c:v>
                </c:pt>
                <c:pt idx="233">
                  <c:v>42</c:v>
                </c:pt>
                <c:pt idx="234">
                  <c:v>6</c:v>
                </c:pt>
                <c:pt idx="235">
                  <c:v>131</c:v>
                </c:pt>
                <c:pt idx="236">
                  <c:v>732</c:v>
                </c:pt>
                <c:pt idx="237">
                  <c:v>1500</c:v>
                </c:pt>
                <c:pt idx="238">
                  <c:v>45</c:v>
                </c:pt>
                <c:pt idx="239">
                  <c:v>36</c:v>
                </c:pt>
                <c:pt idx="240">
                  <c:v>250</c:v>
                </c:pt>
                <c:pt idx="241">
                  <c:v>31</c:v>
                </c:pt>
                <c:pt idx="242">
                  <c:v>145</c:v>
                </c:pt>
                <c:pt idx="243">
                  <c:v>145</c:v>
                </c:pt>
                <c:pt idx="244">
                  <c:v>212</c:v>
                </c:pt>
                <c:pt idx="245">
                  <c:v>84</c:v>
                </c:pt>
                <c:pt idx="246">
                  <c:v>2400</c:v>
                </c:pt>
                <c:pt idx="247">
                  <c:v>10</c:v>
                </c:pt>
                <c:pt idx="248">
                  <c:v>25</c:v>
                </c:pt>
                <c:pt idx="249">
                  <c:v>89</c:v>
                </c:pt>
                <c:pt idx="250">
                  <c:v>11</c:v>
                </c:pt>
                <c:pt idx="251">
                  <c:v>29</c:v>
                </c:pt>
                <c:pt idx="252">
                  <c:v>29</c:v>
                </c:pt>
                <c:pt idx="253">
                  <c:v>29</c:v>
                </c:pt>
                <c:pt idx="254">
                  <c:v>32</c:v>
                </c:pt>
                <c:pt idx="255">
                  <c:v>300</c:v>
                </c:pt>
                <c:pt idx="256">
                  <c:v>171</c:v>
                </c:pt>
                <c:pt idx="257">
                  <c:v>21</c:v>
                </c:pt>
                <c:pt idx="258">
                  <c:v>138</c:v>
                </c:pt>
                <c:pt idx="259">
                  <c:v>80</c:v>
                </c:pt>
                <c:pt idx="260">
                  <c:v>80</c:v>
                </c:pt>
                <c:pt idx="261">
                  <c:v>80</c:v>
                </c:pt>
                <c:pt idx="262">
                  <c:v>50</c:v>
                </c:pt>
                <c:pt idx="263">
                  <c:v>530</c:v>
                </c:pt>
                <c:pt idx="264">
                  <c:v>530</c:v>
                </c:pt>
                <c:pt idx="265">
                  <c:v>64</c:v>
                </c:pt>
                <c:pt idx="266">
                  <c:v>115</c:v>
                </c:pt>
                <c:pt idx="267">
                  <c:v>42</c:v>
                </c:pt>
                <c:pt idx="268">
                  <c:v>32</c:v>
                </c:pt>
                <c:pt idx="269">
                  <c:v>696</c:v>
                </c:pt>
                <c:pt idx="270">
                  <c:v>5500</c:v>
                </c:pt>
                <c:pt idx="271">
                  <c:v>5500</c:v>
                </c:pt>
                <c:pt idx="272">
                  <c:v>7400</c:v>
                </c:pt>
                <c:pt idx="273">
                  <c:v>9400</c:v>
                </c:pt>
                <c:pt idx="274">
                  <c:v>9400</c:v>
                </c:pt>
                <c:pt idx="275">
                  <c:v>9400</c:v>
                </c:pt>
                <c:pt idx="276">
                  <c:v>1200</c:v>
                </c:pt>
                <c:pt idx="277">
                  <c:v>537</c:v>
                </c:pt>
                <c:pt idx="278">
                  <c:v>2300</c:v>
                </c:pt>
                <c:pt idx="279">
                  <c:v>3</c:v>
                </c:pt>
                <c:pt idx="280">
                  <c:v>133</c:v>
                </c:pt>
                <c:pt idx="281">
                  <c:v>127</c:v>
                </c:pt>
                <c:pt idx="282">
                  <c:v>75</c:v>
                </c:pt>
                <c:pt idx="283">
                  <c:v>218</c:v>
                </c:pt>
                <c:pt idx="284">
                  <c:v>165</c:v>
                </c:pt>
                <c:pt idx="285">
                  <c:v>165</c:v>
                </c:pt>
                <c:pt idx="286">
                  <c:v>16</c:v>
                </c:pt>
                <c:pt idx="287">
                  <c:v>5</c:v>
                </c:pt>
                <c:pt idx="288">
                  <c:v>100</c:v>
                </c:pt>
                <c:pt idx="289">
                  <c:v>300</c:v>
                </c:pt>
                <c:pt idx="290">
                  <c:v>102</c:v>
                </c:pt>
                <c:pt idx="291">
                  <c:v>33</c:v>
                </c:pt>
                <c:pt idx="292">
                  <c:v>281</c:v>
                </c:pt>
                <c:pt idx="293">
                  <c:v>281</c:v>
                </c:pt>
                <c:pt idx="294">
                  <c:v>570</c:v>
                </c:pt>
                <c:pt idx="295">
                  <c:v>126</c:v>
                </c:pt>
                <c:pt idx="296">
                  <c:v>164</c:v>
                </c:pt>
                <c:pt idx="297">
                  <c:v>683</c:v>
                </c:pt>
                <c:pt idx="298">
                  <c:v>522</c:v>
                </c:pt>
                <c:pt idx="299">
                  <c:v>522</c:v>
                </c:pt>
                <c:pt idx="300">
                  <c:v>497</c:v>
                </c:pt>
                <c:pt idx="301">
                  <c:v>247</c:v>
                </c:pt>
                <c:pt idx="302">
                  <c:v>212</c:v>
                </c:pt>
                <c:pt idx="303">
                  <c:v>156</c:v>
                </c:pt>
                <c:pt idx="304">
                  <c:v>771</c:v>
                </c:pt>
                <c:pt idx="305">
                  <c:v>51</c:v>
                </c:pt>
                <c:pt idx="306">
                  <c:v>51</c:v>
                </c:pt>
                <c:pt idx="307">
                  <c:v>30</c:v>
                </c:pt>
                <c:pt idx="308">
                  <c:v>51</c:v>
                </c:pt>
                <c:pt idx="309">
                  <c:v>1</c:v>
                </c:pt>
                <c:pt idx="310">
                  <c:v>189</c:v>
                </c:pt>
                <c:pt idx="311">
                  <c:v>372</c:v>
                </c:pt>
                <c:pt idx="312">
                  <c:v>1300</c:v>
                </c:pt>
                <c:pt idx="313">
                  <c:v>607</c:v>
                </c:pt>
                <c:pt idx="314">
                  <c:v>383</c:v>
                </c:pt>
                <c:pt idx="315">
                  <c:v>447</c:v>
                </c:pt>
                <c:pt idx="316">
                  <c:v>1100</c:v>
                </c:pt>
                <c:pt idx="317">
                  <c:v>1600</c:v>
                </c:pt>
                <c:pt idx="318">
                  <c:v>1600</c:v>
                </c:pt>
                <c:pt idx="319">
                  <c:v>1600</c:v>
                </c:pt>
                <c:pt idx="320">
                  <c:v>157</c:v>
                </c:pt>
                <c:pt idx="321">
                  <c:v>708</c:v>
                </c:pt>
                <c:pt idx="322">
                  <c:v>41</c:v>
                </c:pt>
                <c:pt idx="323">
                  <c:v>339</c:v>
                </c:pt>
                <c:pt idx="324">
                  <c:v>339</c:v>
                </c:pt>
                <c:pt idx="325">
                  <c:v>184</c:v>
                </c:pt>
                <c:pt idx="326">
                  <c:v>110</c:v>
                </c:pt>
                <c:pt idx="327">
                  <c:v>45</c:v>
                </c:pt>
                <c:pt idx="328">
                  <c:v>80</c:v>
                </c:pt>
                <c:pt idx="329">
                  <c:v>2000</c:v>
                </c:pt>
                <c:pt idx="330">
                  <c:v>2000</c:v>
                </c:pt>
                <c:pt idx="331">
                  <c:v>351</c:v>
                </c:pt>
                <c:pt idx="332">
                  <c:v>864</c:v>
                </c:pt>
                <c:pt idx="333">
                  <c:v>560</c:v>
                </c:pt>
                <c:pt idx="334">
                  <c:v>462</c:v>
                </c:pt>
                <c:pt idx="335">
                  <c:v>462</c:v>
                </c:pt>
                <c:pt idx="336">
                  <c:v>462</c:v>
                </c:pt>
                <c:pt idx="337">
                  <c:v>536</c:v>
                </c:pt>
                <c:pt idx="338">
                  <c:v>22</c:v>
                </c:pt>
                <c:pt idx="339">
                  <c:v>72</c:v>
                </c:pt>
                <c:pt idx="340">
                  <c:v>468</c:v>
                </c:pt>
                <c:pt idx="341">
                  <c:v>92</c:v>
                </c:pt>
                <c:pt idx="342">
                  <c:v>92</c:v>
                </c:pt>
                <c:pt idx="343">
                  <c:v>1800</c:v>
                </c:pt>
                <c:pt idx="344">
                  <c:v>309</c:v>
                </c:pt>
                <c:pt idx="345">
                  <c:v>54</c:v>
                </c:pt>
                <c:pt idx="346">
                  <c:v>67</c:v>
                </c:pt>
                <c:pt idx="347">
                  <c:v>105</c:v>
                </c:pt>
                <c:pt idx="348">
                  <c:v>54</c:v>
                </c:pt>
                <c:pt idx="349">
                  <c:v>2300</c:v>
                </c:pt>
                <c:pt idx="350">
                  <c:v>2</c:v>
                </c:pt>
                <c:pt idx="351">
                  <c:v>302</c:v>
                </c:pt>
                <c:pt idx="352">
                  <c:v>302</c:v>
                </c:pt>
                <c:pt idx="353">
                  <c:v>50</c:v>
                </c:pt>
                <c:pt idx="354">
                  <c:v>64</c:v>
                </c:pt>
                <c:pt idx="355">
                  <c:v>64</c:v>
                </c:pt>
                <c:pt idx="356">
                  <c:v>205</c:v>
                </c:pt>
                <c:pt idx="357">
                  <c:v>205</c:v>
                </c:pt>
                <c:pt idx="358">
                  <c:v>18</c:v>
                </c:pt>
                <c:pt idx="359">
                  <c:v>55</c:v>
                </c:pt>
                <c:pt idx="360">
                  <c:v>315</c:v>
                </c:pt>
                <c:pt idx="361">
                  <c:v>53</c:v>
                </c:pt>
                <c:pt idx="362">
                  <c:v>50</c:v>
                </c:pt>
                <c:pt idx="363">
                  <c:v>2</c:v>
                </c:pt>
                <c:pt idx="364">
                  <c:v>133</c:v>
                </c:pt>
                <c:pt idx="365">
                  <c:v>64</c:v>
                </c:pt>
                <c:pt idx="366">
                  <c:v>20</c:v>
                </c:pt>
                <c:pt idx="367">
                  <c:v>112</c:v>
                </c:pt>
                <c:pt idx="368">
                  <c:v>4</c:v>
                </c:pt>
                <c:pt idx="369">
                  <c:v>496</c:v>
                </c:pt>
                <c:pt idx="370">
                  <c:v>496</c:v>
                </c:pt>
                <c:pt idx="371">
                  <c:v>328</c:v>
                </c:pt>
                <c:pt idx="372">
                  <c:v>1</c:v>
                </c:pt>
                <c:pt idx="373">
                  <c:v>549</c:v>
                </c:pt>
                <c:pt idx="374">
                  <c:v>140</c:v>
                </c:pt>
                <c:pt idx="375">
                  <c:v>119</c:v>
                </c:pt>
                <c:pt idx="376">
                  <c:v>17</c:v>
                </c:pt>
                <c:pt idx="377">
                  <c:v>681</c:v>
                </c:pt>
                <c:pt idx="378">
                  <c:v>681</c:v>
                </c:pt>
                <c:pt idx="379">
                  <c:v>698</c:v>
                </c:pt>
                <c:pt idx="380">
                  <c:v>681</c:v>
                </c:pt>
                <c:pt idx="381">
                  <c:v>13</c:v>
                </c:pt>
                <c:pt idx="382">
                  <c:v>5</c:v>
                </c:pt>
                <c:pt idx="383">
                  <c:v>76</c:v>
                </c:pt>
                <c:pt idx="384">
                  <c:v>537</c:v>
                </c:pt>
                <c:pt idx="385">
                  <c:v>59</c:v>
                </c:pt>
                <c:pt idx="386">
                  <c:v>1000</c:v>
                </c:pt>
                <c:pt idx="387">
                  <c:v>78</c:v>
                </c:pt>
                <c:pt idx="388">
                  <c:v>100</c:v>
                </c:pt>
                <c:pt idx="389">
                  <c:v>1300</c:v>
                </c:pt>
                <c:pt idx="390">
                  <c:v>110</c:v>
                </c:pt>
                <c:pt idx="391">
                  <c:v>47</c:v>
                </c:pt>
                <c:pt idx="392">
                  <c:v>186</c:v>
                </c:pt>
                <c:pt idx="393">
                  <c:v>153</c:v>
                </c:pt>
                <c:pt idx="394">
                  <c:v>253</c:v>
                </c:pt>
                <c:pt idx="395">
                  <c:v>296</c:v>
                </c:pt>
                <c:pt idx="396">
                  <c:v>58</c:v>
                </c:pt>
                <c:pt idx="397">
                  <c:v>20</c:v>
                </c:pt>
                <c:pt idx="398">
                  <c:v>332</c:v>
                </c:pt>
                <c:pt idx="399">
                  <c:v>240</c:v>
                </c:pt>
                <c:pt idx="400">
                  <c:v>138</c:v>
                </c:pt>
                <c:pt idx="401">
                  <c:v>137</c:v>
                </c:pt>
                <c:pt idx="402">
                  <c:v>8</c:v>
                </c:pt>
                <c:pt idx="403">
                  <c:v>162</c:v>
                </c:pt>
                <c:pt idx="404">
                  <c:v>2</c:v>
                </c:pt>
                <c:pt idx="405">
                  <c:v>92</c:v>
                </c:pt>
                <c:pt idx="406">
                  <c:v>660</c:v>
                </c:pt>
                <c:pt idx="407">
                  <c:v>549</c:v>
                </c:pt>
                <c:pt idx="408">
                  <c:v>549</c:v>
                </c:pt>
                <c:pt idx="409">
                  <c:v>549</c:v>
                </c:pt>
                <c:pt idx="410">
                  <c:v>244</c:v>
                </c:pt>
                <c:pt idx="411">
                  <c:v>11</c:v>
                </c:pt>
                <c:pt idx="412">
                  <c:v>1</c:v>
                </c:pt>
                <c:pt idx="413">
                  <c:v>98</c:v>
                </c:pt>
                <c:pt idx="414">
                  <c:v>101</c:v>
                </c:pt>
                <c:pt idx="415">
                  <c:v>719</c:v>
                </c:pt>
                <c:pt idx="416">
                  <c:v>596</c:v>
                </c:pt>
                <c:pt idx="417">
                  <c:v>482</c:v>
                </c:pt>
                <c:pt idx="418">
                  <c:v>41</c:v>
                </c:pt>
                <c:pt idx="419">
                  <c:v>125</c:v>
                </c:pt>
                <c:pt idx="420">
                  <c:v>130</c:v>
                </c:pt>
                <c:pt idx="421">
                  <c:v>40</c:v>
                </c:pt>
                <c:pt idx="422">
                  <c:v>1600</c:v>
                </c:pt>
                <c:pt idx="423">
                  <c:v>1600</c:v>
                </c:pt>
                <c:pt idx="424">
                  <c:v>1600</c:v>
                </c:pt>
                <c:pt idx="425">
                  <c:v>1600</c:v>
                </c:pt>
                <c:pt idx="426">
                  <c:v>17</c:v>
                </c:pt>
                <c:pt idx="427">
                  <c:v>455</c:v>
                </c:pt>
                <c:pt idx="428">
                  <c:v>117</c:v>
                </c:pt>
                <c:pt idx="429">
                  <c:v>10</c:v>
                </c:pt>
                <c:pt idx="430">
                  <c:v>726</c:v>
                </c:pt>
                <c:pt idx="431">
                  <c:v>5</c:v>
                </c:pt>
                <c:pt idx="432">
                  <c:v>37</c:v>
                </c:pt>
                <c:pt idx="433">
                  <c:v>380</c:v>
                </c:pt>
                <c:pt idx="434">
                  <c:v>281</c:v>
                </c:pt>
                <c:pt idx="435">
                  <c:v>280</c:v>
                </c:pt>
                <c:pt idx="436">
                  <c:v>1100</c:v>
                </c:pt>
                <c:pt idx="437">
                  <c:v>1100</c:v>
                </c:pt>
                <c:pt idx="438">
                  <c:v>665</c:v>
                </c:pt>
                <c:pt idx="439">
                  <c:v>1100</c:v>
                </c:pt>
                <c:pt idx="440">
                  <c:v>102</c:v>
                </c:pt>
                <c:pt idx="441">
                  <c:v>169</c:v>
                </c:pt>
                <c:pt idx="442">
                  <c:v>160</c:v>
                </c:pt>
                <c:pt idx="443">
                  <c:v>2</c:v>
                </c:pt>
                <c:pt idx="444">
                  <c:v>45</c:v>
                </c:pt>
                <c:pt idx="445">
                  <c:v>70</c:v>
                </c:pt>
                <c:pt idx="446">
                  <c:v>458</c:v>
                </c:pt>
                <c:pt idx="447">
                  <c:v>16</c:v>
                </c:pt>
                <c:pt idx="448">
                  <c:v>120</c:v>
                </c:pt>
                <c:pt idx="449">
                  <c:v>314</c:v>
                </c:pt>
                <c:pt idx="450">
                  <c:v>93</c:v>
                </c:pt>
                <c:pt idx="451">
                  <c:v>3</c:v>
                </c:pt>
                <c:pt idx="452">
                  <c:v>61</c:v>
                </c:pt>
                <c:pt idx="453">
                  <c:v>11</c:v>
                </c:pt>
                <c:pt idx="454">
                  <c:v>24</c:v>
                </c:pt>
                <c:pt idx="455">
                  <c:v>5300</c:v>
                </c:pt>
                <c:pt idx="456">
                  <c:v>26</c:v>
                </c:pt>
                <c:pt idx="457">
                  <c:v>156</c:v>
                </c:pt>
                <c:pt idx="458">
                  <c:v>156</c:v>
                </c:pt>
                <c:pt idx="459">
                  <c:v>156</c:v>
                </c:pt>
                <c:pt idx="460">
                  <c:v>233</c:v>
                </c:pt>
                <c:pt idx="461">
                  <c:v>7</c:v>
                </c:pt>
                <c:pt idx="462">
                  <c:v>999</c:v>
                </c:pt>
                <c:pt idx="463">
                  <c:v>999</c:v>
                </c:pt>
                <c:pt idx="464">
                  <c:v>157</c:v>
                </c:pt>
                <c:pt idx="465">
                  <c:v>102</c:v>
                </c:pt>
                <c:pt idx="466">
                  <c:v>8</c:v>
                </c:pt>
                <c:pt idx="467">
                  <c:v>405</c:v>
                </c:pt>
                <c:pt idx="468">
                  <c:v>404</c:v>
                </c:pt>
                <c:pt idx="469">
                  <c:v>19</c:v>
                </c:pt>
                <c:pt idx="470">
                  <c:v>182</c:v>
                </c:pt>
                <c:pt idx="471">
                  <c:v>31</c:v>
                </c:pt>
                <c:pt idx="472">
                  <c:v>146</c:v>
                </c:pt>
                <c:pt idx="473">
                  <c:v>35</c:v>
                </c:pt>
                <c:pt idx="474">
                  <c:v>750</c:v>
                </c:pt>
                <c:pt idx="475">
                  <c:v>750</c:v>
                </c:pt>
                <c:pt idx="476">
                  <c:v>153</c:v>
                </c:pt>
                <c:pt idx="477">
                  <c:v>54</c:v>
                </c:pt>
                <c:pt idx="478">
                  <c:v>161</c:v>
                </c:pt>
                <c:pt idx="479">
                  <c:v>156</c:v>
                </c:pt>
                <c:pt idx="480">
                  <c:v>247</c:v>
                </c:pt>
                <c:pt idx="481">
                  <c:v>168</c:v>
                </c:pt>
                <c:pt idx="482">
                  <c:v>120</c:v>
                </c:pt>
                <c:pt idx="483">
                  <c:v>120</c:v>
                </c:pt>
                <c:pt idx="484">
                  <c:v>814</c:v>
                </c:pt>
                <c:pt idx="485">
                  <c:v>23</c:v>
                </c:pt>
                <c:pt idx="486">
                  <c:v>63</c:v>
                </c:pt>
                <c:pt idx="487">
                  <c:v>607</c:v>
                </c:pt>
                <c:pt idx="488">
                  <c:v>607</c:v>
                </c:pt>
                <c:pt idx="489">
                  <c:v>3</c:v>
                </c:pt>
                <c:pt idx="490">
                  <c:v>103</c:v>
                </c:pt>
                <c:pt idx="491">
                  <c:v>1000</c:v>
                </c:pt>
                <c:pt idx="492">
                  <c:v>1000</c:v>
                </c:pt>
                <c:pt idx="493">
                  <c:v>1000</c:v>
                </c:pt>
                <c:pt idx="494">
                  <c:v>430</c:v>
                </c:pt>
                <c:pt idx="495">
                  <c:v>190</c:v>
                </c:pt>
                <c:pt idx="496">
                  <c:v>63</c:v>
                </c:pt>
                <c:pt idx="497">
                  <c:v>100</c:v>
                </c:pt>
                <c:pt idx="498">
                  <c:v>90</c:v>
                </c:pt>
                <c:pt idx="499">
                  <c:v>390</c:v>
                </c:pt>
                <c:pt idx="500">
                  <c:v>18</c:v>
                </c:pt>
                <c:pt idx="501">
                  <c:v>259</c:v>
                </c:pt>
                <c:pt idx="502">
                  <c:v>78</c:v>
                </c:pt>
                <c:pt idx="503">
                  <c:v>411</c:v>
                </c:pt>
                <c:pt idx="504">
                  <c:v>194</c:v>
                </c:pt>
                <c:pt idx="505">
                  <c:v>254</c:v>
                </c:pt>
                <c:pt idx="506">
                  <c:v>80</c:v>
                </c:pt>
                <c:pt idx="507">
                  <c:v>1700</c:v>
                </c:pt>
                <c:pt idx="508">
                  <c:v>1500</c:v>
                </c:pt>
                <c:pt idx="509">
                  <c:v>1700</c:v>
                </c:pt>
                <c:pt idx="510">
                  <c:v>8300</c:v>
                </c:pt>
                <c:pt idx="511">
                  <c:v>9900</c:v>
                </c:pt>
                <c:pt idx="512">
                  <c:v>8300</c:v>
                </c:pt>
                <c:pt idx="513">
                  <c:v>143</c:v>
                </c:pt>
                <c:pt idx="514">
                  <c:v>106</c:v>
                </c:pt>
                <c:pt idx="515">
                  <c:v>58</c:v>
                </c:pt>
                <c:pt idx="516">
                  <c:v>811</c:v>
                </c:pt>
                <c:pt idx="517">
                  <c:v>436</c:v>
                </c:pt>
                <c:pt idx="518">
                  <c:v>811</c:v>
                </c:pt>
                <c:pt idx="519">
                  <c:v>481</c:v>
                </c:pt>
                <c:pt idx="520">
                  <c:v>26</c:v>
                </c:pt>
                <c:pt idx="521">
                  <c:v>105</c:v>
                </c:pt>
                <c:pt idx="522">
                  <c:v>491</c:v>
                </c:pt>
                <c:pt idx="523">
                  <c:v>133</c:v>
                </c:pt>
                <c:pt idx="524">
                  <c:v>18</c:v>
                </c:pt>
                <c:pt idx="525">
                  <c:v>88</c:v>
                </c:pt>
                <c:pt idx="526">
                  <c:v>252</c:v>
                </c:pt>
                <c:pt idx="527">
                  <c:v>180</c:v>
                </c:pt>
                <c:pt idx="528">
                  <c:v>180</c:v>
                </c:pt>
                <c:pt idx="529">
                  <c:v>180</c:v>
                </c:pt>
                <c:pt idx="530">
                  <c:v>105</c:v>
                </c:pt>
                <c:pt idx="531">
                  <c:v>105</c:v>
                </c:pt>
                <c:pt idx="532">
                  <c:v>280</c:v>
                </c:pt>
                <c:pt idx="533">
                  <c:v>16</c:v>
                </c:pt>
                <c:pt idx="534">
                  <c:v>536</c:v>
                </c:pt>
                <c:pt idx="535">
                  <c:v>536</c:v>
                </c:pt>
                <c:pt idx="536">
                  <c:v>679</c:v>
                </c:pt>
                <c:pt idx="537">
                  <c:v>679</c:v>
                </c:pt>
                <c:pt idx="538">
                  <c:v>679</c:v>
                </c:pt>
                <c:pt idx="539">
                  <c:v>130</c:v>
                </c:pt>
                <c:pt idx="540">
                  <c:v>223</c:v>
                </c:pt>
                <c:pt idx="541">
                  <c:v>116</c:v>
                </c:pt>
                <c:pt idx="542">
                  <c:v>116</c:v>
                </c:pt>
                <c:pt idx="543">
                  <c:v>689</c:v>
                </c:pt>
                <c:pt idx="544">
                  <c:v>102</c:v>
                </c:pt>
                <c:pt idx="545">
                  <c:v>2500</c:v>
                </c:pt>
                <c:pt idx="546">
                  <c:v>22</c:v>
                </c:pt>
                <c:pt idx="547">
                  <c:v>719</c:v>
                </c:pt>
                <c:pt idx="548">
                  <c:v>175</c:v>
                </c:pt>
                <c:pt idx="549">
                  <c:v>107</c:v>
                </c:pt>
                <c:pt idx="550">
                  <c:v>550</c:v>
                </c:pt>
                <c:pt idx="551">
                  <c:v>56</c:v>
                </c:pt>
                <c:pt idx="552">
                  <c:v>1700</c:v>
                </c:pt>
                <c:pt idx="553">
                  <c:v>4</c:v>
                </c:pt>
                <c:pt idx="554">
                  <c:v>100</c:v>
                </c:pt>
                <c:pt idx="555">
                  <c:v>17</c:v>
                </c:pt>
                <c:pt idx="556">
                  <c:v>382</c:v>
                </c:pt>
                <c:pt idx="557">
                  <c:v>603</c:v>
                </c:pt>
                <c:pt idx="558">
                  <c:v>114</c:v>
                </c:pt>
                <c:pt idx="559">
                  <c:v>190</c:v>
                </c:pt>
                <c:pt idx="560">
                  <c:v>2</c:v>
                </c:pt>
                <c:pt idx="561">
                  <c:v>12</c:v>
                </c:pt>
                <c:pt idx="562">
                  <c:v>12</c:v>
                </c:pt>
                <c:pt idx="563">
                  <c:v>465</c:v>
                </c:pt>
                <c:pt idx="564">
                  <c:v>1</c:v>
                </c:pt>
                <c:pt idx="565">
                  <c:v>202</c:v>
                </c:pt>
                <c:pt idx="566">
                  <c:v>30</c:v>
                </c:pt>
                <c:pt idx="567">
                  <c:v>460</c:v>
                </c:pt>
                <c:pt idx="568">
                  <c:v>1200</c:v>
                </c:pt>
                <c:pt idx="569">
                  <c:v>149</c:v>
                </c:pt>
                <c:pt idx="570">
                  <c:v>40</c:v>
                </c:pt>
                <c:pt idx="571">
                  <c:v>462</c:v>
                </c:pt>
                <c:pt idx="572">
                  <c:v>1</c:v>
                </c:pt>
                <c:pt idx="573">
                  <c:v>656</c:v>
                </c:pt>
                <c:pt idx="574">
                  <c:v>77</c:v>
                </c:pt>
                <c:pt idx="575">
                  <c:v>109</c:v>
                </c:pt>
                <c:pt idx="576">
                  <c:v>70</c:v>
                </c:pt>
                <c:pt idx="577">
                  <c:v>162</c:v>
                </c:pt>
                <c:pt idx="578">
                  <c:v>212</c:v>
                </c:pt>
                <c:pt idx="579">
                  <c:v>212</c:v>
                </c:pt>
                <c:pt idx="580">
                  <c:v>2</c:v>
                </c:pt>
                <c:pt idx="581">
                  <c:v>96</c:v>
                </c:pt>
                <c:pt idx="582">
                  <c:v>257</c:v>
                </c:pt>
                <c:pt idx="583">
                  <c:v>22</c:v>
                </c:pt>
                <c:pt idx="584">
                  <c:v>65</c:v>
                </c:pt>
                <c:pt idx="585">
                  <c:v>323</c:v>
                </c:pt>
                <c:pt idx="586">
                  <c:v>323</c:v>
                </c:pt>
                <c:pt idx="587">
                  <c:v>30</c:v>
                </c:pt>
                <c:pt idx="588">
                  <c:v>40</c:v>
                </c:pt>
                <c:pt idx="589">
                  <c:v>94</c:v>
                </c:pt>
                <c:pt idx="590">
                  <c:v>317</c:v>
                </c:pt>
                <c:pt idx="591">
                  <c:v>142</c:v>
                </c:pt>
                <c:pt idx="592">
                  <c:v>16</c:v>
                </c:pt>
                <c:pt idx="593">
                  <c:v>78</c:v>
                </c:pt>
                <c:pt idx="594">
                  <c:v>4</c:v>
                </c:pt>
                <c:pt idx="595">
                  <c:v>14</c:v>
                </c:pt>
                <c:pt idx="596">
                  <c:v>310</c:v>
                </c:pt>
                <c:pt idx="597">
                  <c:v>59</c:v>
                </c:pt>
                <c:pt idx="598">
                  <c:v>85</c:v>
                </c:pt>
                <c:pt idx="599">
                  <c:v>85</c:v>
                </c:pt>
                <c:pt idx="600">
                  <c:v>11</c:v>
                </c:pt>
                <c:pt idx="601">
                  <c:v>663</c:v>
                </c:pt>
                <c:pt idx="602">
                  <c:v>97</c:v>
                </c:pt>
                <c:pt idx="603">
                  <c:v>1200</c:v>
                </c:pt>
                <c:pt idx="604">
                  <c:v>37</c:v>
                </c:pt>
                <c:pt idx="605">
                  <c:v>10</c:v>
                </c:pt>
                <c:pt idx="606">
                  <c:v>10</c:v>
                </c:pt>
                <c:pt idx="607">
                  <c:v>106</c:v>
                </c:pt>
                <c:pt idx="608">
                  <c:v>406</c:v>
                </c:pt>
                <c:pt idx="609">
                  <c:v>406</c:v>
                </c:pt>
                <c:pt idx="610">
                  <c:v>322</c:v>
                </c:pt>
                <c:pt idx="611">
                  <c:v>69</c:v>
                </c:pt>
                <c:pt idx="612">
                  <c:v>557</c:v>
                </c:pt>
                <c:pt idx="613">
                  <c:v>332</c:v>
                </c:pt>
                <c:pt idx="614">
                  <c:v>476</c:v>
                </c:pt>
                <c:pt idx="615">
                  <c:v>176</c:v>
                </c:pt>
                <c:pt idx="616">
                  <c:v>18</c:v>
                </c:pt>
                <c:pt idx="617">
                  <c:v>290</c:v>
                </c:pt>
                <c:pt idx="618">
                  <c:v>400</c:v>
                </c:pt>
                <c:pt idx="619">
                  <c:v>60</c:v>
                </c:pt>
                <c:pt idx="620">
                  <c:v>87</c:v>
                </c:pt>
                <c:pt idx="621">
                  <c:v>26</c:v>
                </c:pt>
                <c:pt idx="622">
                  <c:v>100</c:v>
                </c:pt>
                <c:pt idx="623">
                  <c:v>61</c:v>
                </c:pt>
                <c:pt idx="624">
                  <c:v>61</c:v>
                </c:pt>
                <c:pt idx="625">
                  <c:v>319</c:v>
                </c:pt>
                <c:pt idx="626">
                  <c:v>48</c:v>
                </c:pt>
                <c:pt idx="627">
                  <c:v>336</c:v>
                </c:pt>
                <c:pt idx="628">
                  <c:v>502</c:v>
                </c:pt>
                <c:pt idx="629">
                  <c:v>1700</c:v>
                </c:pt>
                <c:pt idx="630">
                  <c:v>145</c:v>
                </c:pt>
                <c:pt idx="631">
                  <c:v>145</c:v>
                </c:pt>
                <c:pt idx="632">
                  <c:v>150</c:v>
                </c:pt>
                <c:pt idx="633">
                  <c:v>150</c:v>
                </c:pt>
                <c:pt idx="634">
                  <c:v>124</c:v>
                </c:pt>
                <c:pt idx="635">
                  <c:v>1200</c:v>
                </c:pt>
                <c:pt idx="636">
                  <c:v>31</c:v>
                </c:pt>
                <c:pt idx="637">
                  <c:v>81</c:v>
                </c:pt>
                <c:pt idx="638">
                  <c:v>76</c:v>
                </c:pt>
                <c:pt idx="639">
                  <c:v>273</c:v>
                </c:pt>
                <c:pt idx="640">
                  <c:v>35</c:v>
                </c:pt>
                <c:pt idx="641">
                  <c:v>226</c:v>
                </c:pt>
                <c:pt idx="642">
                  <c:v>30</c:v>
                </c:pt>
                <c:pt idx="643">
                  <c:v>49</c:v>
                </c:pt>
                <c:pt idx="644">
                  <c:v>22</c:v>
                </c:pt>
                <c:pt idx="645">
                  <c:v>9</c:v>
                </c:pt>
                <c:pt idx="646">
                  <c:v>1000</c:v>
                </c:pt>
                <c:pt idx="647">
                  <c:v>264</c:v>
                </c:pt>
                <c:pt idx="648">
                  <c:v>32</c:v>
                </c:pt>
                <c:pt idx="649">
                  <c:v>269</c:v>
                </c:pt>
                <c:pt idx="650">
                  <c:v>29</c:v>
                </c:pt>
                <c:pt idx="651">
                  <c:v>50</c:v>
                </c:pt>
                <c:pt idx="652">
                  <c:v>59</c:v>
                </c:pt>
                <c:pt idx="653">
                  <c:v>13</c:v>
                </c:pt>
                <c:pt idx="654">
                  <c:v>111</c:v>
                </c:pt>
                <c:pt idx="655">
                  <c:v>57</c:v>
                </c:pt>
                <c:pt idx="656">
                  <c:v>15</c:v>
                </c:pt>
                <c:pt idx="657">
                  <c:v>2400</c:v>
                </c:pt>
                <c:pt idx="658">
                  <c:v>235</c:v>
                </c:pt>
                <c:pt idx="659">
                  <c:v>12900</c:v>
                </c:pt>
                <c:pt idx="660">
                  <c:v>14</c:v>
                </c:pt>
                <c:pt idx="661">
                  <c:v>119</c:v>
                </c:pt>
                <c:pt idx="662">
                  <c:v>45</c:v>
                </c:pt>
                <c:pt idx="663">
                  <c:v>9</c:v>
                </c:pt>
                <c:pt idx="664">
                  <c:v>310</c:v>
                </c:pt>
                <c:pt idx="665">
                  <c:v>310</c:v>
                </c:pt>
                <c:pt idx="666">
                  <c:v>1</c:v>
                </c:pt>
                <c:pt idx="667">
                  <c:v>4</c:v>
                </c:pt>
                <c:pt idx="668">
                  <c:v>120</c:v>
                </c:pt>
                <c:pt idx="669">
                  <c:v>263</c:v>
                </c:pt>
                <c:pt idx="670">
                  <c:v>96</c:v>
                </c:pt>
                <c:pt idx="671">
                  <c:v>176</c:v>
                </c:pt>
                <c:pt idx="672">
                  <c:v>176</c:v>
                </c:pt>
                <c:pt idx="673">
                  <c:v>749</c:v>
                </c:pt>
                <c:pt idx="674">
                  <c:v>749</c:v>
                </c:pt>
                <c:pt idx="675">
                  <c:v>749</c:v>
                </c:pt>
                <c:pt idx="676">
                  <c:v>20</c:v>
                </c:pt>
                <c:pt idx="677">
                  <c:v>125</c:v>
                </c:pt>
                <c:pt idx="678">
                  <c:v>58</c:v>
                </c:pt>
                <c:pt idx="679">
                  <c:v>58</c:v>
                </c:pt>
                <c:pt idx="680">
                  <c:v>593</c:v>
                </c:pt>
                <c:pt idx="681">
                  <c:v>225</c:v>
                </c:pt>
                <c:pt idx="682">
                  <c:v>100</c:v>
                </c:pt>
                <c:pt idx="683">
                  <c:v>201</c:v>
                </c:pt>
                <c:pt idx="684">
                  <c:v>166</c:v>
                </c:pt>
                <c:pt idx="685">
                  <c:v>63</c:v>
                </c:pt>
                <c:pt idx="686">
                  <c:v>133</c:v>
                </c:pt>
                <c:pt idx="687">
                  <c:v>76</c:v>
                </c:pt>
                <c:pt idx="688">
                  <c:v>75</c:v>
                </c:pt>
                <c:pt idx="689">
                  <c:v>280</c:v>
                </c:pt>
                <c:pt idx="690">
                  <c:v>107</c:v>
                </c:pt>
                <c:pt idx="691">
                  <c:v>107</c:v>
                </c:pt>
                <c:pt idx="692">
                  <c:v>484</c:v>
                </c:pt>
                <c:pt idx="693">
                  <c:v>203</c:v>
                </c:pt>
                <c:pt idx="694">
                  <c:v>3</c:v>
                </c:pt>
                <c:pt idx="695">
                  <c:v>17</c:v>
                </c:pt>
                <c:pt idx="696">
                  <c:v>17</c:v>
                </c:pt>
                <c:pt idx="697">
                  <c:v>202</c:v>
                </c:pt>
                <c:pt idx="698">
                  <c:v>151</c:v>
                </c:pt>
                <c:pt idx="699">
                  <c:v>59</c:v>
                </c:pt>
                <c:pt idx="700">
                  <c:v>197</c:v>
                </c:pt>
                <c:pt idx="701">
                  <c:v>453</c:v>
                </c:pt>
                <c:pt idx="702">
                  <c:v>553</c:v>
                </c:pt>
                <c:pt idx="703">
                  <c:v>746</c:v>
                </c:pt>
                <c:pt idx="704">
                  <c:v>42</c:v>
                </c:pt>
                <c:pt idx="705">
                  <c:v>310</c:v>
                </c:pt>
                <c:pt idx="706">
                  <c:v>228</c:v>
                </c:pt>
                <c:pt idx="707">
                  <c:v>50</c:v>
                </c:pt>
                <c:pt idx="708">
                  <c:v>101</c:v>
                </c:pt>
                <c:pt idx="709">
                  <c:v>76</c:v>
                </c:pt>
                <c:pt idx="710">
                  <c:v>5</c:v>
                </c:pt>
                <c:pt idx="711">
                  <c:v>148</c:v>
                </c:pt>
                <c:pt idx="712">
                  <c:v>423</c:v>
                </c:pt>
                <c:pt idx="713">
                  <c:v>423</c:v>
                </c:pt>
                <c:pt idx="714">
                  <c:v>423</c:v>
                </c:pt>
                <c:pt idx="715">
                  <c:v>78</c:v>
                </c:pt>
                <c:pt idx="716">
                  <c:v>120</c:v>
                </c:pt>
                <c:pt idx="717">
                  <c:v>948</c:v>
                </c:pt>
                <c:pt idx="718">
                  <c:v>403</c:v>
                </c:pt>
                <c:pt idx="719">
                  <c:v>1800</c:v>
                </c:pt>
                <c:pt idx="720">
                  <c:v>1800</c:v>
                </c:pt>
                <c:pt idx="721">
                  <c:v>1800</c:v>
                </c:pt>
                <c:pt idx="722">
                  <c:v>16</c:v>
                </c:pt>
                <c:pt idx="723">
                  <c:v>49</c:v>
                </c:pt>
                <c:pt idx="724">
                  <c:v>656</c:v>
                </c:pt>
                <c:pt idx="725">
                  <c:v>350</c:v>
                </c:pt>
                <c:pt idx="726">
                  <c:v>413</c:v>
                </c:pt>
                <c:pt idx="727">
                  <c:v>41</c:v>
                </c:pt>
                <c:pt idx="728">
                  <c:v>45</c:v>
                </c:pt>
                <c:pt idx="729">
                  <c:v>204</c:v>
                </c:pt>
                <c:pt idx="730">
                  <c:v>82</c:v>
                </c:pt>
                <c:pt idx="731">
                  <c:v>30</c:v>
                </c:pt>
                <c:pt idx="732">
                  <c:v>266</c:v>
                </c:pt>
                <c:pt idx="733">
                  <c:v>266</c:v>
                </c:pt>
                <c:pt idx="734">
                  <c:v>186</c:v>
                </c:pt>
                <c:pt idx="735">
                  <c:v>1200</c:v>
                </c:pt>
                <c:pt idx="736">
                  <c:v>197</c:v>
                </c:pt>
                <c:pt idx="737">
                  <c:v>97</c:v>
                </c:pt>
                <c:pt idx="738">
                  <c:v>178</c:v>
                </c:pt>
                <c:pt idx="739">
                  <c:v>21</c:v>
                </c:pt>
                <c:pt idx="740">
                  <c:v>122</c:v>
                </c:pt>
                <c:pt idx="741">
                  <c:v>800</c:v>
                </c:pt>
                <c:pt idx="742">
                  <c:v>75</c:v>
                </c:pt>
                <c:pt idx="743">
                  <c:v>4800</c:v>
                </c:pt>
                <c:pt idx="744">
                  <c:v>12</c:v>
                </c:pt>
                <c:pt idx="745">
                  <c:v>12</c:v>
                </c:pt>
                <c:pt idx="746">
                  <c:v>54</c:v>
                </c:pt>
                <c:pt idx="747">
                  <c:v>583</c:v>
                </c:pt>
                <c:pt idx="748">
                  <c:v>16</c:v>
                </c:pt>
                <c:pt idx="749">
                  <c:v>6</c:v>
                </c:pt>
                <c:pt idx="750">
                  <c:v>910</c:v>
                </c:pt>
                <c:pt idx="751">
                  <c:v>26</c:v>
                </c:pt>
                <c:pt idx="752">
                  <c:v>288</c:v>
                </c:pt>
                <c:pt idx="753">
                  <c:v>3400</c:v>
                </c:pt>
                <c:pt idx="754">
                  <c:v>3400</c:v>
                </c:pt>
                <c:pt idx="755">
                  <c:v>3400</c:v>
                </c:pt>
                <c:pt idx="756">
                  <c:v>3400</c:v>
                </c:pt>
                <c:pt idx="757">
                  <c:v>1300</c:v>
                </c:pt>
                <c:pt idx="758">
                  <c:v>1300</c:v>
                </c:pt>
                <c:pt idx="759">
                  <c:v>47</c:v>
                </c:pt>
                <c:pt idx="760">
                  <c:v>686</c:v>
                </c:pt>
                <c:pt idx="761">
                  <c:v>686</c:v>
                </c:pt>
                <c:pt idx="762">
                  <c:v>1300</c:v>
                </c:pt>
                <c:pt idx="763">
                  <c:v>9900</c:v>
                </c:pt>
                <c:pt idx="764">
                  <c:v>16</c:v>
                </c:pt>
                <c:pt idx="765">
                  <c:v>17</c:v>
                </c:pt>
                <c:pt idx="766">
                  <c:v>692</c:v>
                </c:pt>
                <c:pt idx="767">
                  <c:v>7</c:v>
                </c:pt>
                <c:pt idx="768">
                  <c:v>214</c:v>
                </c:pt>
                <c:pt idx="769">
                  <c:v>110</c:v>
                </c:pt>
                <c:pt idx="770">
                  <c:v>556</c:v>
                </c:pt>
                <c:pt idx="771">
                  <c:v>145</c:v>
                </c:pt>
                <c:pt idx="772">
                  <c:v>190</c:v>
                </c:pt>
                <c:pt idx="773">
                  <c:v>1400</c:v>
                </c:pt>
                <c:pt idx="774">
                  <c:v>1400</c:v>
                </c:pt>
                <c:pt idx="775">
                  <c:v>1400</c:v>
                </c:pt>
                <c:pt idx="776">
                  <c:v>474</c:v>
                </c:pt>
                <c:pt idx="777">
                  <c:v>2300</c:v>
                </c:pt>
                <c:pt idx="778">
                  <c:v>550</c:v>
                </c:pt>
                <c:pt idx="779">
                  <c:v>24</c:v>
                </c:pt>
                <c:pt idx="780">
                  <c:v>58</c:v>
                </c:pt>
                <c:pt idx="781">
                  <c:v>746</c:v>
                </c:pt>
                <c:pt idx="782">
                  <c:v>300</c:v>
                </c:pt>
                <c:pt idx="783">
                  <c:v>11</c:v>
                </c:pt>
                <c:pt idx="784">
                  <c:v>2</c:v>
                </c:pt>
                <c:pt idx="785">
                  <c:v>74</c:v>
                </c:pt>
                <c:pt idx="786">
                  <c:v>191</c:v>
                </c:pt>
                <c:pt idx="787">
                  <c:v>58</c:v>
                </c:pt>
                <c:pt idx="788">
                  <c:v>349</c:v>
                </c:pt>
                <c:pt idx="789">
                  <c:v>7</c:v>
                </c:pt>
                <c:pt idx="790">
                  <c:v>58</c:v>
                </c:pt>
                <c:pt idx="791">
                  <c:v>215</c:v>
                </c:pt>
                <c:pt idx="792">
                  <c:v>136</c:v>
                </c:pt>
                <c:pt idx="793">
                  <c:v>244</c:v>
                </c:pt>
                <c:pt idx="794">
                  <c:v>100</c:v>
                </c:pt>
                <c:pt idx="795">
                  <c:v>20</c:v>
                </c:pt>
                <c:pt idx="796">
                  <c:v>67</c:v>
                </c:pt>
                <c:pt idx="797">
                  <c:v>367</c:v>
                </c:pt>
                <c:pt idx="798">
                  <c:v>28</c:v>
                </c:pt>
                <c:pt idx="799">
                  <c:v>6</c:v>
                </c:pt>
                <c:pt idx="800">
                  <c:v>265</c:v>
                </c:pt>
                <c:pt idx="801">
                  <c:v>45</c:v>
                </c:pt>
                <c:pt idx="802">
                  <c:v>475</c:v>
                </c:pt>
                <c:pt idx="803">
                  <c:v>9</c:v>
                </c:pt>
                <c:pt idx="804">
                  <c:v>644</c:v>
                </c:pt>
                <c:pt idx="805">
                  <c:v>41</c:v>
                </c:pt>
                <c:pt idx="806">
                  <c:v>1300</c:v>
                </c:pt>
                <c:pt idx="807">
                  <c:v>132</c:v>
                </c:pt>
                <c:pt idx="808">
                  <c:v>52</c:v>
                </c:pt>
                <c:pt idx="809">
                  <c:v>82</c:v>
                </c:pt>
                <c:pt idx="810">
                  <c:v>4</c:v>
                </c:pt>
                <c:pt idx="811">
                  <c:v>128</c:v>
                </c:pt>
                <c:pt idx="812">
                  <c:v>743</c:v>
                </c:pt>
                <c:pt idx="813">
                  <c:v>160</c:v>
                </c:pt>
                <c:pt idx="814">
                  <c:v>501</c:v>
                </c:pt>
                <c:pt idx="815">
                  <c:v>35</c:v>
                </c:pt>
                <c:pt idx="816">
                  <c:v>35</c:v>
                </c:pt>
                <c:pt idx="817">
                  <c:v>95</c:v>
                </c:pt>
                <c:pt idx="818">
                  <c:v>300</c:v>
                </c:pt>
                <c:pt idx="819">
                  <c:v>300</c:v>
                </c:pt>
                <c:pt idx="820">
                  <c:v>300</c:v>
                </c:pt>
                <c:pt idx="821">
                  <c:v>1000</c:v>
                </c:pt>
                <c:pt idx="822">
                  <c:v>1000</c:v>
                </c:pt>
                <c:pt idx="823">
                  <c:v>1000</c:v>
                </c:pt>
                <c:pt idx="824">
                  <c:v>183</c:v>
                </c:pt>
                <c:pt idx="825">
                  <c:v>45</c:v>
                </c:pt>
                <c:pt idx="826">
                  <c:v>45</c:v>
                </c:pt>
                <c:pt idx="827">
                  <c:v>30</c:v>
                </c:pt>
                <c:pt idx="828">
                  <c:v>127</c:v>
                </c:pt>
                <c:pt idx="829">
                  <c:v>613</c:v>
                </c:pt>
                <c:pt idx="830">
                  <c:v>613</c:v>
                </c:pt>
                <c:pt idx="831">
                  <c:v>43</c:v>
                </c:pt>
                <c:pt idx="832">
                  <c:v>4200</c:v>
                </c:pt>
                <c:pt idx="833">
                  <c:v>61</c:v>
                </c:pt>
                <c:pt idx="834">
                  <c:v>13</c:v>
                </c:pt>
                <c:pt idx="835">
                  <c:v>153</c:v>
                </c:pt>
                <c:pt idx="836">
                  <c:v>153</c:v>
                </c:pt>
                <c:pt idx="837">
                  <c:v>100</c:v>
                </c:pt>
                <c:pt idx="838">
                  <c:v>37</c:v>
                </c:pt>
                <c:pt idx="839">
                  <c:v>2</c:v>
                </c:pt>
                <c:pt idx="840">
                  <c:v>4</c:v>
                </c:pt>
                <c:pt idx="841">
                  <c:v>40</c:v>
                </c:pt>
                <c:pt idx="842">
                  <c:v>6</c:v>
                </c:pt>
                <c:pt idx="843">
                  <c:v>2</c:v>
                </c:pt>
                <c:pt idx="844">
                  <c:v>2</c:v>
                </c:pt>
                <c:pt idx="845">
                  <c:v>269</c:v>
                </c:pt>
                <c:pt idx="846">
                  <c:v>269</c:v>
                </c:pt>
                <c:pt idx="847">
                  <c:v>289</c:v>
                </c:pt>
                <c:pt idx="848">
                  <c:v>21</c:v>
                </c:pt>
                <c:pt idx="849">
                  <c:v>85</c:v>
                </c:pt>
                <c:pt idx="850">
                  <c:v>521</c:v>
                </c:pt>
                <c:pt idx="851">
                  <c:v>451</c:v>
                </c:pt>
                <c:pt idx="852">
                  <c:v>275</c:v>
                </c:pt>
                <c:pt idx="853">
                  <c:v>7</c:v>
                </c:pt>
                <c:pt idx="854">
                  <c:v>200</c:v>
                </c:pt>
                <c:pt idx="855">
                  <c:v>200</c:v>
                </c:pt>
                <c:pt idx="856">
                  <c:v>200</c:v>
                </c:pt>
                <c:pt idx="857">
                  <c:v>348</c:v>
                </c:pt>
                <c:pt idx="858">
                  <c:v>2100</c:v>
                </c:pt>
                <c:pt idx="859">
                  <c:v>67</c:v>
                </c:pt>
                <c:pt idx="860">
                  <c:v>9</c:v>
                </c:pt>
                <c:pt idx="861">
                  <c:v>74</c:v>
                </c:pt>
                <c:pt idx="862">
                  <c:v>52</c:v>
                </c:pt>
                <c:pt idx="863">
                  <c:v>28</c:v>
                </c:pt>
                <c:pt idx="864">
                  <c:v>123</c:v>
                </c:pt>
                <c:pt idx="865">
                  <c:v>279</c:v>
                </c:pt>
                <c:pt idx="866">
                  <c:v>279</c:v>
                </c:pt>
                <c:pt idx="867">
                  <c:v>361</c:v>
                </c:pt>
                <c:pt idx="868">
                  <c:v>32</c:v>
                </c:pt>
                <c:pt idx="869">
                  <c:v>229</c:v>
                </c:pt>
                <c:pt idx="870">
                  <c:v>229</c:v>
                </c:pt>
                <c:pt idx="871">
                  <c:v>1900</c:v>
                </c:pt>
                <c:pt idx="872">
                  <c:v>1900</c:v>
                </c:pt>
                <c:pt idx="873">
                  <c:v>704</c:v>
                </c:pt>
                <c:pt idx="874">
                  <c:v>15</c:v>
                </c:pt>
                <c:pt idx="875">
                  <c:v>41</c:v>
                </c:pt>
                <c:pt idx="876">
                  <c:v>1200</c:v>
                </c:pt>
                <c:pt idx="877">
                  <c:v>1200</c:v>
                </c:pt>
                <c:pt idx="878">
                  <c:v>222</c:v>
                </c:pt>
                <c:pt idx="879">
                  <c:v>604</c:v>
                </c:pt>
                <c:pt idx="880">
                  <c:v>604</c:v>
                </c:pt>
                <c:pt idx="881">
                  <c:v>59</c:v>
                </c:pt>
                <c:pt idx="882">
                  <c:v>119</c:v>
                </c:pt>
                <c:pt idx="883">
                  <c:v>15</c:v>
                </c:pt>
                <c:pt idx="884">
                  <c:v>88</c:v>
                </c:pt>
                <c:pt idx="885">
                  <c:v>320</c:v>
                </c:pt>
                <c:pt idx="886">
                  <c:v>379</c:v>
                </c:pt>
                <c:pt idx="887">
                  <c:v>379</c:v>
                </c:pt>
                <c:pt idx="888">
                  <c:v>295</c:v>
                </c:pt>
                <c:pt idx="889">
                  <c:v>459</c:v>
                </c:pt>
                <c:pt idx="890">
                  <c:v>11</c:v>
                </c:pt>
                <c:pt idx="891">
                  <c:v>179</c:v>
                </c:pt>
                <c:pt idx="892">
                  <c:v>79</c:v>
                </c:pt>
                <c:pt idx="893">
                  <c:v>2900</c:v>
                </c:pt>
                <c:pt idx="894">
                  <c:v>2400</c:v>
                </c:pt>
                <c:pt idx="895">
                  <c:v>8</c:v>
                </c:pt>
                <c:pt idx="896">
                  <c:v>89</c:v>
                </c:pt>
                <c:pt idx="897">
                  <c:v>116</c:v>
                </c:pt>
                <c:pt idx="898">
                  <c:v>116</c:v>
                </c:pt>
                <c:pt idx="899">
                  <c:v>40</c:v>
                </c:pt>
                <c:pt idx="900">
                  <c:v>12</c:v>
                </c:pt>
                <c:pt idx="901">
                  <c:v>12</c:v>
                </c:pt>
                <c:pt idx="902">
                  <c:v>240</c:v>
                </c:pt>
                <c:pt idx="903">
                  <c:v>240</c:v>
                </c:pt>
                <c:pt idx="904">
                  <c:v>240</c:v>
                </c:pt>
                <c:pt idx="905">
                  <c:v>125</c:v>
                </c:pt>
                <c:pt idx="906">
                  <c:v>18</c:v>
                </c:pt>
                <c:pt idx="907">
                  <c:v>350</c:v>
                </c:pt>
                <c:pt idx="908">
                  <c:v>356</c:v>
                </c:pt>
                <c:pt idx="909">
                  <c:v>356</c:v>
                </c:pt>
                <c:pt idx="910">
                  <c:v>2000</c:v>
                </c:pt>
                <c:pt idx="911">
                  <c:v>23</c:v>
                </c:pt>
                <c:pt idx="912">
                  <c:v>26</c:v>
                </c:pt>
                <c:pt idx="913">
                  <c:v>15</c:v>
                </c:pt>
                <c:pt idx="914">
                  <c:v>197</c:v>
                </c:pt>
                <c:pt idx="915">
                  <c:v>30</c:v>
                </c:pt>
                <c:pt idx="916">
                  <c:v>30</c:v>
                </c:pt>
                <c:pt idx="917">
                  <c:v>103</c:v>
                </c:pt>
                <c:pt idx="918">
                  <c:v>410</c:v>
                </c:pt>
                <c:pt idx="919">
                  <c:v>410</c:v>
                </c:pt>
                <c:pt idx="920">
                  <c:v>652</c:v>
                </c:pt>
                <c:pt idx="921">
                  <c:v>233</c:v>
                </c:pt>
                <c:pt idx="922">
                  <c:v>5100</c:v>
                </c:pt>
                <c:pt idx="923">
                  <c:v>114</c:v>
                </c:pt>
                <c:pt idx="924">
                  <c:v>22</c:v>
                </c:pt>
                <c:pt idx="925">
                  <c:v>22</c:v>
                </c:pt>
                <c:pt idx="926">
                  <c:v>44</c:v>
                </c:pt>
                <c:pt idx="927">
                  <c:v>24</c:v>
                </c:pt>
                <c:pt idx="928">
                  <c:v>40</c:v>
                </c:pt>
                <c:pt idx="929">
                  <c:v>28</c:v>
                </c:pt>
                <c:pt idx="930">
                  <c:v>12</c:v>
                </c:pt>
                <c:pt idx="931">
                  <c:v>118</c:v>
                </c:pt>
                <c:pt idx="932">
                  <c:v>430</c:v>
                </c:pt>
                <c:pt idx="933">
                  <c:v>194</c:v>
                </c:pt>
                <c:pt idx="934">
                  <c:v>1200</c:v>
                </c:pt>
                <c:pt idx="935">
                  <c:v>205</c:v>
                </c:pt>
                <c:pt idx="936">
                  <c:v>11</c:v>
                </c:pt>
                <c:pt idx="937">
                  <c:v>416</c:v>
                </c:pt>
                <c:pt idx="938">
                  <c:v>281</c:v>
                </c:pt>
                <c:pt idx="939">
                  <c:v>108</c:v>
                </c:pt>
                <c:pt idx="940">
                  <c:v>2800</c:v>
                </c:pt>
                <c:pt idx="941">
                  <c:v>1500</c:v>
                </c:pt>
                <c:pt idx="942">
                  <c:v>1500</c:v>
                </c:pt>
                <c:pt idx="943">
                  <c:v>244</c:v>
                </c:pt>
                <c:pt idx="944">
                  <c:v>166</c:v>
                </c:pt>
                <c:pt idx="945">
                  <c:v>166</c:v>
                </c:pt>
                <c:pt idx="946">
                  <c:v>188</c:v>
                </c:pt>
                <c:pt idx="947">
                  <c:v>17</c:v>
                </c:pt>
                <c:pt idx="948">
                  <c:v>100</c:v>
                </c:pt>
                <c:pt idx="949">
                  <c:v>169</c:v>
                </c:pt>
                <c:pt idx="950">
                  <c:v>91</c:v>
                </c:pt>
                <c:pt idx="951">
                  <c:v>1200</c:v>
                </c:pt>
                <c:pt idx="952">
                  <c:v>1300</c:v>
                </c:pt>
                <c:pt idx="953">
                  <c:v>1600</c:v>
                </c:pt>
                <c:pt idx="954">
                  <c:v>1600</c:v>
                </c:pt>
                <c:pt idx="955">
                  <c:v>1600</c:v>
                </c:pt>
                <c:pt idx="956">
                  <c:v>229</c:v>
                </c:pt>
                <c:pt idx="957">
                  <c:v>8</c:v>
                </c:pt>
                <c:pt idx="958">
                  <c:v>6</c:v>
                </c:pt>
                <c:pt idx="959">
                  <c:v>227</c:v>
                </c:pt>
                <c:pt idx="960">
                  <c:v>23</c:v>
                </c:pt>
                <c:pt idx="961">
                  <c:v>138</c:v>
                </c:pt>
                <c:pt idx="962">
                  <c:v>240</c:v>
                </c:pt>
                <c:pt idx="963">
                  <c:v>10</c:v>
                </c:pt>
                <c:pt idx="964">
                  <c:v>10</c:v>
                </c:pt>
                <c:pt idx="965">
                  <c:v>21</c:v>
                </c:pt>
                <c:pt idx="966">
                  <c:v>804</c:v>
                </c:pt>
                <c:pt idx="967">
                  <c:v>89</c:v>
                </c:pt>
                <c:pt idx="968">
                  <c:v>1</c:v>
                </c:pt>
                <c:pt idx="969">
                  <c:v>1</c:v>
                </c:pt>
                <c:pt idx="970">
                  <c:v>11</c:v>
                </c:pt>
                <c:pt idx="971">
                  <c:v>3700</c:v>
                </c:pt>
                <c:pt idx="972">
                  <c:v>3700</c:v>
                </c:pt>
                <c:pt idx="973">
                  <c:v>521</c:v>
                </c:pt>
                <c:pt idx="974">
                  <c:v>654</c:v>
                </c:pt>
                <c:pt idx="975">
                  <c:v>560</c:v>
                </c:pt>
                <c:pt idx="976">
                  <c:v>560</c:v>
                </c:pt>
                <c:pt idx="977">
                  <c:v>40</c:v>
                </c:pt>
                <c:pt idx="978">
                  <c:v>278</c:v>
                </c:pt>
                <c:pt idx="979">
                  <c:v>278</c:v>
                </c:pt>
                <c:pt idx="980">
                  <c:v>180</c:v>
                </c:pt>
                <c:pt idx="981">
                  <c:v>50</c:v>
                </c:pt>
                <c:pt idx="982">
                  <c:v>514</c:v>
                </c:pt>
                <c:pt idx="983">
                  <c:v>706</c:v>
                </c:pt>
                <c:pt idx="984">
                  <c:v>19</c:v>
                </c:pt>
                <c:pt idx="985">
                  <c:v>53</c:v>
                </c:pt>
                <c:pt idx="986">
                  <c:v>44</c:v>
                </c:pt>
                <c:pt idx="987">
                  <c:v>134</c:v>
                </c:pt>
                <c:pt idx="988">
                  <c:v>568</c:v>
                </c:pt>
                <c:pt idx="989">
                  <c:v>568</c:v>
                </c:pt>
                <c:pt idx="990">
                  <c:v>91</c:v>
                </c:pt>
                <c:pt idx="991">
                  <c:v>38</c:v>
                </c:pt>
                <c:pt idx="992">
                  <c:v>1</c:v>
                </c:pt>
                <c:pt idx="993">
                  <c:v>183</c:v>
                </c:pt>
                <c:pt idx="994">
                  <c:v>188</c:v>
                </c:pt>
                <c:pt idx="995">
                  <c:v>34</c:v>
                </c:pt>
                <c:pt idx="996">
                  <c:v>1900</c:v>
                </c:pt>
                <c:pt idx="997">
                  <c:v>94</c:v>
                </c:pt>
                <c:pt idx="998">
                  <c:v>48</c:v>
                </c:pt>
                <c:pt idx="999">
                  <c:v>122</c:v>
                </c:pt>
                <c:pt idx="1000">
                  <c:v>347</c:v>
                </c:pt>
                <c:pt idx="1001">
                  <c:v>347</c:v>
                </c:pt>
                <c:pt idx="1002">
                  <c:v>40</c:v>
                </c:pt>
                <c:pt idx="1003">
                  <c:v>52</c:v>
                </c:pt>
                <c:pt idx="1004">
                  <c:v>342</c:v>
                </c:pt>
                <c:pt idx="1005">
                  <c:v>152</c:v>
                </c:pt>
                <c:pt idx="1006">
                  <c:v>342</c:v>
                </c:pt>
                <c:pt idx="1007">
                  <c:v>342</c:v>
                </c:pt>
                <c:pt idx="1008">
                  <c:v>328</c:v>
                </c:pt>
                <c:pt idx="1009">
                  <c:v>328</c:v>
                </c:pt>
                <c:pt idx="1010">
                  <c:v>49</c:v>
                </c:pt>
                <c:pt idx="1011">
                  <c:v>41</c:v>
                </c:pt>
                <c:pt idx="1012">
                  <c:v>130</c:v>
                </c:pt>
                <c:pt idx="1013">
                  <c:v>62</c:v>
                </c:pt>
                <c:pt idx="1014">
                  <c:v>190</c:v>
                </c:pt>
                <c:pt idx="1015">
                  <c:v>166</c:v>
                </c:pt>
                <c:pt idx="1016">
                  <c:v>379</c:v>
                </c:pt>
                <c:pt idx="1017">
                  <c:v>71</c:v>
                </c:pt>
                <c:pt idx="1018">
                  <c:v>2</c:v>
                </c:pt>
                <c:pt idx="1019">
                  <c:v>76</c:v>
                </c:pt>
                <c:pt idx="1020">
                  <c:v>56</c:v>
                </c:pt>
                <c:pt idx="1021">
                  <c:v>103</c:v>
                </c:pt>
                <c:pt idx="1022">
                  <c:v>3</c:v>
                </c:pt>
                <c:pt idx="1023">
                  <c:v>17</c:v>
                </c:pt>
                <c:pt idx="1024">
                  <c:v>481</c:v>
                </c:pt>
                <c:pt idx="1025">
                  <c:v>59</c:v>
                </c:pt>
                <c:pt idx="1026">
                  <c:v>392</c:v>
                </c:pt>
                <c:pt idx="1027">
                  <c:v>392</c:v>
                </c:pt>
                <c:pt idx="1028">
                  <c:v>200</c:v>
                </c:pt>
                <c:pt idx="1029">
                  <c:v>90</c:v>
                </c:pt>
                <c:pt idx="1030">
                  <c:v>90</c:v>
                </c:pt>
                <c:pt idx="1031">
                  <c:v>850</c:v>
                </c:pt>
                <c:pt idx="1032">
                  <c:v>263</c:v>
                </c:pt>
                <c:pt idx="1033">
                  <c:v>114</c:v>
                </c:pt>
                <c:pt idx="1034">
                  <c:v>46</c:v>
                </c:pt>
                <c:pt idx="1035">
                  <c:v>72</c:v>
                </c:pt>
                <c:pt idx="1036">
                  <c:v>24</c:v>
                </c:pt>
                <c:pt idx="1037">
                  <c:v>20</c:v>
                </c:pt>
                <c:pt idx="1038">
                  <c:v>158</c:v>
                </c:pt>
                <c:pt idx="1039">
                  <c:v>6</c:v>
                </c:pt>
                <c:pt idx="1040">
                  <c:v>15</c:v>
                </c:pt>
                <c:pt idx="1041">
                  <c:v>15</c:v>
                </c:pt>
                <c:pt idx="1042">
                  <c:v>42</c:v>
                </c:pt>
                <c:pt idx="1043">
                  <c:v>42</c:v>
                </c:pt>
                <c:pt idx="1044">
                  <c:v>335</c:v>
                </c:pt>
                <c:pt idx="1045">
                  <c:v>1200</c:v>
                </c:pt>
                <c:pt idx="1046">
                  <c:v>765</c:v>
                </c:pt>
                <c:pt idx="1047">
                  <c:v>33</c:v>
                </c:pt>
                <c:pt idx="1048">
                  <c:v>154</c:v>
                </c:pt>
                <c:pt idx="1049">
                  <c:v>154</c:v>
                </c:pt>
                <c:pt idx="1050">
                  <c:v>2</c:v>
                </c:pt>
                <c:pt idx="1051">
                  <c:v>165</c:v>
                </c:pt>
                <c:pt idx="1052">
                  <c:v>22</c:v>
                </c:pt>
                <c:pt idx="1053">
                  <c:v>115</c:v>
                </c:pt>
                <c:pt idx="1054">
                  <c:v>118</c:v>
                </c:pt>
                <c:pt idx="1055">
                  <c:v>42</c:v>
                </c:pt>
                <c:pt idx="1056">
                  <c:v>42</c:v>
                </c:pt>
                <c:pt idx="1057">
                  <c:v>16</c:v>
                </c:pt>
                <c:pt idx="1058">
                  <c:v>46</c:v>
                </c:pt>
                <c:pt idx="1059">
                  <c:v>12</c:v>
                </c:pt>
                <c:pt idx="1060">
                  <c:v>157</c:v>
                </c:pt>
                <c:pt idx="1061">
                  <c:v>57</c:v>
                </c:pt>
                <c:pt idx="1062">
                  <c:v>263</c:v>
                </c:pt>
                <c:pt idx="1063">
                  <c:v>263</c:v>
                </c:pt>
                <c:pt idx="1064">
                  <c:v>788</c:v>
                </c:pt>
                <c:pt idx="1065">
                  <c:v>788</c:v>
                </c:pt>
                <c:pt idx="1066">
                  <c:v>788</c:v>
                </c:pt>
                <c:pt idx="1067">
                  <c:v>788</c:v>
                </c:pt>
                <c:pt idx="1068">
                  <c:v>17</c:v>
                </c:pt>
                <c:pt idx="1069">
                  <c:v>18</c:v>
                </c:pt>
                <c:pt idx="1070">
                  <c:v>507</c:v>
                </c:pt>
                <c:pt idx="1071">
                  <c:v>507</c:v>
                </c:pt>
                <c:pt idx="1072">
                  <c:v>56</c:v>
                </c:pt>
                <c:pt idx="1073">
                  <c:v>81</c:v>
                </c:pt>
                <c:pt idx="1074">
                  <c:v>203</c:v>
                </c:pt>
                <c:pt idx="1075">
                  <c:v>203</c:v>
                </c:pt>
                <c:pt idx="1076">
                  <c:v>24</c:v>
                </c:pt>
                <c:pt idx="1077">
                  <c:v>11</c:v>
                </c:pt>
                <c:pt idx="1078">
                  <c:v>32</c:v>
                </c:pt>
                <c:pt idx="1079">
                  <c:v>9</c:v>
                </c:pt>
                <c:pt idx="1080">
                  <c:v>132</c:v>
                </c:pt>
                <c:pt idx="1081">
                  <c:v>10</c:v>
                </c:pt>
                <c:pt idx="1082">
                  <c:v>149</c:v>
                </c:pt>
                <c:pt idx="1083">
                  <c:v>72</c:v>
                </c:pt>
                <c:pt idx="1084">
                  <c:v>13</c:v>
                </c:pt>
                <c:pt idx="1085">
                  <c:v>245</c:v>
                </c:pt>
                <c:pt idx="1086">
                  <c:v>31</c:v>
                </c:pt>
                <c:pt idx="1087">
                  <c:v>4900</c:v>
                </c:pt>
                <c:pt idx="1088">
                  <c:v>4900</c:v>
                </c:pt>
                <c:pt idx="1089">
                  <c:v>4900</c:v>
                </c:pt>
                <c:pt idx="1090">
                  <c:v>179</c:v>
                </c:pt>
                <c:pt idx="1091">
                  <c:v>144</c:v>
                </c:pt>
                <c:pt idx="1092">
                  <c:v>58</c:v>
                </c:pt>
                <c:pt idx="1093">
                  <c:v>323</c:v>
                </c:pt>
                <c:pt idx="1094">
                  <c:v>136</c:v>
                </c:pt>
                <c:pt idx="1095">
                  <c:v>16</c:v>
                </c:pt>
                <c:pt idx="1096">
                  <c:v>338</c:v>
                </c:pt>
                <c:pt idx="1097">
                  <c:v>170</c:v>
                </c:pt>
                <c:pt idx="1098">
                  <c:v>2600</c:v>
                </c:pt>
                <c:pt idx="1099">
                  <c:v>300</c:v>
                </c:pt>
                <c:pt idx="1100">
                  <c:v>400</c:v>
                </c:pt>
                <c:pt idx="1101">
                  <c:v>64</c:v>
                </c:pt>
                <c:pt idx="1102">
                  <c:v>548</c:v>
                </c:pt>
                <c:pt idx="1103">
                  <c:v>548</c:v>
                </c:pt>
                <c:pt idx="1104">
                  <c:v>10</c:v>
                </c:pt>
                <c:pt idx="1105">
                  <c:v>80</c:v>
                </c:pt>
                <c:pt idx="1106">
                  <c:v>227</c:v>
                </c:pt>
                <c:pt idx="1107">
                  <c:v>334</c:v>
                </c:pt>
                <c:pt idx="1108">
                  <c:v>1</c:v>
                </c:pt>
                <c:pt idx="1109">
                  <c:v>245</c:v>
                </c:pt>
                <c:pt idx="1110">
                  <c:v>229</c:v>
                </c:pt>
                <c:pt idx="1111">
                  <c:v>42</c:v>
                </c:pt>
                <c:pt idx="1112">
                  <c:v>3</c:v>
                </c:pt>
                <c:pt idx="1113">
                  <c:v>461</c:v>
                </c:pt>
                <c:pt idx="1114">
                  <c:v>461</c:v>
                </c:pt>
                <c:pt idx="1115">
                  <c:v>100</c:v>
                </c:pt>
                <c:pt idx="1116">
                  <c:v>114</c:v>
                </c:pt>
                <c:pt idx="1117">
                  <c:v>77</c:v>
                </c:pt>
                <c:pt idx="1118">
                  <c:v>854</c:v>
                </c:pt>
                <c:pt idx="1119">
                  <c:v>214</c:v>
                </c:pt>
                <c:pt idx="1120">
                  <c:v>214</c:v>
                </c:pt>
                <c:pt idx="1121">
                  <c:v>325</c:v>
                </c:pt>
                <c:pt idx="1122">
                  <c:v>607</c:v>
                </c:pt>
                <c:pt idx="1123">
                  <c:v>192</c:v>
                </c:pt>
                <c:pt idx="1124">
                  <c:v>132</c:v>
                </c:pt>
                <c:pt idx="1125">
                  <c:v>163</c:v>
                </c:pt>
                <c:pt idx="1126">
                  <c:v>100</c:v>
                </c:pt>
                <c:pt idx="1127">
                  <c:v>100</c:v>
                </c:pt>
                <c:pt idx="1128">
                  <c:v>100</c:v>
                </c:pt>
                <c:pt idx="1129">
                  <c:v>293</c:v>
                </c:pt>
                <c:pt idx="1130">
                  <c:v>1100</c:v>
                </c:pt>
                <c:pt idx="1131">
                  <c:v>215</c:v>
                </c:pt>
                <c:pt idx="1132">
                  <c:v>1100</c:v>
                </c:pt>
                <c:pt idx="1133">
                  <c:v>98</c:v>
                </c:pt>
                <c:pt idx="1134">
                  <c:v>28</c:v>
                </c:pt>
                <c:pt idx="1135">
                  <c:v>28</c:v>
                </c:pt>
                <c:pt idx="1136">
                  <c:v>504</c:v>
                </c:pt>
                <c:pt idx="1137">
                  <c:v>24</c:v>
                </c:pt>
                <c:pt idx="1138">
                  <c:v>185</c:v>
                </c:pt>
                <c:pt idx="1139">
                  <c:v>2</c:v>
                </c:pt>
                <c:pt idx="1140">
                  <c:v>485</c:v>
                </c:pt>
                <c:pt idx="1141">
                  <c:v>1100</c:v>
                </c:pt>
                <c:pt idx="1142">
                  <c:v>61</c:v>
                </c:pt>
                <c:pt idx="1143">
                  <c:v>26000</c:v>
                </c:pt>
                <c:pt idx="1144">
                  <c:v>18</c:v>
                </c:pt>
                <c:pt idx="1145">
                  <c:v>510</c:v>
                </c:pt>
                <c:pt idx="1146">
                  <c:v>293</c:v>
                </c:pt>
                <c:pt idx="1147">
                  <c:v>41</c:v>
                </c:pt>
                <c:pt idx="1148">
                  <c:v>97</c:v>
                </c:pt>
                <c:pt idx="1149">
                  <c:v>1</c:v>
                </c:pt>
                <c:pt idx="1150">
                  <c:v>1</c:v>
                </c:pt>
                <c:pt idx="1151">
                  <c:v>1</c:v>
                </c:pt>
                <c:pt idx="1152">
                  <c:v>37</c:v>
                </c:pt>
                <c:pt idx="1153">
                  <c:v>86</c:v>
                </c:pt>
                <c:pt idx="1154">
                  <c:v>114</c:v>
                </c:pt>
                <c:pt idx="1155">
                  <c:v>114</c:v>
                </c:pt>
                <c:pt idx="1156">
                  <c:v>160</c:v>
                </c:pt>
                <c:pt idx="1157">
                  <c:v>297</c:v>
                </c:pt>
                <c:pt idx="1158">
                  <c:v>160</c:v>
                </c:pt>
                <c:pt idx="1159">
                  <c:v>476</c:v>
                </c:pt>
                <c:pt idx="1160">
                  <c:v>526</c:v>
                </c:pt>
                <c:pt idx="1161">
                  <c:v>1700</c:v>
                </c:pt>
                <c:pt idx="1162">
                  <c:v>77</c:v>
                </c:pt>
                <c:pt idx="1163">
                  <c:v>375</c:v>
                </c:pt>
                <c:pt idx="1164">
                  <c:v>46</c:v>
                </c:pt>
                <c:pt idx="1165">
                  <c:v>81</c:v>
                </c:pt>
                <c:pt idx="1166">
                  <c:v>183</c:v>
                </c:pt>
                <c:pt idx="1167">
                  <c:v>70</c:v>
                </c:pt>
                <c:pt idx="1168">
                  <c:v>72</c:v>
                </c:pt>
                <c:pt idx="1169">
                  <c:v>472</c:v>
                </c:pt>
                <c:pt idx="1170">
                  <c:v>201</c:v>
                </c:pt>
                <c:pt idx="1171">
                  <c:v>204</c:v>
                </c:pt>
                <c:pt idx="1172">
                  <c:v>138</c:v>
                </c:pt>
                <c:pt idx="1173">
                  <c:v>1100</c:v>
                </c:pt>
                <c:pt idx="1174">
                  <c:v>1100</c:v>
                </c:pt>
                <c:pt idx="1175">
                  <c:v>80</c:v>
                </c:pt>
                <c:pt idx="1176">
                  <c:v>324</c:v>
                </c:pt>
                <c:pt idx="1177">
                  <c:v>324</c:v>
                </c:pt>
                <c:pt idx="1178">
                  <c:v>630</c:v>
                </c:pt>
                <c:pt idx="1179">
                  <c:v>91</c:v>
                </c:pt>
                <c:pt idx="1180">
                  <c:v>150</c:v>
                </c:pt>
                <c:pt idx="1181">
                  <c:v>344</c:v>
                </c:pt>
                <c:pt idx="1182">
                  <c:v>126</c:v>
                </c:pt>
                <c:pt idx="1183">
                  <c:v>567</c:v>
                </c:pt>
                <c:pt idx="1184">
                  <c:v>1</c:v>
                </c:pt>
                <c:pt idx="1185">
                  <c:v>2</c:v>
                </c:pt>
                <c:pt idx="1186">
                  <c:v>73</c:v>
                </c:pt>
                <c:pt idx="1187">
                  <c:v>13</c:v>
                </c:pt>
                <c:pt idx="1188">
                  <c:v>192</c:v>
                </c:pt>
                <c:pt idx="1189">
                  <c:v>192</c:v>
                </c:pt>
                <c:pt idx="1190">
                  <c:v>173</c:v>
                </c:pt>
                <c:pt idx="1191">
                  <c:v>450</c:v>
                </c:pt>
                <c:pt idx="1192">
                  <c:v>79</c:v>
                </c:pt>
                <c:pt idx="1193">
                  <c:v>260</c:v>
                </c:pt>
                <c:pt idx="1194">
                  <c:v>225</c:v>
                </c:pt>
                <c:pt idx="1195">
                  <c:v>782</c:v>
                </c:pt>
                <c:pt idx="1196">
                  <c:v>217</c:v>
                </c:pt>
                <c:pt idx="1197">
                  <c:v>69</c:v>
                </c:pt>
                <c:pt idx="1198">
                  <c:v>69</c:v>
                </c:pt>
                <c:pt idx="1199">
                  <c:v>731</c:v>
                </c:pt>
                <c:pt idx="1200">
                  <c:v>47</c:v>
                </c:pt>
                <c:pt idx="1201">
                  <c:v>47</c:v>
                </c:pt>
                <c:pt idx="1202">
                  <c:v>47</c:v>
                </c:pt>
                <c:pt idx="1203">
                  <c:v>809</c:v>
                </c:pt>
                <c:pt idx="1204">
                  <c:v>35</c:v>
                </c:pt>
                <c:pt idx="1205">
                  <c:v>99</c:v>
                </c:pt>
                <c:pt idx="1206">
                  <c:v>582</c:v>
                </c:pt>
                <c:pt idx="1207">
                  <c:v>1100</c:v>
                </c:pt>
                <c:pt idx="1208">
                  <c:v>240</c:v>
                </c:pt>
                <c:pt idx="1209">
                  <c:v>78</c:v>
                </c:pt>
                <c:pt idx="1210">
                  <c:v>15</c:v>
                </c:pt>
                <c:pt idx="1211">
                  <c:v>15</c:v>
                </c:pt>
                <c:pt idx="1212">
                  <c:v>120</c:v>
                </c:pt>
                <c:pt idx="1213">
                  <c:v>720</c:v>
                </c:pt>
                <c:pt idx="1214">
                  <c:v>150</c:v>
                </c:pt>
                <c:pt idx="1215">
                  <c:v>6</c:v>
                </c:pt>
                <c:pt idx="1216">
                  <c:v>121900</c:v>
                </c:pt>
                <c:pt idx="1217">
                  <c:v>121900</c:v>
                </c:pt>
                <c:pt idx="1218">
                  <c:v>121900</c:v>
                </c:pt>
                <c:pt idx="1219">
                  <c:v>121900</c:v>
                </c:pt>
                <c:pt idx="1220">
                  <c:v>212</c:v>
                </c:pt>
                <c:pt idx="1221">
                  <c:v>215</c:v>
                </c:pt>
                <c:pt idx="1222">
                  <c:v>214</c:v>
                </c:pt>
                <c:pt idx="1223">
                  <c:v>215</c:v>
                </c:pt>
                <c:pt idx="1224">
                  <c:v>881</c:v>
                </c:pt>
                <c:pt idx="1225">
                  <c:v>150</c:v>
                </c:pt>
                <c:pt idx="1226">
                  <c:v>200</c:v>
                </c:pt>
                <c:pt idx="1227">
                  <c:v>108</c:v>
                </c:pt>
                <c:pt idx="1228">
                  <c:v>108</c:v>
                </c:pt>
                <c:pt idx="1229">
                  <c:v>770</c:v>
                </c:pt>
                <c:pt idx="1230">
                  <c:v>194</c:v>
                </c:pt>
                <c:pt idx="1231">
                  <c:v>290</c:v>
                </c:pt>
                <c:pt idx="1232">
                  <c:v>218</c:v>
                </c:pt>
                <c:pt idx="1233">
                  <c:v>657</c:v>
                </c:pt>
                <c:pt idx="1234">
                  <c:v>657</c:v>
                </c:pt>
                <c:pt idx="1235">
                  <c:v>657</c:v>
                </c:pt>
                <c:pt idx="1236">
                  <c:v>213</c:v>
                </c:pt>
                <c:pt idx="1237">
                  <c:v>213</c:v>
                </c:pt>
                <c:pt idx="1238">
                  <c:v>41</c:v>
                </c:pt>
                <c:pt idx="1239">
                  <c:v>158</c:v>
                </c:pt>
                <c:pt idx="1240">
                  <c:v>1</c:v>
                </c:pt>
                <c:pt idx="1241">
                  <c:v>78</c:v>
                </c:pt>
                <c:pt idx="1242">
                  <c:v>85</c:v>
                </c:pt>
                <c:pt idx="1243">
                  <c:v>42</c:v>
                </c:pt>
                <c:pt idx="1244">
                  <c:v>42</c:v>
                </c:pt>
                <c:pt idx="1245">
                  <c:v>2100</c:v>
                </c:pt>
                <c:pt idx="1246">
                  <c:v>2100</c:v>
                </c:pt>
                <c:pt idx="1247">
                  <c:v>1100</c:v>
                </c:pt>
                <c:pt idx="1248">
                  <c:v>1400</c:v>
                </c:pt>
                <c:pt idx="1249">
                  <c:v>175</c:v>
                </c:pt>
                <c:pt idx="1250">
                  <c:v>58</c:v>
                </c:pt>
                <c:pt idx="1251">
                  <c:v>441</c:v>
                </c:pt>
                <c:pt idx="1252">
                  <c:v>214</c:v>
                </c:pt>
                <c:pt idx="1253">
                  <c:v>11</c:v>
                </c:pt>
                <c:pt idx="1254">
                  <c:v>8</c:v>
                </c:pt>
                <c:pt idx="1255">
                  <c:v>479</c:v>
                </c:pt>
                <c:pt idx="1256">
                  <c:v>477</c:v>
                </c:pt>
                <c:pt idx="1257">
                  <c:v>377</c:v>
                </c:pt>
                <c:pt idx="1258">
                  <c:v>355</c:v>
                </c:pt>
                <c:pt idx="1259">
                  <c:v>381</c:v>
                </c:pt>
                <c:pt idx="1260">
                  <c:v>14</c:v>
                </c:pt>
                <c:pt idx="1261">
                  <c:v>20</c:v>
                </c:pt>
                <c:pt idx="1262">
                  <c:v>85</c:v>
                </c:pt>
                <c:pt idx="1263">
                  <c:v>1200</c:v>
                </c:pt>
                <c:pt idx="1264">
                  <c:v>1200</c:v>
                </c:pt>
                <c:pt idx="1265">
                  <c:v>5000</c:v>
                </c:pt>
                <c:pt idx="1266">
                  <c:v>5000</c:v>
                </c:pt>
                <c:pt idx="1267">
                  <c:v>5000</c:v>
                </c:pt>
                <c:pt idx="1268">
                  <c:v>3800</c:v>
                </c:pt>
                <c:pt idx="1269">
                  <c:v>322</c:v>
                </c:pt>
                <c:pt idx="1270">
                  <c:v>322</c:v>
                </c:pt>
                <c:pt idx="1271">
                  <c:v>856</c:v>
                </c:pt>
                <c:pt idx="1272">
                  <c:v>856</c:v>
                </c:pt>
                <c:pt idx="1273">
                  <c:v>28</c:v>
                </c:pt>
                <c:pt idx="1274">
                  <c:v>26</c:v>
                </c:pt>
                <c:pt idx="1275">
                  <c:v>137</c:v>
                </c:pt>
                <c:pt idx="1276">
                  <c:v>20</c:v>
                </c:pt>
                <c:pt idx="1277">
                  <c:v>20</c:v>
                </c:pt>
                <c:pt idx="1278">
                  <c:v>1200</c:v>
                </c:pt>
                <c:pt idx="1279">
                  <c:v>442</c:v>
                </c:pt>
                <c:pt idx="1280">
                  <c:v>442</c:v>
                </c:pt>
                <c:pt idx="1281">
                  <c:v>479</c:v>
                </c:pt>
                <c:pt idx="1282">
                  <c:v>410</c:v>
                </c:pt>
                <c:pt idx="1283">
                  <c:v>926</c:v>
                </c:pt>
                <c:pt idx="1284">
                  <c:v>3000</c:v>
                </c:pt>
                <c:pt idx="1285">
                  <c:v>25</c:v>
                </c:pt>
                <c:pt idx="1286">
                  <c:v>170</c:v>
                </c:pt>
                <c:pt idx="1287">
                  <c:v>140</c:v>
                </c:pt>
                <c:pt idx="1288">
                  <c:v>24</c:v>
                </c:pt>
                <c:pt idx="1289">
                  <c:v>1900</c:v>
                </c:pt>
                <c:pt idx="1290">
                  <c:v>1500</c:v>
                </c:pt>
                <c:pt idx="1291">
                  <c:v>299</c:v>
                </c:pt>
                <c:pt idx="1292">
                  <c:v>427</c:v>
                </c:pt>
                <c:pt idx="1293">
                  <c:v>1100</c:v>
                </c:pt>
                <c:pt idx="1294">
                  <c:v>223</c:v>
                </c:pt>
                <c:pt idx="1295">
                  <c:v>70</c:v>
                </c:pt>
                <c:pt idx="1296">
                  <c:v>566</c:v>
                </c:pt>
                <c:pt idx="1297">
                  <c:v>251</c:v>
                </c:pt>
                <c:pt idx="1298">
                  <c:v>20</c:v>
                </c:pt>
                <c:pt idx="1299">
                  <c:v>86</c:v>
                </c:pt>
                <c:pt idx="1300">
                  <c:v>472</c:v>
                </c:pt>
                <c:pt idx="1301">
                  <c:v>472</c:v>
                </c:pt>
                <c:pt idx="1302">
                  <c:v>175</c:v>
                </c:pt>
                <c:pt idx="1303">
                  <c:v>1300</c:v>
                </c:pt>
                <c:pt idx="1304">
                  <c:v>231</c:v>
                </c:pt>
                <c:pt idx="1305">
                  <c:v>231</c:v>
                </c:pt>
                <c:pt idx="1306">
                  <c:v>282</c:v>
                </c:pt>
                <c:pt idx="1307">
                  <c:v>132</c:v>
                </c:pt>
                <c:pt idx="1308">
                  <c:v>48</c:v>
                </c:pt>
                <c:pt idx="1309">
                  <c:v>394</c:v>
                </c:pt>
                <c:pt idx="1310">
                  <c:v>75</c:v>
                </c:pt>
                <c:pt idx="1311">
                  <c:v>489</c:v>
                </c:pt>
                <c:pt idx="1312">
                  <c:v>489</c:v>
                </c:pt>
                <c:pt idx="1313">
                  <c:v>240</c:v>
                </c:pt>
                <c:pt idx="1314">
                  <c:v>240</c:v>
                </c:pt>
                <c:pt idx="1315">
                  <c:v>174</c:v>
                </c:pt>
                <c:pt idx="1316">
                  <c:v>174</c:v>
                </c:pt>
                <c:pt idx="1317">
                  <c:v>35</c:v>
                </c:pt>
                <c:pt idx="1318">
                  <c:v>178</c:v>
                </c:pt>
                <c:pt idx="1319">
                  <c:v>507</c:v>
                </c:pt>
                <c:pt idx="1320">
                  <c:v>13</c:v>
                </c:pt>
                <c:pt idx="1321">
                  <c:v>3200</c:v>
                </c:pt>
                <c:pt idx="1322">
                  <c:v>4000</c:v>
                </c:pt>
                <c:pt idx="1323">
                  <c:v>3200</c:v>
                </c:pt>
                <c:pt idx="1324">
                  <c:v>2400</c:v>
                </c:pt>
                <c:pt idx="1325">
                  <c:v>2400</c:v>
                </c:pt>
                <c:pt idx="1326">
                  <c:v>224</c:v>
                </c:pt>
                <c:pt idx="1327">
                  <c:v>224</c:v>
                </c:pt>
                <c:pt idx="1328">
                  <c:v>70</c:v>
                </c:pt>
                <c:pt idx="1329">
                  <c:v>217</c:v>
                </c:pt>
                <c:pt idx="1330">
                  <c:v>472</c:v>
                </c:pt>
                <c:pt idx="1331">
                  <c:v>200</c:v>
                </c:pt>
                <c:pt idx="1332">
                  <c:v>293</c:v>
                </c:pt>
                <c:pt idx="1333">
                  <c:v>17</c:v>
                </c:pt>
                <c:pt idx="1334">
                  <c:v>571</c:v>
                </c:pt>
                <c:pt idx="1335">
                  <c:v>173</c:v>
                </c:pt>
                <c:pt idx="1336">
                  <c:v>496</c:v>
                </c:pt>
                <c:pt idx="1337">
                  <c:v>3000</c:v>
                </c:pt>
                <c:pt idx="1338">
                  <c:v>11</c:v>
                </c:pt>
                <c:pt idx="1339">
                  <c:v>1</c:v>
                </c:pt>
                <c:pt idx="1340">
                  <c:v>241</c:v>
                </c:pt>
                <c:pt idx="1341">
                  <c:v>8</c:v>
                </c:pt>
                <c:pt idx="1342">
                  <c:v>13</c:v>
                </c:pt>
                <c:pt idx="1343">
                  <c:v>36</c:v>
                </c:pt>
                <c:pt idx="1344">
                  <c:v>72</c:v>
                </c:pt>
                <c:pt idx="1345">
                  <c:v>36</c:v>
                </c:pt>
                <c:pt idx="1346">
                  <c:v>123</c:v>
                </c:pt>
                <c:pt idx="1347">
                  <c:v>75</c:v>
                </c:pt>
                <c:pt idx="1348">
                  <c:v>413</c:v>
                </c:pt>
                <c:pt idx="1349">
                  <c:v>165</c:v>
                </c:pt>
                <c:pt idx="1350">
                  <c:v>165</c:v>
                </c:pt>
                <c:pt idx="1351">
                  <c:v>413</c:v>
                </c:pt>
                <c:pt idx="1352">
                  <c:v>103</c:v>
                </c:pt>
                <c:pt idx="1353">
                  <c:v>495</c:v>
                </c:pt>
                <c:pt idx="1354">
                  <c:v>71</c:v>
                </c:pt>
                <c:pt idx="1355">
                  <c:v>216</c:v>
                </c:pt>
                <c:pt idx="1356">
                  <c:v>216</c:v>
                </c:pt>
                <c:pt idx="1357">
                  <c:v>26</c:v>
                </c:pt>
                <c:pt idx="1358">
                  <c:v>2200</c:v>
                </c:pt>
                <c:pt idx="1359">
                  <c:v>409</c:v>
                </c:pt>
                <c:pt idx="1360">
                  <c:v>409</c:v>
                </c:pt>
                <c:pt idx="1361">
                  <c:v>409</c:v>
                </c:pt>
                <c:pt idx="1362">
                  <c:v>81</c:v>
                </c:pt>
                <c:pt idx="1363">
                  <c:v>116</c:v>
                </c:pt>
                <c:pt idx="1364">
                  <c:v>39</c:v>
                </c:pt>
                <c:pt idx="1365">
                  <c:v>47</c:v>
                </c:pt>
                <c:pt idx="1366">
                  <c:v>34</c:v>
                </c:pt>
                <c:pt idx="1367">
                  <c:v>110</c:v>
                </c:pt>
                <c:pt idx="1368">
                  <c:v>121</c:v>
                </c:pt>
                <c:pt idx="1369">
                  <c:v>121</c:v>
                </c:pt>
                <c:pt idx="1370">
                  <c:v>1900</c:v>
                </c:pt>
                <c:pt idx="1371">
                  <c:v>1900</c:v>
                </c:pt>
                <c:pt idx="1372">
                  <c:v>1900</c:v>
                </c:pt>
                <c:pt idx="1373">
                  <c:v>469</c:v>
                </c:pt>
                <c:pt idx="1374">
                  <c:v>100</c:v>
                </c:pt>
                <c:pt idx="1375">
                  <c:v>200</c:v>
                </c:pt>
                <c:pt idx="1376">
                  <c:v>7</c:v>
                </c:pt>
                <c:pt idx="1377">
                  <c:v>20</c:v>
                </c:pt>
                <c:pt idx="1378">
                  <c:v>165</c:v>
                </c:pt>
                <c:pt idx="1379">
                  <c:v>76</c:v>
                </c:pt>
                <c:pt idx="1380">
                  <c:v>30</c:v>
                </c:pt>
                <c:pt idx="1381">
                  <c:v>50</c:v>
                </c:pt>
                <c:pt idx="1382">
                  <c:v>105</c:v>
                </c:pt>
                <c:pt idx="1383">
                  <c:v>225</c:v>
                </c:pt>
                <c:pt idx="1384">
                  <c:v>178</c:v>
                </c:pt>
                <c:pt idx="1385">
                  <c:v>2</c:v>
                </c:pt>
                <c:pt idx="1386">
                  <c:v>6</c:v>
                </c:pt>
                <c:pt idx="1387">
                  <c:v>47</c:v>
                </c:pt>
                <c:pt idx="1388">
                  <c:v>704</c:v>
                </c:pt>
                <c:pt idx="1389">
                  <c:v>225</c:v>
                </c:pt>
                <c:pt idx="1390">
                  <c:v>40</c:v>
                </c:pt>
                <c:pt idx="1391">
                  <c:v>1600</c:v>
                </c:pt>
                <c:pt idx="1392">
                  <c:v>1600</c:v>
                </c:pt>
                <c:pt idx="1393">
                  <c:v>3</c:v>
                </c:pt>
                <c:pt idx="1394">
                  <c:v>52</c:v>
                </c:pt>
                <c:pt idx="1395">
                  <c:v>62</c:v>
                </c:pt>
                <c:pt idx="1396">
                  <c:v>15</c:v>
                </c:pt>
                <c:pt idx="1397">
                  <c:v>195</c:v>
                </c:pt>
                <c:pt idx="1398">
                  <c:v>42</c:v>
                </c:pt>
                <c:pt idx="1399">
                  <c:v>1500</c:v>
                </c:pt>
                <c:pt idx="1400">
                  <c:v>1500</c:v>
                </c:pt>
                <c:pt idx="1401">
                  <c:v>90</c:v>
                </c:pt>
                <c:pt idx="1402">
                  <c:v>90</c:v>
                </c:pt>
                <c:pt idx="1403">
                  <c:v>19</c:v>
                </c:pt>
                <c:pt idx="1404">
                  <c:v>137</c:v>
                </c:pt>
                <c:pt idx="1405">
                  <c:v>273</c:v>
                </c:pt>
                <c:pt idx="1406">
                  <c:v>734</c:v>
                </c:pt>
                <c:pt idx="1407">
                  <c:v>5</c:v>
                </c:pt>
                <c:pt idx="1408">
                  <c:v>3</c:v>
                </c:pt>
                <c:pt idx="1409">
                  <c:v>10</c:v>
                </c:pt>
                <c:pt idx="1410">
                  <c:v>428</c:v>
                </c:pt>
                <c:pt idx="1411">
                  <c:v>13</c:v>
                </c:pt>
                <c:pt idx="1412">
                  <c:v>205</c:v>
                </c:pt>
                <c:pt idx="1413">
                  <c:v>20</c:v>
                </c:pt>
                <c:pt idx="1414">
                  <c:v>192</c:v>
                </c:pt>
                <c:pt idx="1415">
                  <c:v>43</c:v>
                </c:pt>
                <c:pt idx="1416">
                  <c:v>19</c:v>
                </c:pt>
                <c:pt idx="1417">
                  <c:v>20</c:v>
                </c:pt>
                <c:pt idx="1418">
                  <c:v>419</c:v>
                </c:pt>
                <c:pt idx="1419">
                  <c:v>13</c:v>
                </c:pt>
                <c:pt idx="1420">
                  <c:v>286</c:v>
                </c:pt>
                <c:pt idx="1421">
                  <c:v>238</c:v>
                </c:pt>
                <c:pt idx="1422">
                  <c:v>88</c:v>
                </c:pt>
                <c:pt idx="1423">
                  <c:v>238</c:v>
                </c:pt>
                <c:pt idx="1424">
                  <c:v>184</c:v>
                </c:pt>
                <c:pt idx="1425">
                  <c:v>451</c:v>
                </c:pt>
                <c:pt idx="1426">
                  <c:v>120</c:v>
                </c:pt>
                <c:pt idx="1427">
                  <c:v>13</c:v>
                </c:pt>
                <c:pt idx="1428">
                  <c:v>153</c:v>
                </c:pt>
                <c:pt idx="1429">
                  <c:v>763</c:v>
                </c:pt>
                <c:pt idx="1430">
                  <c:v>106</c:v>
                </c:pt>
                <c:pt idx="1431">
                  <c:v>78</c:v>
                </c:pt>
                <c:pt idx="1432">
                  <c:v>14</c:v>
                </c:pt>
                <c:pt idx="1433">
                  <c:v>100</c:v>
                </c:pt>
                <c:pt idx="1434">
                  <c:v>176</c:v>
                </c:pt>
                <c:pt idx="1435">
                  <c:v>73</c:v>
                </c:pt>
                <c:pt idx="1436">
                  <c:v>56</c:v>
                </c:pt>
                <c:pt idx="1437">
                  <c:v>150</c:v>
                </c:pt>
                <c:pt idx="1438">
                  <c:v>649</c:v>
                </c:pt>
                <c:pt idx="1439">
                  <c:v>817</c:v>
                </c:pt>
                <c:pt idx="1440">
                  <c:v>154</c:v>
                </c:pt>
                <c:pt idx="1441">
                  <c:v>33</c:v>
                </c:pt>
                <c:pt idx="1442">
                  <c:v>33</c:v>
                </c:pt>
                <c:pt idx="1443">
                  <c:v>70</c:v>
                </c:pt>
                <c:pt idx="1444">
                  <c:v>1200</c:v>
                </c:pt>
                <c:pt idx="1445">
                  <c:v>10</c:v>
                </c:pt>
                <c:pt idx="1446">
                  <c:v>20</c:v>
                </c:pt>
                <c:pt idx="1447">
                  <c:v>150</c:v>
                </c:pt>
                <c:pt idx="1448">
                  <c:v>184</c:v>
                </c:pt>
                <c:pt idx="1449">
                  <c:v>189</c:v>
                </c:pt>
                <c:pt idx="1450">
                  <c:v>149</c:v>
                </c:pt>
                <c:pt idx="1451">
                  <c:v>1</c:v>
                </c:pt>
                <c:pt idx="1452">
                  <c:v>91</c:v>
                </c:pt>
                <c:pt idx="1453">
                  <c:v>400</c:v>
                </c:pt>
                <c:pt idx="1454">
                  <c:v>39</c:v>
                </c:pt>
                <c:pt idx="1455">
                  <c:v>175</c:v>
                </c:pt>
                <c:pt idx="1456">
                  <c:v>65</c:v>
                </c:pt>
                <c:pt idx="1457">
                  <c:v>65</c:v>
                </c:pt>
                <c:pt idx="1458">
                  <c:v>533</c:v>
                </c:pt>
                <c:pt idx="1459">
                  <c:v>15</c:v>
                </c:pt>
                <c:pt idx="1460">
                  <c:v>425</c:v>
                </c:pt>
                <c:pt idx="1461">
                  <c:v>1800</c:v>
                </c:pt>
                <c:pt idx="1462">
                  <c:v>28</c:v>
                </c:pt>
                <c:pt idx="1463">
                  <c:v>3</c:v>
                </c:pt>
                <c:pt idx="1464">
                  <c:v>335</c:v>
                </c:pt>
                <c:pt idx="1465">
                  <c:v>755</c:v>
                </c:pt>
                <c:pt idx="1466">
                  <c:v>347</c:v>
                </c:pt>
                <c:pt idx="1467">
                  <c:v>226</c:v>
                </c:pt>
                <c:pt idx="1468">
                  <c:v>4</c:v>
                </c:pt>
                <c:pt idx="1469">
                  <c:v>329</c:v>
                </c:pt>
                <c:pt idx="1470">
                  <c:v>329</c:v>
                </c:pt>
                <c:pt idx="1471">
                  <c:v>202</c:v>
                </c:pt>
                <c:pt idx="1472">
                  <c:v>41</c:v>
                </c:pt>
                <c:pt idx="1473">
                  <c:v>12</c:v>
                </c:pt>
                <c:pt idx="1474">
                  <c:v>2300</c:v>
                </c:pt>
                <c:pt idx="1475">
                  <c:v>770</c:v>
                </c:pt>
                <c:pt idx="1476">
                  <c:v>40</c:v>
                </c:pt>
                <c:pt idx="1477">
                  <c:v>2</c:v>
                </c:pt>
                <c:pt idx="1478">
                  <c:v>30</c:v>
                </c:pt>
                <c:pt idx="1479">
                  <c:v>117</c:v>
                </c:pt>
                <c:pt idx="1480">
                  <c:v>42</c:v>
                </c:pt>
                <c:pt idx="1481">
                  <c:v>42</c:v>
                </c:pt>
                <c:pt idx="1482">
                  <c:v>548</c:v>
                </c:pt>
                <c:pt idx="1483">
                  <c:v>277</c:v>
                </c:pt>
                <c:pt idx="1484">
                  <c:v>55</c:v>
                </c:pt>
                <c:pt idx="1485">
                  <c:v>55</c:v>
                </c:pt>
                <c:pt idx="1486">
                  <c:v>134</c:v>
                </c:pt>
                <c:pt idx="1487">
                  <c:v>134</c:v>
                </c:pt>
                <c:pt idx="1488">
                  <c:v>315</c:v>
                </c:pt>
                <c:pt idx="1489">
                  <c:v>319</c:v>
                </c:pt>
                <c:pt idx="1490">
                  <c:v>319</c:v>
                </c:pt>
                <c:pt idx="1491">
                  <c:v>320</c:v>
                </c:pt>
                <c:pt idx="1492">
                  <c:v>50</c:v>
                </c:pt>
                <c:pt idx="1493">
                  <c:v>317</c:v>
                </c:pt>
                <c:pt idx="1494">
                  <c:v>1500</c:v>
                </c:pt>
                <c:pt idx="1495">
                  <c:v>81</c:v>
                </c:pt>
                <c:pt idx="1496">
                  <c:v>125</c:v>
                </c:pt>
                <c:pt idx="1497">
                  <c:v>63</c:v>
                </c:pt>
                <c:pt idx="1498">
                  <c:v>13</c:v>
                </c:pt>
                <c:pt idx="1499">
                  <c:v>38</c:v>
                </c:pt>
                <c:pt idx="1500">
                  <c:v>496</c:v>
                </c:pt>
                <c:pt idx="1501">
                  <c:v>17</c:v>
                </c:pt>
                <c:pt idx="1502">
                  <c:v>163</c:v>
                </c:pt>
                <c:pt idx="1503">
                  <c:v>163</c:v>
                </c:pt>
                <c:pt idx="1504">
                  <c:v>541</c:v>
                </c:pt>
                <c:pt idx="1505">
                  <c:v>526</c:v>
                </c:pt>
                <c:pt idx="1506">
                  <c:v>257</c:v>
                </c:pt>
                <c:pt idx="1507">
                  <c:v>85</c:v>
                </c:pt>
                <c:pt idx="1508">
                  <c:v>87</c:v>
                </c:pt>
                <c:pt idx="1509">
                  <c:v>127</c:v>
                </c:pt>
                <c:pt idx="1510">
                  <c:v>30</c:v>
                </c:pt>
                <c:pt idx="1511">
                  <c:v>26</c:v>
                </c:pt>
                <c:pt idx="1512">
                  <c:v>837</c:v>
                </c:pt>
                <c:pt idx="1513">
                  <c:v>133</c:v>
                </c:pt>
                <c:pt idx="1514">
                  <c:v>35</c:v>
                </c:pt>
                <c:pt idx="1515">
                  <c:v>405</c:v>
                </c:pt>
                <c:pt idx="1516">
                  <c:v>405</c:v>
                </c:pt>
                <c:pt idx="1517">
                  <c:v>73</c:v>
                </c:pt>
                <c:pt idx="1518">
                  <c:v>298</c:v>
                </c:pt>
                <c:pt idx="1519">
                  <c:v>423</c:v>
                </c:pt>
                <c:pt idx="1520">
                  <c:v>44</c:v>
                </c:pt>
                <c:pt idx="1521">
                  <c:v>44</c:v>
                </c:pt>
                <c:pt idx="1522">
                  <c:v>44</c:v>
                </c:pt>
                <c:pt idx="1523">
                  <c:v>21</c:v>
                </c:pt>
                <c:pt idx="1524">
                  <c:v>134</c:v>
                </c:pt>
                <c:pt idx="1525">
                  <c:v>112</c:v>
                </c:pt>
                <c:pt idx="1526">
                  <c:v>10700</c:v>
                </c:pt>
                <c:pt idx="1527">
                  <c:v>3100</c:v>
                </c:pt>
                <c:pt idx="1528">
                  <c:v>10700</c:v>
                </c:pt>
                <c:pt idx="1529">
                  <c:v>1000</c:v>
                </c:pt>
                <c:pt idx="1530">
                  <c:v>5600</c:v>
                </c:pt>
                <c:pt idx="1531">
                  <c:v>5600</c:v>
                </c:pt>
                <c:pt idx="1532">
                  <c:v>1</c:v>
                </c:pt>
                <c:pt idx="1533">
                  <c:v>34</c:v>
                </c:pt>
                <c:pt idx="1534">
                  <c:v>208</c:v>
                </c:pt>
                <c:pt idx="1535">
                  <c:v>365</c:v>
                </c:pt>
                <c:pt idx="1536">
                  <c:v>527</c:v>
                </c:pt>
                <c:pt idx="1537">
                  <c:v>527</c:v>
                </c:pt>
                <c:pt idx="1538">
                  <c:v>481</c:v>
                </c:pt>
                <c:pt idx="1539">
                  <c:v>310</c:v>
                </c:pt>
                <c:pt idx="1540">
                  <c:v>25</c:v>
                </c:pt>
                <c:pt idx="1541">
                  <c:v>205</c:v>
                </c:pt>
                <c:pt idx="1542">
                  <c:v>14</c:v>
                </c:pt>
                <c:pt idx="1543">
                  <c:v>60</c:v>
                </c:pt>
                <c:pt idx="1544">
                  <c:v>382</c:v>
                </c:pt>
                <c:pt idx="1545">
                  <c:v>445</c:v>
                </c:pt>
                <c:pt idx="1546">
                  <c:v>445</c:v>
                </c:pt>
                <c:pt idx="1547">
                  <c:v>553</c:v>
                </c:pt>
                <c:pt idx="1548">
                  <c:v>172</c:v>
                </c:pt>
                <c:pt idx="1549">
                  <c:v>172</c:v>
                </c:pt>
                <c:pt idx="1550">
                  <c:v>61</c:v>
                </c:pt>
                <c:pt idx="1551">
                  <c:v>438</c:v>
                </c:pt>
                <c:pt idx="1552">
                  <c:v>965</c:v>
                </c:pt>
                <c:pt idx="1553">
                  <c:v>5</c:v>
                </c:pt>
                <c:pt idx="1554">
                  <c:v>65</c:v>
                </c:pt>
                <c:pt idx="1555">
                  <c:v>65</c:v>
                </c:pt>
                <c:pt idx="1556">
                  <c:v>65</c:v>
                </c:pt>
                <c:pt idx="1557">
                  <c:v>65</c:v>
                </c:pt>
                <c:pt idx="1558">
                  <c:v>145</c:v>
                </c:pt>
                <c:pt idx="1559">
                  <c:v>245</c:v>
                </c:pt>
                <c:pt idx="1560">
                  <c:v>97</c:v>
                </c:pt>
                <c:pt idx="1561">
                  <c:v>452</c:v>
                </c:pt>
                <c:pt idx="1562">
                  <c:v>84</c:v>
                </c:pt>
                <c:pt idx="1563">
                  <c:v>36</c:v>
                </c:pt>
                <c:pt idx="1564">
                  <c:v>530</c:v>
                </c:pt>
                <c:pt idx="1565">
                  <c:v>700</c:v>
                </c:pt>
                <c:pt idx="1566">
                  <c:v>106</c:v>
                </c:pt>
                <c:pt idx="1567">
                  <c:v>11</c:v>
                </c:pt>
                <c:pt idx="1568">
                  <c:v>82</c:v>
                </c:pt>
                <c:pt idx="1569">
                  <c:v>1300</c:v>
                </c:pt>
                <c:pt idx="1570">
                  <c:v>1300</c:v>
                </c:pt>
                <c:pt idx="1571">
                  <c:v>151</c:v>
                </c:pt>
                <c:pt idx="1572">
                  <c:v>139</c:v>
                </c:pt>
                <c:pt idx="1573">
                  <c:v>602</c:v>
                </c:pt>
                <c:pt idx="1574">
                  <c:v>103</c:v>
                </c:pt>
                <c:pt idx="1575">
                  <c:v>347</c:v>
                </c:pt>
                <c:pt idx="1576">
                  <c:v>95</c:v>
                </c:pt>
                <c:pt idx="1577">
                  <c:v>95</c:v>
                </c:pt>
                <c:pt idx="1578">
                  <c:v>23</c:v>
                </c:pt>
                <c:pt idx="1579">
                  <c:v>8600</c:v>
                </c:pt>
                <c:pt idx="1580">
                  <c:v>8600</c:v>
                </c:pt>
                <c:pt idx="1581">
                  <c:v>7</c:v>
                </c:pt>
                <c:pt idx="1582">
                  <c:v>37</c:v>
                </c:pt>
                <c:pt idx="1583">
                  <c:v>83</c:v>
                </c:pt>
                <c:pt idx="1584">
                  <c:v>107</c:v>
                </c:pt>
                <c:pt idx="1585">
                  <c:v>283</c:v>
                </c:pt>
                <c:pt idx="1586">
                  <c:v>766</c:v>
                </c:pt>
                <c:pt idx="1587">
                  <c:v>791</c:v>
                </c:pt>
                <c:pt idx="1588">
                  <c:v>791</c:v>
                </c:pt>
                <c:pt idx="1589">
                  <c:v>3</c:v>
                </c:pt>
                <c:pt idx="1590">
                  <c:v>200</c:v>
                </c:pt>
                <c:pt idx="1591">
                  <c:v>69</c:v>
                </c:pt>
                <c:pt idx="1592">
                  <c:v>152</c:v>
                </c:pt>
                <c:pt idx="1593">
                  <c:v>26</c:v>
                </c:pt>
                <c:pt idx="1594">
                  <c:v>26</c:v>
                </c:pt>
                <c:pt idx="1595">
                  <c:v>50</c:v>
                </c:pt>
                <c:pt idx="1596">
                  <c:v>5</c:v>
                </c:pt>
                <c:pt idx="1597">
                  <c:v>5</c:v>
                </c:pt>
                <c:pt idx="1598">
                  <c:v>1100</c:v>
                </c:pt>
                <c:pt idx="1599">
                  <c:v>301</c:v>
                </c:pt>
                <c:pt idx="1600">
                  <c:v>45</c:v>
                </c:pt>
                <c:pt idx="1601">
                  <c:v>1700</c:v>
                </c:pt>
                <c:pt idx="1602">
                  <c:v>1700</c:v>
                </c:pt>
                <c:pt idx="1603">
                  <c:v>222</c:v>
                </c:pt>
                <c:pt idx="1604">
                  <c:v>38</c:v>
                </c:pt>
                <c:pt idx="1605">
                  <c:v>28</c:v>
                </c:pt>
                <c:pt idx="1606">
                  <c:v>58</c:v>
                </c:pt>
                <c:pt idx="1607">
                  <c:v>11</c:v>
                </c:pt>
                <c:pt idx="1608">
                  <c:v>504</c:v>
                </c:pt>
                <c:pt idx="1609">
                  <c:v>330</c:v>
                </c:pt>
                <c:pt idx="1610">
                  <c:v>154</c:v>
                </c:pt>
                <c:pt idx="1611">
                  <c:v>2</c:v>
                </c:pt>
                <c:pt idx="1612">
                  <c:v>114</c:v>
                </c:pt>
                <c:pt idx="1613">
                  <c:v>19</c:v>
                </c:pt>
                <c:pt idx="1614">
                  <c:v>122</c:v>
                </c:pt>
                <c:pt idx="1615">
                  <c:v>122</c:v>
                </c:pt>
                <c:pt idx="1616">
                  <c:v>122</c:v>
                </c:pt>
                <c:pt idx="1617">
                  <c:v>122</c:v>
                </c:pt>
                <c:pt idx="1618">
                  <c:v>56</c:v>
                </c:pt>
                <c:pt idx="1619">
                  <c:v>159</c:v>
                </c:pt>
                <c:pt idx="1620">
                  <c:v>50</c:v>
                </c:pt>
                <c:pt idx="1621">
                  <c:v>50</c:v>
                </c:pt>
                <c:pt idx="1622">
                  <c:v>122</c:v>
                </c:pt>
                <c:pt idx="1623">
                  <c:v>313</c:v>
                </c:pt>
                <c:pt idx="1624">
                  <c:v>313</c:v>
                </c:pt>
                <c:pt idx="1625">
                  <c:v>163</c:v>
                </c:pt>
                <c:pt idx="1626">
                  <c:v>106</c:v>
                </c:pt>
                <c:pt idx="1627">
                  <c:v>277</c:v>
                </c:pt>
                <c:pt idx="1628">
                  <c:v>8</c:v>
                </c:pt>
                <c:pt idx="1629">
                  <c:v>235</c:v>
                </c:pt>
                <c:pt idx="1630">
                  <c:v>68</c:v>
                </c:pt>
                <c:pt idx="1631">
                  <c:v>15</c:v>
                </c:pt>
                <c:pt idx="1632">
                  <c:v>173</c:v>
                </c:pt>
                <c:pt idx="1633">
                  <c:v>1500</c:v>
                </c:pt>
                <c:pt idx="1634">
                  <c:v>50</c:v>
                </c:pt>
                <c:pt idx="1635">
                  <c:v>92</c:v>
                </c:pt>
                <c:pt idx="1636">
                  <c:v>171</c:v>
                </c:pt>
                <c:pt idx="1637">
                  <c:v>525</c:v>
                </c:pt>
                <c:pt idx="1638">
                  <c:v>274</c:v>
                </c:pt>
                <c:pt idx="1639">
                  <c:v>55</c:v>
                </c:pt>
                <c:pt idx="1640">
                  <c:v>60</c:v>
                </c:pt>
                <c:pt idx="1641">
                  <c:v>114</c:v>
                </c:pt>
                <c:pt idx="1642">
                  <c:v>20</c:v>
                </c:pt>
                <c:pt idx="1643">
                  <c:v>136</c:v>
                </c:pt>
                <c:pt idx="1644">
                  <c:v>136</c:v>
                </c:pt>
                <c:pt idx="1645">
                  <c:v>287</c:v>
                </c:pt>
                <c:pt idx="1646">
                  <c:v>132</c:v>
                </c:pt>
                <c:pt idx="1647">
                  <c:v>287</c:v>
                </c:pt>
                <c:pt idx="1648">
                  <c:v>6</c:v>
                </c:pt>
                <c:pt idx="1649">
                  <c:v>28</c:v>
                </c:pt>
                <c:pt idx="1650">
                  <c:v>197</c:v>
                </c:pt>
                <c:pt idx="1651">
                  <c:v>35</c:v>
                </c:pt>
                <c:pt idx="1652">
                  <c:v>76</c:v>
                </c:pt>
                <c:pt idx="1653">
                  <c:v>410</c:v>
                </c:pt>
                <c:pt idx="1654">
                  <c:v>152</c:v>
                </c:pt>
                <c:pt idx="1655">
                  <c:v>188</c:v>
                </c:pt>
                <c:pt idx="1656">
                  <c:v>188</c:v>
                </c:pt>
                <c:pt idx="1657">
                  <c:v>221</c:v>
                </c:pt>
                <c:pt idx="1658">
                  <c:v>4900</c:v>
                </c:pt>
                <c:pt idx="1659">
                  <c:v>253</c:v>
                </c:pt>
                <c:pt idx="1660">
                  <c:v>253</c:v>
                </c:pt>
                <c:pt idx="1661">
                  <c:v>104</c:v>
                </c:pt>
                <c:pt idx="1662">
                  <c:v>22</c:v>
                </c:pt>
                <c:pt idx="1663">
                  <c:v>55</c:v>
                </c:pt>
                <c:pt idx="1664">
                  <c:v>849</c:v>
                </c:pt>
                <c:pt idx="1665">
                  <c:v>849</c:v>
                </c:pt>
                <c:pt idx="1666">
                  <c:v>646</c:v>
                </c:pt>
                <c:pt idx="1667">
                  <c:v>646</c:v>
                </c:pt>
                <c:pt idx="1668">
                  <c:v>3000</c:v>
                </c:pt>
                <c:pt idx="1669">
                  <c:v>2500</c:v>
                </c:pt>
                <c:pt idx="1670">
                  <c:v>344</c:v>
                </c:pt>
                <c:pt idx="1671">
                  <c:v>162</c:v>
                </c:pt>
                <c:pt idx="1672">
                  <c:v>385</c:v>
                </c:pt>
                <c:pt idx="1673">
                  <c:v>18</c:v>
                </c:pt>
                <c:pt idx="1674">
                  <c:v>839</c:v>
                </c:pt>
                <c:pt idx="1675">
                  <c:v>839</c:v>
                </c:pt>
                <c:pt idx="1676">
                  <c:v>359</c:v>
                </c:pt>
                <c:pt idx="1677">
                  <c:v>183</c:v>
                </c:pt>
                <c:pt idx="1678">
                  <c:v>126</c:v>
                </c:pt>
                <c:pt idx="1679">
                  <c:v>455</c:v>
                </c:pt>
                <c:pt idx="1680">
                  <c:v>125</c:v>
                </c:pt>
                <c:pt idx="1681">
                  <c:v>27</c:v>
                </c:pt>
                <c:pt idx="1682">
                  <c:v>542</c:v>
                </c:pt>
                <c:pt idx="1683">
                  <c:v>326</c:v>
                </c:pt>
                <c:pt idx="1684">
                  <c:v>326</c:v>
                </c:pt>
                <c:pt idx="1685">
                  <c:v>248</c:v>
                </c:pt>
                <c:pt idx="1686">
                  <c:v>10</c:v>
                </c:pt>
                <c:pt idx="1687">
                  <c:v>41</c:v>
                </c:pt>
                <c:pt idx="1688">
                  <c:v>8</c:v>
                </c:pt>
                <c:pt idx="1689">
                  <c:v>8</c:v>
                </c:pt>
                <c:pt idx="1690">
                  <c:v>159</c:v>
                </c:pt>
                <c:pt idx="1691">
                  <c:v>40</c:v>
                </c:pt>
                <c:pt idx="1692">
                  <c:v>2400</c:v>
                </c:pt>
                <c:pt idx="1693">
                  <c:v>34</c:v>
                </c:pt>
                <c:pt idx="1694">
                  <c:v>117</c:v>
                </c:pt>
                <c:pt idx="1695">
                  <c:v>117</c:v>
                </c:pt>
                <c:pt idx="1696">
                  <c:v>2100</c:v>
                </c:pt>
                <c:pt idx="1697">
                  <c:v>2100</c:v>
                </c:pt>
                <c:pt idx="1698">
                  <c:v>2100</c:v>
                </c:pt>
                <c:pt idx="1699">
                  <c:v>61</c:v>
                </c:pt>
                <c:pt idx="1700">
                  <c:v>32</c:v>
                </c:pt>
                <c:pt idx="1701">
                  <c:v>11</c:v>
                </c:pt>
                <c:pt idx="1702">
                  <c:v>228</c:v>
                </c:pt>
                <c:pt idx="1703">
                  <c:v>429</c:v>
                </c:pt>
                <c:pt idx="1704">
                  <c:v>429</c:v>
                </c:pt>
                <c:pt idx="1705">
                  <c:v>26</c:v>
                </c:pt>
                <c:pt idx="1706">
                  <c:v>77</c:v>
                </c:pt>
                <c:pt idx="1707">
                  <c:v>2</c:v>
                </c:pt>
                <c:pt idx="1708">
                  <c:v>229</c:v>
                </c:pt>
                <c:pt idx="1709">
                  <c:v>68</c:v>
                </c:pt>
                <c:pt idx="1710">
                  <c:v>260</c:v>
                </c:pt>
                <c:pt idx="1711">
                  <c:v>260</c:v>
                </c:pt>
                <c:pt idx="1712">
                  <c:v>197</c:v>
                </c:pt>
                <c:pt idx="1713">
                  <c:v>82</c:v>
                </c:pt>
                <c:pt idx="1714">
                  <c:v>480</c:v>
                </c:pt>
                <c:pt idx="1715">
                  <c:v>480</c:v>
                </c:pt>
                <c:pt idx="1716">
                  <c:v>61</c:v>
                </c:pt>
                <c:pt idx="1717">
                  <c:v>263</c:v>
                </c:pt>
                <c:pt idx="1718">
                  <c:v>62</c:v>
                </c:pt>
                <c:pt idx="1719">
                  <c:v>75</c:v>
                </c:pt>
                <c:pt idx="1720">
                  <c:v>79</c:v>
                </c:pt>
                <c:pt idx="1721">
                  <c:v>79</c:v>
                </c:pt>
                <c:pt idx="1722">
                  <c:v>79</c:v>
                </c:pt>
                <c:pt idx="1723">
                  <c:v>10</c:v>
                </c:pt>
                <c:pt idx="1724">
                  <c:v>690</c:v>
                </c:pt>
                <c:pt idx="1725">
                  <c:v>160</c:v>
                </c:pt>
                <c:pt idx="1726">
                  <c:v>690</c:v>
                </c:pt>
                <c:pt idx="1727">
                  <c:v>325</c:v>
                </c:pt>
                <c:pt idx="1728">
                  <c:v>18</c:v>
                </c:pt>
                <c:pt idx="1729">
                  <c:v>275</c:v>
                </c:pt>
                <c:pt idx="1730">
                  <c:v>151</c:v>
                </c:pt>
                <c:pt idx="1731">
                  <c:v>58</c:v>
                </c:pt>
                <c:pt idx="1732">
                  <c:v>111</c:v>
                </c:pt>
                <c:pt idx="1733">
                  <c:v>111</c:v>
                </c:pt>
                <c:pt idx="1734">
                  <c:v>76</c:v>
                </c:pt>
                <c:pt idx="1735">
                  <c:v>63</c:v>
                </c:pt>
                <c:pt idx="1736">
                  <c:v>2300</c:v>
                </c:pt>
                <c:pt idx="1737">
                  <c:v>2300</c:v>
                </c:pt>
                <c:pt idx="1738">
                  <c:v>76</c:v>
                </c:pt>
                <c:pt idx="1739">
                  <c:v>59</c:v>
                </c:pt>
                <c:pt idx="1740">
                  <c:v>19</c:v>
                </c:pt>
                <c:pt idx="1741">
                  <c:v>50</c:v>
                </c:pt>
                <c:pt idx="1742">
                  <c:v>50</c:v>
                </c:pt>
                <c:pt idx="1743">
                  <c:v>64</c:v>
                </c:pt>
                <c:pt idx="1744">
                  <c:v>40</c:v>
                </c:pt>
                <c:pt idx="1745">
                  <c:v>126</c:v>
                </c:pt>
                <c:pt idx="1746">
                  <c:v>17</c:v>
                </c:pt>
                <c:pt idx="1747">
                  <c:v>82</c:v>
                </c:pt>
                <c:pt idx="1748">
                  <c:v>7</c:v>
                </c:pt>
                <c:pt idx="1749">
                  <c:v>53</c:v>
                </c:pt>
                <c:pt idx="1750">
                  <c:v>50</c:v>
                </c:pt>
                <c:pt idx="1751">
                  <c:v>135</c:v>
                </c:pt>
                <c:pt idx="1752">
                  <c:v>124</c:v>
                </c:pt>
                <c:pt idx="1753">
                  <c:v>74</c:v>
                </c:pt>
                <c:pt idx="1754">
                  <c:v>108</c:v>
                </c:pt>
                <c:pt idx="1755">
                  <c:v>36</c:v>
                </c:pt>
                <c:pt idx="1756">
                  <c:v>261</c:v>
                </c:pt>
                <c:pt idx="1757">
                  <c:v>9</c:v>
                </c:pt>
                <c:pt idx="1758">
                  <c:v>169</c:v>
                </c:pt>
                <c:pt idx="1759">
                  <c:v>7</c:v>
                </c:pt>
                <c:pt idx="1760">
                  <c:v>478</c:v>
                </c:pt>
                <c:pt idx="1761">
                  <c:v>478</c:v>
                </c:pt>
                <c:pt idx="1762">
                  <c:v>3600</c:v>
                </c:pt>
                <c:pt idx="1763">
                  <c:v>1600</c:v>
                </c:pt>
                <c:pt idx="1764">
                  <c:v>3600</c:v>
                </c:pt>
                <c:pt idx="1765">
                  <c:v>1600</c:v>
                </c:pt>
                <c:pt idx="1766">
                  <c:v>1600</c:v>
                </c:pt>
                <c:pt idx="1767">
                  <c:v>23</c:v>
                </c:pt>
                <c:pt idx="1768">
                  <c:v>264</c:v>
                </c:pt>
                <c:pt idx="1769">
                  <c:v>132</c:v>
                </c:pt>
                <c:pt idx="1770">
                  <c:v>20</c:v>
                </c:pt>
                <c:pt idx="1771">
                  <c:v>148</c:v>
                </c:pt>
                <c:pt idx="1772">
                  <c:v>50</c:v>
                </c:pt>
                <c:pt idx="1773">
                  <c:v>4</c:v>
                </c:pt>
                <c:pt idx="1774">
                  <c:v>6</c:v>
                </c:pt>
                <c:pt idx="1775">
                  <c:v>321</c:v>
                </c:pt>
                <c:pt idx="1776">
                  <c:v>459</c:v>
                </c:pt>
                <c:pt idx="1777">
                  <c:v>71</c:v>
                </c:pt>
                <c:pt idx="1778">
                  <c:v>445</c:v>
                </c:pt>
                <c:pt idx="1779">
                  <c:v>148</c:v>
                </c:pt>
                <c:pt idx="1780">
                  <c:v>8</c:v>
                </c:pt>
                <c:pt idx="1781">
                  <c:v>497</c:v>
                </c:pt>
                <c:pt idx="1782">
                  <c:v>497</c:v>
                </c:pt>
                <c:pt idx="1783">
                  <c:v>9</c:v>
                </c:pt>
                <c:pt idx="1784">
                  <c:v>92</c:v>
                </c:pt>
                <c:pt idx="1785">
                  <c:v>90</c:v>
                </c:pt>
                <c:pt idx="1786">
                  <c:v>1000</c:v>
                </c:pt>
                <c:pt idx="1787">
                  <c:v>17</c:v>
                </c:pt>
                <c:pt idx="1788">
                  <c:v>279</c:v>
                </c:pt>
                <c:pt idx="1789">
                  <c:v>279</c:v>
                </c:pt>
                <c:pt idx="1790">
                  <c:v>235</c:v>
                </c:pt>
                <c:pt idx="1791">
                  <c:v>173</c:v>
                </c:pt>
                <c:pt idx="1792">
                  <c:v>173</c:v>
                </c:pt>
                <c:pt idx="1793">
                  <c:v>118</c:v>
                </c:pt>
                <c:pt idx="1794">
                  <c:v>73</c:v>
                </c:pt>
                <c:pt idx="1795">
                  <c:v>1</c:v>
                </c:pt>
                <c:pt idx="1796">
                  <c:v>115</c:v>
                </c:pt>
                <c:pt idx="1797">
                  <c:v>172</c:v>
                </c:pt>
                <c:pt idx="1798">
                  <c:v>169</c:v>
                </c:pt>
                <c:pt idx="1799">
                  <c:v>298</c:v>
                </c:pt>
                <c:pt idx="1800">
                  <c:v>74</c:v>
                </c:pt>
                <c:pt idx="1801">
                  <c:v>36</c:v>
                </c:pt>
                <c:pt idx="1802">
                  <c:v>12600</c:v>
                </c:pt>
                <c:pt idx="1803">
                  <c:v>12600</c:v>
                </c:pt>
                <c:pt idx="1804">
                  <c:v>6</c:v>
                </c:pt>
                <c:pt idx="1805">
                  <c:v>120</c:v>
                </c:pt>
                <c:pt idx="1806">
                  <c:v>192</c:v>
                </c:pt>
                <c:pt idx="1807">
                  <c:v>20200</c:v>
                </c:pt>
                <c:pt idx="1808">
                  <c:v>41</c:v>
                </c:pt>
                <c:pt idx="1809">
                  <c:v>1</c:v>
                </c:pt>
                <c:pt idx="1810">
                  <c:v>2</c:v>
                </c:pt>
                <c:pt idx="1811">
                  <c:v>139</c:v>
                </c:pt>
                <c:pt idx="1812">
                  <c:v>5</c:v>
                </c:pt>
                <c:pt idx="1813">
                  <c:v>36</c:v>
                </c:pt>
                <c:pt idx="1814">
                  <c:v>115</c:v>
                </c:pt>
                <c:pt idx="1815">
                  <c:v>28</c:v>
                </c:pt>
                <c:pt idx="1816">
                  <c:v>39</c:v>
                </c:pt>
                <c:pt idx="1817">
                  <c:v>71</c:v>
                </c:pt>
                <c:pt idx="1818">
                  <c:v>65</c:v>
                </c:pt>
                <c:pt idx="1819">
                  <c:v>356</c:v>
                </c:pt>
                <c:pt idx="1820">
                  <c:v>358</c:v>
                </c:pt>
                <c:pt idx="1821">
                  <c:v>7</c:v>
                </c:pt>
                <c:pt idx="1822">
                  <c:v>117</c:v>
                </c:pt>
                <c:pt idx="1823">
                  <c:v>117</c:v>
                </c:pt>
                <c:pt idx="1824">
                  <c:v>117</c:v>
                </c:pt>
                <c:pt idx="1825">
                  <c:v>256</c:v>
                </c:pt>
                <c:pt idx="1826">
                  <c:v>256</c:v>
                </c:pt>
                <c:pt idx="1827">
                  <c:v>28</c:v>
                </c:pt>
                <c:pt idx="1828">
                  <c:v>28</c:v>
                </c:pt>
                <c:pt idx="1829">
                  <c:v>4</c:v>
                </c:pt>
                <c:pt idx="1830">
                  <c:v>28</c:v>
                </c:pt>
                <c:pt idx="1831">
                  <c:v>22</c:v>
                </c:pt>
                <c:pt idx="1832">
                  <c:v>22</c:v>
                </c:pt>
                <c:pt idx="1833">
                  <c:v>22</c:v>
                </c:pt>
                <c:pt idx="1834">
                  <c:v>68</c:v>
                </c:pt>
                <c:pt idx="1835">
                  <c:v>68</c:v>
                </c:pt>
                <c:pt idx="1836">
                  <c:v>209</c:v>
                </c:pt>
                <c:pt idx="1837">
                  <c:v>209</c:v>
                </c:pt>
                <c:pt idx="1838">
                  <c:v>743</c:v>
                </c:pt>
                <c:pt idx="1839">
                  <c:v>748</c:v>
                </c:pt>
                <c:pt idx="1840">
                  <c:v>3400</c:v>
                </c:pt>
                <c:pt idx="1841">
                  <c:v>40</c:v>
                </c:pt>
                <c:pt idx="1842">
                  <c:v>305</c:v>
                </c:pt>
                <c:pt idx="1843">
                  <c:v>305</c:v>
                </c:pt>
                <c:pt idx="1844">
                  <c:v>53</c:v>
                </c:pt>
                <c:pt idx="1845">
                  <c:v>698</c:v>
                </c:pt>
                <c:pt idx="1846">
                  <c:v>423</c:v>
                </c:pt>
                <c:pt idx="1847">
                  <c:v>646</c:v>
                </c:pt>
                <c:pt idx="1848">
                  <c:v>646</c:v>
                </c:pt>
                <c:pt idx="1849">
                  <c:v>204</c:v>
                </c:pt>
                <c:pt idx="1850">
                  <c:v>9400</c:v>
                </c:pt>
                <c:pt idx="1851">
                  <c:v>95</c:v>
                </c:pt>
                <c:pt idx="1852">
                  <c:v>235</c:v>
                </c:pt>
                <c:pt idx="1853">
                  <c:v>565</c:v>
                </c:pt>
                <c:pt idx="1854">
                  <c:v>902</c:v>
                </c:pt>
                <c:pt idx="1855">
                  <c:v>110</c:v>
                </c:pt>
                <c:pt idx="1856">
                  <c:v>29</c:v>
                </c:pt>
                <c:pt idx="1857">
                  <c:v>450</c:v>
                </c:pt>
                <c:pt idx="1858">
                  <c:v>83</c:v>
                </c:pt>
                <c:pt idx="1859">
                  <c:v>104</c:v>
                </c:pt>
                <c:pt idx="1860">
                  <c:v>112</c:v>
                </c:pt>
                <c:pt idx="1861">
                  <c:v>1</c:v>
                </c:pt>
                <c:pt idx="1862">
                  <c:v>224</c:v>
                </c:pt>
                <c:pt idx="1863">
                  <c:v>1200</c:v>
                </c:pt>
                <c:pt idx="1864">
                  <c:v>128</c:v>
                </c:pt>
                <c:pt idx="1865">
                  <c:v>583</c:v>
                </c:pt>
                <c:pt idx="1866">
                  <c:v>35</c:v>
                </c:pt>
                <c:pt idx="1867">
                  <c:v>47</c:v>
                </c:pt>
                <c:pt idx="1868">
                  <c:v>1000</c:v>
                </c:pt>
                <c:pt idx="1869">
                  <c:v>1000</c:v>
                </c:pt>
                <c:pt idx="1870">
                  <c:v>386</c:v>
                </c:pt>
                <c:pt idx="1871">
                  <c:v>109</c:v>
                </c:pt>
                <c:pt idx="1872">
                  <c:v>12</c:v>
                </c:pt>
                <c:pt idx="1873">
                  <c:v>62</c:v>
                </c:pt>
                <c:pt idx="1874">
                  <c:v>624</c:v>
                </c:pt>
                <c:pt idx="1875">
                  <c:v>981</c:v>
                </c:pt>
                <c:pt idx="1876">
                  <c:v>3</c:v>
                </c:pt>
                <c:pt idx="1877">
                  <c:v>48</c:v>
                </c:pt>
                <c:pt idx="1878">
                  <c:v>16</c:v>
                </c:pt>
                <c:pt idx="1879">
                  <c:v>16</c:v>
                </c:pt>
                <c:pt idx="1880">
                  <c:v>29</c:v>
                </c:pt>
                <c:pt idx="1881">
                  <c:v>55</c:v>
                </c:pt>
                <c:pt idx="1882">
                  <c:v>34</c:v>
                </c:pt>
                <c:pt idx="1883">
                  <c:v>17</c:v>
                </c:pt>
                <c:pt idx="1884">
                  <c:v>340</c:v>
                </c:pt>
                <c:pt idx="1885">
                  <c:v>271</c:v>
                </c:pt>
                <c:pt idx="1886">
                  <c:v>255</c:v>
                </c:pt>
                <c:pt idx="1887">
                  <c:v>255</c:v>
                </c:pt>
                <c:pt idx="1888">
                  <c:v>255</c:v>
                </c:pt>
                <c:pt idx="1889">
                  <c:v>255</c:v>
                </c:pt>
                <c:pt idx="1890">
                  <c:v>474</c:v>
                </c:pt>
                <c:pt idx="1891">
                  <c:v>28</c:v>
                </c:pt>
                <c:pt idx="1892">
                  <c:v>40</c:v>
                </c:pt>
                <c:pt idx="1893">
                  <c:v>21</c:v>
                </c:pt>
                <c:pt idx="1894">
                  <c:v>218</c:v>
                </c:pt>
                <c:pt idx="1895">
                  <c:v>51</c:v>
                </c:pt>
                <c:pt idx="1896">
                  <c:v>491</c:v>
                </c:pt>
                <c:pt idx="1897">
                  <c:v>467</c:v>
                </c:pt>
                <c:pt idx="1898">
                  <c:v>648</c:v>
                </c:pt>
                <c:pt idx="1899">
                  <c:v>2</c:v>
                </c:pt>
                <c:pt idx="1900">
                  <c:v>157</c:v>
                </c:pt>
                <c:pt idx="1901">
                  <c:v>614</c:v>
                </c:pt>
                <c:pt idx="1902">
                  <c:v>614</c:v>
                </c:pt>
                <c:pt idx="1903">
                  <c:v>50</c:v>
                </c:pt>
                <c:pt idx="1904">
                  <c:v>73</c:v>
                </c:pt>
                <c:pt idx="1905">
                  <c:v>5700</c:v>
                </c:pt>
                <c:pt idx="1906">
                  <c:v>12900</c:v>
                </c:pt>
                <c:pt idx="1907">
                  <c:v>12900</c:v>
                </c:pt>
                <c:pt idx="1908">
                  <c:v>12900</c:v>
                </c:pt>
                <c:pt idx="1909">
                  <c:v>187</c:v>
                </c:pt>
                <c:pt idx="1910">
                  <c:v>472</c:v>
                </c:pt>
                <c:pt idx="1911">
                  <c:v>544</c:v>
                </c:pt>
                <c:pt idx="1912">
                  <c:v>24700</c:v>
                </c:pt>
                <c:pt idx="1913">
                  <c:v>24700</c:v>
                </c:pt>
                <c:pt idx="1914">
                  <c:v>24700</c:v>
                </c:pt>
                <c:pt idx="1915">
                  <c:v>24700</c:v>
                </c:pt>
                <c:pt idx="1916">
                  <c:v>24700</c:v>
                </c:pt>
                <c:pt idx="1917">
                  <c:v>2700</c:v>
                </c:pt>
                <c:pt idx="1918">
                  <c:v>42</c:v>
                </c:pt>
                <c:pt idx="1919">
                  <c:v>1500</c:v>
                </c:pt>
                <c:pt idx="1920">
                  <c:v>1500</c:v>
                </c:pt>
                <c:pt idx="1921">
                  <c:v>235</c:v>
                </c:pt>
                <c:pt idx="1922">
                  <c:v>2</c:v>
                </c:pt>
                <c:pt idx="1923">
                  <c:v>311</c:v>
                </c:pt>
                <c:pt idx="1924">
                  <c:v>2000</c:v>
                </c:pt>
                <c:pt idx="1925">
                  <c:v>2000</c:v>
                </c:pt>
                <c:pt idx="1926">
                  <c:v>140</c:v>
                </c:pt>
                <c:pt idx="1927">
                  <c:v>55</c:v>
                </c:pt>
                <c:pt idx="1928">
                  <c:v>838</c:v>
                </c:pt>
                <c:pt idx="1929">
                  <c:v>838</c:v>
                </c:pt>
                <c:pt idx="1930">
                  <c:v>838</c:v>
                </c:pt>
                <c:pt idx="1931">
                  <c:v>91</c:v>
                </c:pt>
                <c:pt idx="1932">
                  <c:v>39</c:v>
                </c:pt>
                <c:pt idx="1933">
                  <c:v>118</c:v>
                </c:pt>
                <c:pt idx="1934">
                  <c:v>33</c:v>
                </c:pt>
                <c:pt idx="1935">
                  <c:v>336</c:v>
                </c:pt>
                <c:pt idx="1936">
                  <c:v>336</c:v>
                </c:pt>
                <c:pt idx="1937">
                  <c:v>620</c:v>
                </c:pt>
                <c:pt idx="1938">
                  <c:v>40</c:v>
                </c:pt>
                <c:pt idx="1939">
                  <c:v>1300</c:v>
                </c:pt>
                <c:pt idx="1940">
                  <c:v>1300</c:v>
                </c:pt>
                <c:pt idx="1941">
                  <c:v>8</c:v>
                </c:pt>
                <c:pt idx="1942">
                  <c:v>7</c:v>
                </c:pt>
                <c:pt idx="1943">
                  <c:v>467</c:v>
                </c:pt>
                <c:pt idx="1944">
                  <c:v>631</c:v>
                </c:pt>
                <c:pt idx="1945">
                  <c:v>62</c:v>
                </c:pt>
                <c:pt idx="1946">
                  <c:v>7</c:v>
                </c:pt>
                <c:pt idx="1947">
                  <c:v>144</c:v>
                </c:pt>
                <c:pt idx="1948">
                  <c:v>144</c:v>
                </c:pt>
                <c:pt idx="1949">
                  <c:v>95</c:v>
                </c:pt>
                <c:pt idx="1950">
                  <c:v>46</c:v>
                </c:pt>
                <c:pt idx="1951">
                  <c:v>152</c:v>
                </c:pt>
                <c:pt idx="1952">
                  <c:v>69</c:v>
                </c:pt>
                <c:pt idx="1953">
                  <c:v>526</c:v>
                </c:pt>
                <c:pt idx="1954">
                  <c:v>834</c:v>
                </c:pt>
                <c:pt idx="1955">
                  <c:v>203</c:v>
                </c:pt>
                <c:pt idx="1956">
                  <c:v>992</c:v>
                </c:pt>
                <c:pt idx="1957">
                  <c:v>30</c:v>
                </c:pt>
                <c:pt idx="1958">
                  <c:v>301</c:v>
                </c:pt>
                <c:pt idx="1959">
                  <c:v>292</c:v>
                </c:pt>
                <c:pt idx="1960">
                  <c:v>292</c:v>
                </c:pt>
                <c:pt idx="1961">
                  <c:v>292</c:v>
                </c:pt>
                <c:pt idx="1962">
                  <c:v>292</c:v>
                </c:pt>
                <c:pt idx="1963">
                  <c:v>15</c:v>
                </c:pt>
                <c:pt idx="1964">
                  <c:v>15</c:v>
                </c:pt>
                <c:pt idx="1965">
                  <c:v>69</c:v>
                </c:pt>
                <c:pt idx="1966">
                  <c:v>597</c:v>
                </c:pt>
                <c:pt idx="1967">
                  <c:v>225</c:v>
                </c:pt>
                <c:pt idx="1968">
                  <c:v>575</c:v>
                </c:pt>
                <c:pt idx="1969">
                  <c:v>167</c:v>
                </c:pt>
                <c:pt idx="1970">
                  <c:v>178</c:v>
                </c:pt>
                <c:pt idx="1971">
                  <c:v>43</c:v>
                </c:pt>
                <c:pt idx="1972">
                  <c:v>569</c:v>
                </c:pt>
                <c:pt idx="1973">
                  <c:v>7</c:v>
                </c:pt>
                <c:pt idx="1974">
                  <c:v>192</c:v>
                </c:pt>
                <c:pt idx="1975">
                  <c:v>3500</c:v>
                </c:pt>
                <c:pt idx="1976">
                  <c:v>1700</c:v>
                </c:pt>
                <c:pt idx="1977">
                  <c:v>75</c:v>
                </c:pt>
                <c:pt idx="1978">
                  <c:v>20</c:v>
                </c:pt>
                <c:pt idx="1979">
                  <c:v>71</c:v>
                </c:pt>
                <c:pt idx="1980">
                  <c:v>101</c:v>
                </c:pt>
                <c:pt idx="1981">
                  <c:v>185</c:v>
                </c:pt>
                <c:pt idx="1982">
                  <c:v>456</c:v>
                </c:pt>
                <c:pt idx="1983">
                  <c:v>106</c:v>
                </c:pt>
                <c:pt idx="1984">
                  <c:v>1800</c:v>
                </c:pt>
                <c:pt idx="1985">
                  <c:v>450</c:v>
                </c:pt>
                <c:pt idx="1986">
                  <c:v>450</c:v>
                </c:pt>
                <c:pt idx="1987">
                  <c:v>368</c:v>
                </c:pt>
                <c:pt idx="1988">
                  <c:v>175</c:v>
                </c:pt>
                <c:pt idx="1989">
                  <c:v>10</c:v>
                </c:pt>
                <c:pt idx="1990">
                  <c:v>128</c:v>
                </c:pt>
                <c:pt idx="1991">
                  <c:v>515</c:v>
                </c:pt>
                <c:pt idx="1992">
                  <c:v>167</c:v>
                </c:pt>
                <c:pt idx="1993">
                  <c:v>515</c:v>
                </c:pt>
                <c:pt idx="1994">
                  <c:v>90</c:v>
                </c:pt>
                <c:pt idx="1995">
                  <c:v>575</c:v>
                </c:pt>
                <c:pt idx="1996">
                  <c:v>575</c:v>
                </c:pt>
                <c:pt idx="1997">
                  <c:v>13</c:v>
                </c:pt>
                <c:pt idx="1998">
                  <c:v>13</c:v>
                </c:pt>
                <c:pt idx="1999">
                  <c:v>159</c:v>
                </c:pt>
                <c:pt idx="2000">
                  <c:v>308</c:v>
                </c:pt>
                <c:pt idx="2001">
                  <c:v>307</c:v>
                </c:pt>
                <c:pt idx="2002">
                  <c:v>307</c:v>
                </c:pt>
                <c:pt idx="2003">
                  <c:v>10</c:v>
                </c:pt>
                <c:pt idx="2004">
                  <c:v>1300</c:v>
                </c:pt>
                <c:pt idx="2005">
                  <c:v>1300</c:v>
                </c:pt>
                <c:pt idx="2006">
                  <c:v>1300</c:v>
                </c:pt>
                <c:pt idx="2007">
                  <c:v>90</c:v>
                </c:pt>
                <c:pt idx="2008">
                  <c:v>365</c:v>
                </c:pt>
                <c:pt idx="2009">
                  <c:v>307</c:v>
                </c:pt>
                <c:pt idx="2010">
                  <c:v>167</c:v>
                </c:pt>
                <c:pt idx="2011">
                  <c:v>26</c:v>
                </c:pt>
                <c:pt idx="2012">
                  <c:v>26</c:v>
                </c:pt>
                <c:pt idx="2013">
                  <c:v>535</c:v>
                </c:pt>
                <c:pt idx="2014">
                  <c:v>104</c:v>
                </c:pt>
                <c:pt idx="2015">
                  <c:v>292</c:v>
                </c:pt>
                <c:pt idx="2016">
                  <c:v>65</c:v>
                </c:pt>
                <c:pt idx="2017">
                  <c:v>1700</c:v>
                </c:pt>
                <c:pt idx="2018">
                  <c:v>1700</c:v>
                </c:pt>
                <c:pt idx="2019">
                  <c:v>889</c:v>
                </c:pt>
                <c:pt idx="2020">
                  <c:v>5500</c:v>
                </c:pt>
                <c:pt idx="2021">
                  <c:v>67</c:v>
                </c:pt>
                <c:pt idx="2022">
                  <c:v>900</c:v>
                </c:pt>
                <c:pt idx="2023">
                  <c:v>1400</c:v>
                </c:pt>
                <c:pt idx="2024">
                  <c:v>863</c:v>
                </c:pt>
                <c:pt idx="2025">
                  <c:v>1</c:v>
                </c:pt>
                <c:pt idx="2026">
                  <c:v>1300</c:v>
                </c:pt>
                <c:pt idx="2027">
                  <c:v>29</c:v>
                </c:pt>
                <c:pt idx="2028">
                  <c:v>900</c:v>
                </c:pt>
                <c:pt idx="2029">
                  <c:v>237</c:v>
                </c:pt>
                <c:pt idx="2030">
                  <c:v>19500</c:v>
                </c:pt>
                <c:pt idx="2031">
                  <c:v>19500</c:v>
                </c:pt>
                <c:pt idx="2032">
                  <c:v>2250</c:v>
                </c:pt>
                <c:pt idx="2033">
                  <c:v>2250</c:v>
                </c:pt>
                <c:pt idx="2034">
                  <c:v>22200</c:v>
                </c:pt>
                <c:pt idx="2035">
                  <c:v>19500</c:v>
                </c:pt>
                <c:pt idx="2036">
                  <c:v>215</c:v>
                </c:pt>
                <c:pt idx="2037">
                  <c:v>215</c:v>
                </c:pt>
                <c:pt idx="2038">
                  <c:v>24</c:v>
                </c:pt>
                <c:pt idx="2039">
                  <c:v>10</c:v>
                </c:pt>
                <c:pt idx="2040">
                  <c:v>68</c:v>
                </c:pt>
                <c:pt idx="2041">
                  <c:v>11</c:v>
                </c:pt>
                <c:pt idx="2042">
                  <c:v>11</c:v>
                </c:pt>
                <c:pt idx="2043">
                  <c:v>404</c:v>
                </c:pt>
                <c:pt idx="2044">
                  <c:v>404</c:v>
                </c:pt>
                <c:pt idx="2045">
                  <c:v>33</c:v>
                </c:pt>
                <c:pt idx="2046">
                  <c:v>260</c:v>
                </c:pt>
                <c:pt idx="2047">
                  <c:v>1600</c:v>
                </c:pt>
                <c:pt idx="2048">
                  <c:v>1600</c:v>
                </c:pt>
                <c:pt idx="2049">
                  <c:v>18</c:v>
                </c:pt>
                <c:pt idx="2050">
                  <c:v>58</c:v>
                </c:pt>
                <c:pt idx="2051">
                  <c:v>58</c:v>
                </c:pt>
                <c:pt idx="2052">
                  <c:v>62</c:v>
                </c:pt>
                <c:pt idx="2053">
                  <c:v>850</c:v>
                </c:pt>
                <c:pt idx="2054">
                  <c:v>24</c:v>
                </c:pt>
                <c:pt idx="2055">
                  <c:v>52</c:v>
                </c:pt>
                <c:pt idx="2056">
                  <c:v>28</c:v>
                </c:pt>
                <c:pt idx="2057">
                  <c:v>84</c:v>
                </c:pt>
                <c:pt idx="2058">
                  <c:v>415</c:v>
                </c:pt>
                <c:pt idx="2059">
                  <c:v>230</c:v>
                </c:pt>
                <c:pt idx="2060">
                  <c:v>375</c:v>
                </c:pt>
                <c:pt idx="2061">
                  <c:v>76</c:v>
                </c:pt>
                <c:pt idx="2062">
                  <c:v>67</c:v>
                </c:pt>
                <c:pt idx="2063">
                  <c:v>752</c:v>
                </c:pt>
                <c:pt idx="2064">
                  <c:v>4</c:v>
                </c:pt>
                <c:pt idx="2065">
                  <c:v>58</c:v>
                </c:pt>
                <c:pt idx="2066">
                  <c:v>11</c:v>
                </c:pt>
                <c:pt idx="2067">
                  <c:v>29</c:v>
                </c:pt>
                <c:pt idx="2068">
                  <c:v>534</c:v>
                </c:pt>
                <c:pt idx="2069">
                  <c:v>94</c:v>
                </c:pt>
                <c:pt idx="2070">
                  <c:v>5</c:v>
                </c:pt>
                <c:pt idx="2071">
                  <c:v>917</c:v>
                </c:pt>
                <c:pt idx="2072">
                  <c:v>7400</c:v>
                </c:pt>
                <c:pt idx="2073">
                  <c:v>100</c:v>
                </c:pt>
                <c:pt idx="2074">
                  <c:v>6</c:v>
                </c:pt>
                <c:pt idx="2075">
                  <c:v>6</c:v>
                </c:pt>
                <c:pt idx="2076">
                  <c:v>69</c:v>
                </c:pt>
                <c:pt idx="2077">
                  <c:v>102</c:v>
                </c:pt>
                <c:pt idx="2078">
                  <c:v>56</c:v>
                </c:pt>
                <c:pt idx="2079">
                  <c:v>56</c:v>
                </c:pt>
                <c:pt idx="2080">
                  <c:v>117</c:v>
                </c:pt>
                <c:pt idx="2081">
                  <c:v>23</c:v>
                </c:pt>
                <c:pt idx="2082">
                  <c:v>3</c:v>
                </c:pt>
                <c:pt idx="2083">
                  <c:v>16</c:v>
                </c:pt>
                <c:pt idx="2084">
                  <c:v>436</c:v>
                </c:pt>
                <c:pt idx="2085">
                  <c:v>2</c:v>
                </c:pt>
                <c:pt idx="2086">
                  <c:v>29</c:v>
                </c:pt>
                <c:pt idx="2087">
                  <c:v>467</c:v>
                </c:pt>
                <c:pt idx="2088">
                  <c:v>300</c:v>
                </c:pt>
                <c:pt idx="2089">
                  <c:v>62</c:v>
                </c:pt>
                <c:pt idx="2090">
                  <c:v>62</c:v>
                </c:pt>
                <c:pt idx="2091">
                  <c:v>202</c:v>
                </c:pt>
                <c:pt idx="2092">
                  <c:v>60</c:v>
                </c:pt>
                <c:pt idx="2093">
                  <c:v>277</c:v>
                </c:pt>
                <c:pt idx="2094">
                  <c:v>51</c:v>
                </c:pt>
                <c:pt idx="2095">
                  <c:v>85</c:v>
                </c:pt>
                <c:pt idx="2096">
                  <c:v>85</c:v>
                </c:pt>
                <c:pt idx="2097">
                  <c:v>583</c:v>
                </c:pt>
                <c:pt idx="2098">
                  <c:v>20</c:v>
                </c:pt>
                <c:pt idx="2099">
                  <c:v>20</c:v>
                </c:pt>
                <c:pt idx="2100">
                  <c:v>107</c:v>
                </c:pt>
                <c:pt idx="2101">
                  <c:v>25</c:v>
                </c:pt>
                <c:pt idx="2102">
                  <c:v>91</c:v>
                </c:pt>
                <c:pt idx="2103">
                  <c:v>25</c:v>
                </c:pt>
                <c:pt idx="2104">
                  <c:v>130</c:v>
                </c:pt>
                <c:pt idx="2105">
                  <c:v>217</c:v>
                </c:pt>
                <c:pt idx="2106">
                  <c:v>151</c:v>
                </c:pt>
                <c:pt idx="2107">
                  <c:v>79</c:v>
                </c:pt>
                <c:pt idx="2108">
                  <c:v>79</c:v>
                </c:pt>
                <c:pt idx="2109">
                  <c:v>892</c:v>
                </c:pt>
                <c:pt idx="2110">
                  <c:v>389</c:v>
                </c:pt>
                <c:pt idx="2111">
                  <c:v>307</c:v>
                </c:pt>
                <c:pt idx="2112">
                  <c:v>307</c:v>
                </c:pt>
                <c:pt idx="2113">
                  <c:v>97</c:v>
                </c:pt>
                <c:pt idx="2114">
                  <c:v>97</c:v>
                </c:pt>
                <c:pt idx="2115">
                  <c:v>120</c:v>
                </c:pt>
                <c:pt idx="2116">
                  <c:v>107</c:v>
                </c:pt>
                <c:pt idx="2117">
                  <c:v>219</c:v>
                </c:pt>
                <c:pt idx="2118">
                  <c:v>2100</c:v>
                </c:pt>
                <c:pt idx="2119">
                  <c:v>140</c:v>
                </c:pt>
                <c:pt idx="2120">
                  <c:v>914</c:v>
                </c:pt>
                <c:pt idx="2121">
                  <c:v>914</c:v>
                </c:pt>
                <c:pt idx="2122">
                  <c:v>914</c:v>
                </c:pt>
                <c:pt idx="2123">
                  <c:v>276</c:v>
                </c:pt>
                <c:pt idx="2124">
                  <c:v>105</c:v>
                </c:pt>
                <c:pt idx="2125">
                  <c:v>25</c:v>
                </c:pt>
                <c:pt idx="2126">
                  <c:v>955</c:v>
                </c:pt>
                <c:pt idx="2127">
                  <c:v>955</c:v>
                </c:pt>
                <c:pt idx="2128">
                  <c:v>148</c:v>
                </c:pt>
                <c:pt idx="2129">
                  <c:v>194</c:v>
                </c:pt>
                <c:pt idx="2130">
                  <c:v>71</c:v>
                </c:pt>
                <c:pt idx="2131">
                  <c:v>423</c:v>
                </c:pt>
                <c:pt idx="2132">
                  <c:v>178</c:v>
                </c:pt>
                <c:pt idx="2133">
                  <c:v>647</c:v>
                </c:pt>
                <c:pt idx="2134">
                  <c:v>164</c:v>
                </c:pt>
                <c:pt idx="2135">
                  <c:v>619</c:v>
                </c:pt>
                <c:pt idx="2136">
                  <c:v>974</c:v>
                </c:pt>
                <c:pt idx="2137">
                  <c:v>974</c:v>
                </c:pt>
                <c:pt idx="2138">
                  <c:v>974</c:v>
                </c:pt>
                <c:pt idx="2139">
                  <c:v>574</c:v>
                </c:pt>
              </c:numCache>
            </c:numRef>
          </c:xVal>
          <c:yVal>
            <c:numRef>
              <c:f>'Funding vs Layoffs'!$C$2:$C$2141</c:f>
              <c:numCache>
                <c:formatCode>General</c:formatCode>
                <c:ptCount val="2140"/>
                <c:pt idx="1">
                  <c:v>9</c:v>
                </c:pt>
                <c:pt idx="2">
                  <c:v>19</c:v>
                </c:pt>
                <c:pt idx="3">
                  <c:v>12</c:v>
                </c:pt>
                <c:pt idx="5">
                  <c:v>100</c:v>
                </c:pt>
                <c:pt idx="6">
                  <c:v>70</c:v>
                </c:pt>
                <c:pt idx="7">
                  <c:v>90</c:v>
                </c:pt>
                <c:pt idx="8">
                  <c:v>100</c:v>
                </c:pt>
                <c:pt idx="10">
                  <c:v>95</c:v>
                </c:pt>
                <c:pt idx="12">
                  <c:v>150</c:v>
                </c:pt>
                <c:pt idx="14">
                  <c:v>155</c:v>
                </c:pt>
                <c:pt idx="15">
                  <c:v>200</c:v>
                </c:pt>
                <c:pt idx="17">
                  <c:v>75</c:v>
                </c:pt>
                <c:pt idx="18">
                  <c:v>12</c:v>
                </c:pt>
                <c:pt idx="19">
                  <c:v>40</c:v>
                </c:pt>
                <c:pt idx="20">
                  <c:v>70</c:v>
                </c:pt>
                <c:pt idx="22">
                  <c:v>45</c:v>
                </c:pt>
                <c:pt idx="23">
                  <c:v>50</c:v>
                </c:pt>
                <c:pt idx="24">
                  <c:v>54</c:v>
                </c:pt>
                <c:pt idx="27">
                  <c:v>78</c:v>
                </c:pt>
                <c:pt idx="28">
                  <c:v>50</c:v>
                </c:pt>
                <c:pt idx="29">
                  <c:v>36</c:v>
                </c:pt>
                <c:pt idx="30">
                  <c:v>100</c:v>
                </c:pt>
                <c:pt idx="32">
                  <c:v>20</c:v>
                </c:pt>
                <c:pt idx="34">
                  <c:v>100</c:v>
                </c:pt>
                <c:pt idx="35">
                  <c:v>210</c:v>
                </c:pt>
                <c:pt idx="36">
                  <c:v>40</c:v>
                </c:pt>
                <c:pt idx="38">
                  <c:v>500</c:v>
                </c:pt>
                <c:pt idx="39">
                  <c:v>44</c:v>
                </c:pt>
                <c:pt idx="41">
                  <c:v>30</c:v>
                </c:pt>
                <c:pt idx="42">
                  <c:v>1900</c:v>
                </c:pt>
                <c:pt idx="46">
                  <c:v>254</c:v>
                </c:pt>
                <c:pt idx="47">
                  <c:v>15</c:v>
                </c:pt>
                <c:pt idx="49">
                  <c:v>30</c:v>
                </c:pt>
                <c:pt idx="51">
                  <c:v>67</c:v>
                </c:pt>
                <c:pt idx="53">
                  <c:v>100</c:v>
                </c:pt>
                <c:pt idx="54">
                  <c:v>80</c:v>
                </c:pt>
                <c:pt idx="55">
                  <c:v>20</c:v>
                </c:pt>
                <c:pt idx="58">
                  <c:v>400</c:v>
                </c:pt>
                <c:pt idx="59">
                  <c:v>63</c:v>
                </c:pt>
                <c:pt idx="60">
                  <c:v>113</c:v>
                </c:pt>
                <c:pt idx="61">
                  <c:v>400</c:v>
                </c:pt>
                <c:pt idx="62">
                  <c:v>23</c:v>
                </c:pt>
                <c:pt idx="66">
                  <c:v>47</c:v>
                </c:pt>
                <c:pt idx="67">
                  <c:v>150</c:v>
                </c:pt>
                <c:pt idx="68">
                  <c:v>8000</c:v>
                </c:pt>
                <c:pt idx="69">
                  <c:v>10000</c:v>
                </c:pt>
                <c:pt idx="71">
                  <c:v>50</c:v>
                </c:pt>
                <c:pt idx="74">
                  <c:v>130</c:v>
                </c:pt>
                <c:pt idx="75">
                  <c:v>13</c:v>
                </c:pt>
                <c:pt idx="76">
                  <c:v>17</c:v>
                </c:pt>
                <c:pt idx="77">
                  <c:v>17</c:v>
                </c:pt>
                <c:pt idx="78">
                  <c:v>135</c:v>
                </c:pt>
                <c:pt idx="79">
                  <c:v>20</c:v>
                </c:pt>
                <c:pt idx="80">
                  <c:v>35</c:v>
                </c:pt>
                <c:pt idx="81">
                  <c:v>23</c:v>
                </c:pt>
                <c:pt idx="83">
                  <c:v>11</c:v>
                </c:pt>
                <c:pt idx="84">
                  <c:v>29</c:v>
                </c:pt>
                <c:pt idx="88">
                  <c:v>80</c:v>
                </c:pt>
                <c:pt idx="89">
                  <c:v>300</c:v>
                </c:pt>
                <c:pt idx="90">
                  <c:v>90</c:v>
                </c:pt>
                <c:pt idx="91">
                  <c:v>80</c:v>
                </c:pt>
                <c:pt idx="92">
                  <c:v>65</c:v>
                </c:pt>
                <c:pt idx="93">
                  <c:v>24</c:v>
                </c:pt>
                <c:pt idx="94">
                  <c:v>13</c:v>
                </c:pt>
                <c:pt idx="97">
                  <c:v>100</c:v>
                </c:pt>
                <c:pt idx="98">
                  <c:v>150</c:v>
                </c:pt>
                <c:pt idx="99">
                  <c:v>173</c:v>
                </c:pt>
                <c:pt idx="100">
                  <c:v>259</c:v>
                </c:pt>
                <c:pt idx="101">
                  <c:v>20</c:v>
                </c:pt>
                <c:pt idx="102">
                  <c:v>25</c:v>
                </c:pt>
                <c:pt idx="105">
                  <c:v>800</c:v>
                </c:pt>
                <c:pt idx="106">
                  <c:v>75</c:v>
                </c:pt>
                <c:pt idx="107">
                  <c:v>38</c:v>
                </c:pt>
                <c:pt idx="108">
                  <c:v>180</c:v>
                </c:pt>
                <c:pt idx="110">
                  <c:v>23</c:v>
                </c:pt>
                <c:pt idx="113">
                  <c:v>40</c:v>
                </c:pt>
                <c:pt idx="114">
                  <c:v>76</c:v>
                </c:pt>
                <c:pt idx="115">
                  <c:v>15</c:v>
                </c:pt>
                <c:pt idx="116">
                  <c:v>500</c:v>
                </c:pt>
                <c:pt idx="117">
                  <c:v>32</c:v>
                </c:pt>
                <c:pt idx="119">
                  <c:v>6</c:v>
                </c:pt>
                <c:pt idx="121">
                  <c:v>19</c:v>
                </c:pt>
                <c:pt idx="122">
                  <c:v>20</c:v>
                </c:pt>
                <c:pt idx="123">
                  <c:v>70</c:v>
                </c:pt>
                <c:pt idx="129">
                  <c:v>260</c:v>
                </c:pt>
                <c:pt idx="133">
                  <c:v>80</c:v>
                </c:pt>
                <c:pt idx="134">
                  <c:v>144</c:v>
                </c:pt>
                <c:pt idx="135">
                  <c:v>500</c:v>
                </c:pt>
                <c:pt idx="137">
                  <c:v>60</c:v>
                </c:pt>
                <c:pt idx="139">
                  <c:v>5</c:v>
                </c:pt>
                <c:pt idx="140">
                  <c:v>250</c:v>
                </c:pt>
                <c:pt idx="141">
                  <c:v>100</c:v>
                </c:pt>
                <c:pt idx="142">
                  <c:v>93</c:v>
                </c:pt>
                <c:pt idx="145">
                  <c:v>30</c:v>
                </c:pt>
                <c:pt idx="146">
                  <c:v>35</c:v>
                </c:pt>
                <c:pt idx="147">
                  <c:v>70</c:v>
                </c:pt>
                <c:pt idx="149">
                  <c:v>16</c:v>
                </c:pt>
                <c:pt idx="150">
                  <c:v>31</c:v>
                </c:pt>
                <c:pt idx="153">
                  <c:v>30</c:v>
                </c:pt>
                <c:pt idx="154">
                  <c:v>47</c:v>
                </c:pt>
                <c:pt idx="155">
                  <c:v>137</c:v>
                </c:pt>
                <c:pt idx="158">
                  <c:v>100</c:v>
                </c:pt>
                <c:pt idx="159">
                  <c:v>41</c:v>
                </c:pt>
                <c:pt idx="162">
                  <c:v>900</c:v>
                </c:pt>
                <c:pt idx="163">
                  <c:v>3000</c:v>
                </c:pt>
                <c:pt idx="166">
                  <c:v>30</c:v>
                </c:pt>
                <c:pt idx="167">
                  <c:v>28</c:v>
                </c:pt>
                <c:pt idx="168">
                  <c:v>30</c:v>
                </c:pt>
                <c:pt idx="169">
                  <c:v>40</c:v>
                </c:pt>
                <c:pt idx="170">
                  <c:v>200</c:v>
                </c:pt>
                <c:pt idx="171">
                  <c:v>65</c:v>
                </c:pt>
                <c:pt idx="172">
                  <c:v>40</c:v>
                </c:pt>
                <c:pt idx="173">
                  <c:v>250</c:v>
                </c:pt>
                <c:pt idx="175">
                  <c:v>180</c:v>
                </c:pt>
                <c:pt idx="178">
                  <c:v>120</c:v>
                </c:pt>
                <c:pt idx="179">
                  <c:v>138</c:v>
                </c:pt>
                <c:pt idx="180">
                  <c:v>406</c:v>
                </c:pt>
                <c:pt idx="183">
                  <c:v>9</c:v>
                </c:pt>
                <c:pt idx="184">
                  <c:v>270</c:v>
                </c:pt>
                <c:pt idx="186">
                  <c:v>40</c:v>
                </c:pt>
                <c:pt idx="187">
                  <c:v>80</c:v>
                </c:pt>
                <c:pt idx="188">
                  <c:v>100</c:v>
                </c:pt>
                <c:pt idx="189">
                  <c:v>70</c:v>
                </c:pt>
                <c:pt idx="190">
                  <c:v>140</c:v>
                </c:pt>
                <c:pt idx="192">
                  <c:v>100</c:v>
                </c:pt>
                <c:pt idx="193">
                  <c:v>120</c:v>
                </c:pt>
                <c:pt idx="194">
                  <c:v>200</c:v>
                </c:pt>
                <c:pt idx="195">
                  <c:v>95</c:v>
                </c:pt>
                <c:pt idx="196">
                  <c:v>20</c:v>
                </c:pt>
                <c:pt idx="197">
                  <c:v>100</c:v>
                </c:pt>
                <c:pt idx="198">
                  <c:v>200</c:v>
                </c:pt>
                <c:pt idx="199">
                  <c:v>220</c:v>
                </c:pt>
                <c:pt idx="200">
                  <c:v>340</c:v>
                </c:pt>
                <c:pt idx="201">
                  <c:v>110</c:v>
                </c:pt>
                <c:pt idx="202">
                  <c:v>150</c:v>
                </c:pt>
                <c:pt idx="204">
                  <c:v>250</c:v>
                </c:pt>
                <c:pt idx="206">
                  <c:v>130</c:v>
                </c:pt>
                <c:pt idx="207">
                  <c:v>60</c:v>
                </c:pt>
                <c:pt idx="208">
                  <c:v>137</c:v>
                </c:pt>
                <c:pt idx="209">
                  <c:v>50</c:v>
                </c:pt>
                <c:pt idx="210">
                  <c:v>240</c:v>
                </c:pt>
                <c:pt idx="212">
                  <c:v>29</c:v>
                </c:pt>
                <c:pt idx="213">
                  <c:v>30</c:v>
                </c:pt>
                <c:pt idx="214">
                  <c:v>12</c:v>
                </c:pt>
                <c:pt idx="215">
                  <c:v>270</c:v>
                </c:pt>
                <c:pt idx="216">
                  <c:v>200</c:v>
                </c:pt>
                <c:pt idx="218">
                  <c:v>30</c:v>
                </c:pt>
                <c:pt idx="220">
                  <c:v>70</c:v>
                </c:pt>
                <c:pt idx="221">
                  <c:v>15</c:v>
                </c:pt>
                <c:pt idx="223">
                  <c:v>61</c:v>
                </c:pt>
                <c:pt idx="224">
                  <c:v>40</c:v>
                </c:pt>
                <c:pt idx="225">
                  <c:v>120</c:v>
                </c:pt>
                <c:pt idx="226">
                  <c:v>130</c:v>
                </c:pt>
                <c:pt idx="227">
                  <c:v>200</c:v>
                </c:pt>
                <c:pt idx="228">
                  <c:v>77</c:v>
                </c:pt>
                <c:pt idx="230">
                  <c:v>25</c:v>
                </c:pt>
                <c:pt idx="231">
                  <c:v>3</c:v>
                </c:pt>
                <c:pt idx="232">
                  <c:v>100</c:v>
                </c:pt>
                <c:pt idx="233">
                  <c:v>40</c:v>
                </c:pt>
                <c:pt idx="234">
                  <c:v>50</c:v>
                </c:pt>
                <c:pt idx="235">
                  <c:v>120</c:v>
                </c:pt>
                <c:pt idx="236">
                  <c:v>62</c:v>
                </c:pt>
                <c:pt idx="237">
                  <c:v>136</c:v>
                </c:pt>
                <c:pt idx="238">
                  <c:v>154</c:v>
                </c:pt>
                <c:pt idx="239">
                  <c:v>13</c:v>
                </c:pt>
                <c:pt idx="240">
                  <c:v>30</c:v>
                </c:pt>
                <c:pt idx="241">
                  <c:v>100</c:v>
                </c:pt>
                <c:pt idx="242">
                  <c:v>30</c:v>
                </c:pt>
                <c:pt idx="243">
                  <c:v>58</c:v>
                </c:pt>
                <c:pt idx="245">
                  <c:v>10</c:v>
                </c:pt>
                <c:pt idx="246">
                  <c:v>206</c:v>
                </c:pt>
                <c:pt idx="247">
                  <c:v>26</c:v>
                </c:pt>
                <c:pt idx="249">
                  <c:v>100</c:v>
                </c:pt>
                <c:pt idx="250">
                  <c:v>80</c:v>
                </c:pt>
                <c:pt idx="251">
                  <c:v>39</c:v>
                </c:pt>
                <c:pt idx="252">
                  <c:v>28</c:v>
                </c:pt>
                <c:pt idx="253">
                  <c:v>50</c:v>
                </c:pt>
                <c:pt idx="254">
                  <c:v>100</c:v>
                </c:pt>
                <c:pt idx="255">
                  <c:v>30</c:v>
                </c:pt>
                <c:pt idx="256">
                  <c:v>70</c:v>
                </c:pt>
                <c:pt idx="257">
                  <c:v>23</c:v>
                </c:pt>
                <c:pt idx="258">
                  <c:v>160</c:v>
                </c:pt>
                <c:pt idx="260">
                  <c:v>19</c:v>
                </c:pt>
                <c:pt idx="261">
                  <c:v>24</c:v>
                </c:pt>
                <c:pt idx="262">
                  <c:v>1000</c:v>
                </c:pt>
                <c:pt idx="265">
                  <c:v>48</c:v>
                </c:pt>
                <c:pt idx="267">
                  <c:v>87</c:v>
                </c:pt>
                <c:pt idx="269">
                  <c:v>180</c:v>
                </c:pt>
                <c:pt idx="270">
                  <c:v>1500</c:v>
                </c:pt>
                <c:pt idx="271">
                  <c:v>2500</c:v>
                </c:pt>
                <c:pt idx="272">
                  <c:v>1800</c:v>
                </c:pt>
                <c:pt idx="274">
                  <c:v>150</c:v>
                </c:pt>
                <c:pt idx="275">
                  <c:v>1800</c:v>
                </c:pt>
                <c:pt idx="277">
                  <c:v>20</c:v>
                </c:pt>
                <c:pt idx="280">
                  <c:v>28</c:v>
                </c:pt>
                <c:pt idx="281">
                  <c:v>156</c:v>
                </c:pt>
                <c:pt idx="282">
                  <c:v>20</c:v>
                </c:pt>
                <c:pt idx="283">
                  <c:v>90</c:v>
                </c:pt>
                <c:pt idx="284">
                  <c:v>80</c:v>
                </c:pt>
                <c:pt idx="285">
                  <c:v>87</c:v>
                </c:pt>
                <c:pt idx="288">
                  <c:v>33</c:v>
                </c:pt>
                <c:pt idx="289">
                  <c:v>58</c:v>
                </c:pt>
                <c:pt idx="293">
                  <c:v>37</c:v>
                </c:pt>
                <c:pt idx="295">
                  <c:v>120</c:v>
                </c:pt>
                <c:pt idx="296">
                  <c:v>31</c:v>
                </c:pt>
                <c:pt idx="298">
                  <c:v>200</c:v>
                </c:pt>
                <c:pt idx="299">
                  <c:v>250</c:v>
                </c:pt>
                <c:pt idx="301">
                  <c:v>200</c:v>
                </c:pt>
                <c:pt idx="302">
                  <c:v>51</c:v>
                </c:pt>
                <c:pt idx="303">
                  <c:v>81</c:v>
                </c:pt>
                <c:pt idx="304">
                  <c:v>536</c:v>
                </c:pt>
                <c:pt idx="305">
                  <c:v>22</c:v>
                </c:pt>
                <c:pt idx="306">
                  <c:v>60</c:v>
                </c:pt>
                <c:pt idx="309">
                  <c:v>130</c:v>
                </c:pt>
                <c:pt idx="311">
                  <c:v>110</c:v>
                </c:pt>
                <c:pt idx="312">
                  <c:v>600</c:v>
                </c:pt>
                <c:pt idx="315">
                  <c:v>161</c:v>
                </c:pt>
                <c:pt idx="317">
                  <c:v>2500</c:v>
                </c:pt>
                <c:pt idx="319">
                  <c:v>1500</c:v>
                </c:pt>
                <c:pt idx="320">
                  <c:v>70</c:v>
                </c:pt>
                <c:pt idx="322">
                  <c:v>100</c:v>
                </c:pt>
                <c:pt idx="324">
                  <c:v>78</c:v>
                </c:pt>
                <c:pt idx="326">
                  <c:v>30</c:v>
                </c:pt>
                <c:pt idx="328">
                  <c:v>100</c:v>
                </c:pt>
                <c:pt idx="330">
                  <c:v>750</c:v>
                </c:pt>
                <c:pt idx="332">
                  <c:v>150</c:v>
                </c:pt>
                <c:pt idx="335">
                  <c:v>285</c:v>
                </c:pt>
                <c:pt idx="336">
                  <c:v>400</c:v>
                </c:pt>
                <c:pt idx="337">
                  <c:v>44</c:v>
                </c:pt>
                <c:pt idx="340">
                  <c:v>142</c:v>
                </c:pt>
                <c:pt idx="342">
                  <c:v>100</c:v>
                </c:pt>
                <c:pt idx="343">
                  <c:v>100</c:v>
                </c:pt>
                <c:pt idx="344">
                  <c:v>64</c:v>
                </c:pt>
                <c:pt idx="348">
                  <c:v>58</c:v>
                </c:pt>
                <c:pt idx="349">
                  <c:v>156</c:v>
                </c:pt>
                <c:pt idx="351">
                  <c:v>50</c:v>
                </c:pt>
                <c:pt idx="352">
                  <c:v>100</c:v>
                </c:pt>
                <c:pt idx="353">
                  <c:v>65</c:v>
                </c:pt>
                <c:pt idx="354">
                  <c:v>40</c:v>
                </c:pt>
                <c:pt idx="355">
                  <c:v>100</c:v>
                </c:pt>
                <c:pt idx="356">
                  <c:v>65</c:v>
                </c:pt>
                <c:pt idx="357">
                  <c:v>80</c:v>
                </c:pt>
                <c:pt idx="359">
                  <c:v>100</c:v>
                </c:pt>
                <c:pt idx="363">
                  <c:v>4100</c:v>
                </c:pt>
                <c:pt idx="364">
                  <c:v>33</c:v>
                </c:pt>
                <c:pt idx="365">
                  <c:v>22</c:v>
                </c:pt>
                <c:pt idx="367">
                  <c:v>191</c:v>
                </c:pt>
                <c:pt idx="369">
                  <c:v>20</c:v>
                </c:pt>
                <c:pt idx="370">
                  <c:v>45</c:v>
                </c:pt>
                <c:pt idx="371">
                  <c:v>15</c:v>
                </c:pt>
                <c:pt idx="373">
                  <c:v>154</c:v>
                </c:pt>
                <c:pt idx="374">
                  <c:v>190</c:v>
                </c:pt>
                <c:pt idx="375">
                  <c:v>17</c:v>
                </c:pt>
                <c:pt idx="378">
                  <c:v>125</c:v>
                </c:pt>
                <c:pt idx="379">
                  <c:v>50</c:v>
                </c:pt>
                <c:pt idx="380">
                  <c:v>60</c:v>
                </c:pt>
                <c:pt idx="383">
                  <c:v>60</c:v>
                </c:pt>
                <c:pt idx="384">
                  <c:v>60</c:v>
                </c:pt>
                <c:pt idx="385">
                  <c:v>40</c:v>
                </c:pt>
                <c:pt idx="388">
                  <c:v>40</c:v>
                </c:pt>
                <c:pt idx="391">
                  <c:v>31</c:v>
                </c:pt>
                <c:pt idx="393">
                  <c:v>76</c:v>
                </c:pt>
                <c:pt idx="394">
                  <c:v>150</c:v>
                </c:pt>
                <c:pt idx="396">
                  <c:v>22</c:v>
                </c:pt>
                <c:pt idx="397">
                  <c:v>12</c:v>
                </c:pt>
                <c:pt idx="400">
                  <c:v>25</c:v>
                </c:pt>
                <c:pt idx="402">
                  <c:v>8</c:v>
                </c:pt>
                <c:pt idx="404">
                  <c:v>7</c:v>
                </c:pt>
                <c:pt idx="405">
                  <c:v>24</c:v>
                </c:pt>
                <c:pt idx="407">
                  <c:v>60</c:v>
                </c:pt>
                <c:pt idx="408">
                  <c:v>950</c:v>
                </c:pt>
                <c:pt idx="409">
                  <c:v>1100</c:v>
                </c:pt>
                <c:pt idx="410">
                  <c:v>80</c:v>
                </c:pt>
                <c:pt idx="412">
                  <c:v>10</c:v>
                </c:pt>
                <c:pt idx="413">
                  <c:v>30</c:v>
                </c:pt>
                <c:pt idx="414">
                  <c:v>19</c:v>
                </c:pt>
                <c:pt idx="415">
                  <c:v>54</c:v>
                </c:pt>
                <c:pt idx="417">
                  <c:v>300</c:v>
                </c:pt>
                <c:pt idx="418">
                  <c:v>97</c:v>
                </c:pt>
                <c:pt idx="420">
                  <c:v>22</c:v>
                </c:pt>
                <c:pt idx="421">
                  <c:v>40</c:v>
                </c:pt>
                <c:pt idx="423">
                  <c:v>271</c:v>
                </c:pt>
                <c:pt idx="424">
                  <c:v>375</c:v>
                </c:pt>
                <c:pt idx="425">
                  <c:v>450</c:v>
                </c:pt>
                <c:pt idx="426">
                  <c:v>11</c:v>
                </c:pt>
                <c:pt idx="427">
                  <c:v>221</c:v>
                </c:pt>
                <c:pt idx="429">
                  <c:v>91</c:v>
                </c:pt>
                <c:pt idx="430">
                  <c:v>100</c:v>
                </c:pt>
                <c:pt idx="431">
                  <c:v>13</c:v>
                </c:pt>
                <c:pt idx="432">
                  <c:v>140</c:v>
                </c:pt>
                <c:pt idx="433">
                  <c:v>16</c:v>
                </c:pt>
                <c:pt idx="435">
                  <c:v>150</c:v>
                </c:pt>
                <c:pt idx="439">
                  <c:v>90</c:v>
                </c:pt>
                <c:pt idx="440">
                  <c:v>35</c:v>
                </c:pt>
                <c:pt idx="445">
                  <c:v>30</c:v>
                </c:pt>
                <c:pt idx="447">
                  <c:v>20</c:v>
                </c:pt>
                <c:pt idx="448">
                  <c:v>22</c:v>
                </c:pt>
                <c:pt idx="451">
                  <c:v>170</c:v>
                </c:pt>
                <c:pt idx="454">
                  <c:v>24</c:v>
                </c:pt>
                <c:pt idx="455">
                  <c:v>150</c:v>
                </c:pt>
                <c:pt idx="456">
                  <c:v>85</c:v>
                </c:pt>
                <c:pt idx="458">
                  <c:v>260</c:v>
                </c:pt>
                <c:pt idx="459">
                  <c:v>2000</c:v>
                </c:pt>
                <c:pt idx="460">
                  <c:v>62</c:v>
                </c:pt>
                <c:pt idx="461">
                  <c:v>30</c:v>
                </c:pt>
                <c:pt idx="462">
                  <c:v>170</c:v>
                </c:pt>
                <c:pt idx="463">
                  <c:v>388</c:v>
                </c:pt>
                <c:pt idx="464">
                  <c:v>36</c:v>
                </c:pt>
                <c:pt idx="465">
                  <c:v>95</c:v>
                </c:pt>
                <c:pt idx="466">
                  <c:v>109</c:v>
                </c:pt>
                <c:pt idx="467">
                  <c:v>120</c:v>
                </c:pt>
                <c:pt idx="468">
                  <c:v>800</c:v>
                </c:pt>
                <c:pt idx="469">
                  <c:v>150</c:v>
                </c:pt>
                <c:pt idx="470">
                  <c:v>65</c:v>
                </c:pt>
                <c:pt idx="472">
                  <c:v>400</c:v>
                </c:pt>
                <c:pt idx="474">
                  <c:v>100</c:v>
                </c:pt>
                <c:pt idx="475">
                  <c:v>200</c:v>
                </c:pt>
                <c:pt idx="476">
                  <c:v>30</c:v>
                </c:pt>
                <c:pt idx="478">
                  <c:v>121</c:v>
                </c:pt>
                <c:pt idx="480">
                  <c:v>34</c:v>
                </c:pt>
                <c:pt idx="483">
                  <c:v>60</c:v>
                </c:pt>
                <c:pt idx="485">
                  <c:v>40</c:v>
                </c:pt>
                <c:pt idx="488">
                  <c:v>134</c:v>
                </c:pt>
                <c:pt idx="489">
                  <c:v>6</c:v>
                </c:pt>
                <c:pt idx="490">
                  <c:v>30</c:v>
                </c:pt>
                <c:pt idx="493">
                  <c:v>70</c:v>
                </c:pt>
                <c:pt idx="494">
                  <c:v>200</c:v>
                </c:pt>
                <c:pt idx="495">
                  <c:v>15</c:v>
                </c:pt>
                <c:pt idx="499">
                  <c:v>100</c:v>
                </c:pt>
                <c:pt idx="506">
                  <c:v>669</c:v>
                </c:pt>
                <c:pt idx="507">
                  <c:v>350</c:v>
                </c:pt>
                <c:pt idx="508">
                  <c:v>367</c:v>
                </c:pt>
                <c:pt idx="509">
                  <c:v>120</c:v>
                </c:pt>
                <c:pt idx="510">
                  <c:v>100</c:v>
                </c:pt>
                <c:pt idx="511">
                  <c:v>156</c:v>
                </c:pt>
                <c:pt idx="512">
                  <c:v>300</c:v>
                </c:pt>
                <c:pt idx="513">
                  <c:v>27</c:v>
                </c:pt>
                <c:pt idx="514">
                  <c:v>60</c:v>
                </c:pt>
                <c:pt idx="515">
                  <c:v>12</c:v>
                </c:pt>
                <c:pt idx="520">
                  <c:v>5</c:v>
                </c:pt>
                <c:pt idx="522">
                  <c:v>200</c:v>
                </c:pt>
                <c:pt idx="523">
                  <c:v>75</c:v>
                </c:pt>
                <c:pt idx="525">
                  <c:v>57</c:v>
                </c:pt>
                <c:pt idx="529">
                  <c:v>40</c:v>
                </c:pt>
                <c:pt idx="532">
                  <c:v>190</c:v>
                </c:pt>
                <c:pt idx="533">
                  <c:v>8</c:v>
                </c:pt>
                <c:pt idx="534">
                  <c:v>671</c:v>
                </c:pt>
                <c:pt idx="535">
                  <c:v>680</c:v>
                </c:pt>
                <c:pt idx="536">
                  <c:v>250</c:v>
                </c:pt>
                <c:pt idx="537">
                  <c:v>310</c:v>
                </c:pt>
                <c:pt idx="538">
                  <c:v>515</c:v>
                </c:pt>
                <c:pt idx="539">
                  <c:v>150</c:v>
                </c:pt>
                <c:pt idx="543">
                  <c:v>90</c:v>
                </c:pt>
                <c:pt idx="544">
                  <c:v>12</c:v>
                </c:pt>
                <c:pt idx="545">
                  <c:v>1250</c:v>
                </c:pt>
                <c:pt idx="546">
                  <c:v>23</c:v>
                </c:pt>
                <c:pt idx="547">
                  <c:v>140</c:v>
                </c:pt>
                <c:pt idx="549">
                  <c:v>59</c:v>
                </c:pt>
                <c:pt idx="551">
                  <c:v>24</c:v>
                </c:pt>
                <c:pt idx="552">
                  <c:v>315</c:v>
                </c:pt>
                <c:pt idx="553">
                  <c:v>12</c:v>
                </c:pt>
                <c:pt idx="555">
                  <c:v>23</c:v>
                </c:pt>
                <c:pt idx="557">
                  <c:v>50</c:v>
                </c:pt>
                <c:pt idx="558">
                  <c:v>35</c:v>
                </c:pt>
                <c:pt idx="559">
                  <c:v>50</c:v>
                </c:pt>
                <c:pt idx="561">
                  <c:v>75</c:v>
                </c:pt>
                <c:pt idx="562">
                  <c:v>50</c:v>
                </c:pt>
                <c:pt idx="563">
                  <c:v>40</c:v>
                </c:pt>
                <c:pt idx="564">
                  <c:v>20</c:v>
                </c:pt>
                <c:pt idx="565">
                  <c:v>25</c:v>
                </c:pt>
                <c:pt idx="566">
                  <c:v>62</c:v>
                </c:pt>
                <c:pt idx="567">
                  <c:v>340</c:v>
                </c:pt>
                <c:pt idx="568">
                  <c:v>500</c:v>
                </c:pt>
                <c:pt idx="569">
                  <c:v>47</c:v>
                </c:pt>
                <c:pt idx="570">
                  <c:v>40</c:v>
                </c:pt>
                <c:pt idx="571">
                  <c:v>95</c:v>
                </c:pt>
                <c:pt idx="572">
                  <c:v>30</c:v>
                </c:pt>
                <c:pt idx="575">
                  <c:v>100</c:v>
                </c:pt>
                <c:pt idx="578">
                  <c:v>81</c:v>
                </c:pt>
                <c:pt idx="579">
                  <c:v>141</c:v>
                </c:pt>
                <c:pt idx="580">
                  <c:v>200</c:v>
                </c:pt>
                <c:pt idx="582">
                  <c:v>62</c:v>
                </c:pt>
                <c:pt idx="583">
                  <c:v>10</c:v>
                </c:pt>
                <c:pt idx="584">
                  <c:v>60</c:v>
                </c:pt>
                <c:pt idx="587">
                  <c:v>43</c:v>
                </c:pt>
                <c:pt idx="589">
                  <c:v>41</c:v>
                </c:pt>
                <c:pt idx="590">
                  <c:v>230</c:v>
                </c:pt>
                <c:pt idx="591">
                  <c:v>30</c:v>
                </c:pt>
                <c:pt idx="593">
                  <c:v>30</c:v>
                </c:pt>
                <c:pt idx="595">
                  <c:v>31</c:v>
                </c:pt>
                <c:pt idx="596">
                  <c:v>400</c:v>
                </c:pt>
                <c:pt idx="597">
                  <c:v>58</c:v>
                </c:pt>
                <c:pt idx="598">
                  <c:v>24</c:v>
                </c:pt>
                <c:pt idx="599">
                  <c:v>25</c:v>
                </c:pt>
                <c:pt idx="600">
                  <c:v>30</c:v>
                </c:pt>
                <c:pt idx="601">
                  <c:v>8500</c:v>
                </c:pt>
                <c:pt idx="602">
                  <c:v>30</c:v>
                </c:pt>
                <c:pt idx="603">
                  <c:v>40</c:v>
                </c:pt>
                <c:pt idx="607">
                  <c:v>18</c:v>
                </c:pt>
                <c:pt idx="608">
                  <c:v>40</c:v>
                </c:pt>
                <c:pt idx="609">
                  <c:v>50</c:v>
                </c:pt>
                <c:pt idx="610">
                  <c:v>100</c:v>
                </c:pt>
                <c:pt idx="611">
                  <c:v>50</c:v>
                </c:pt>
                <c:pt idx="612">
                  <c:v>80</c:v>
                </c:pt>
                <c:pt idx="613">
                  <c:v>500</c:v>
                </c:pt>
                <c:pt idx="614">
                  <c:v>200</c:v>
                </c:pt>
                <c:pt idx="615">
                  <c:v>30</c:v>
                </c:pt>
                <c:pt idx="616">
                  <c:v>227</c:v>
                </c:pt>
                <c:pt idx="617">
                  <c:v>129</c:v>
                </c:pt>
                <c:pt idx="618">
                  <c:v>40</c:v>
                </c:pt>
                <c:pt idx="619">
                  <c:v>59</c:v>
                </c:pt>
                <c:pt idx="620">
                  <c:v>142</c:v>
                </c:pt>
                <c:pt idx="621">
                  <c:v>7</c:v>
                </c:pt>
                <c:pt idx="622">
                  <c:v>24</c:v>
                </c:pt>
                <c:pt idx="625">
                  <c:v>400</c:v>
                </c:pt>
                <c:pt idx="626">
                  <c:v>80</c:v>
                </c:pt>
                <c:pt idx="627">
                  <c:v>120</c:v>
                </c:pt>
                <c:pt idx="628">
                  <c:v>260</c:v>
                </c:pt>
                <c:pt idx="629">
                  <c:v>84</c:v>
                </c:pt>
                <c:pt idx="632">
                  <c:v>90</c:v>
                </c:pt>
                <c:pt idx="633">
                  <c:v>250</c:v>
                </c:pt>
                <c:pt idx="635">
                  <c:v>315</c:v>
                </c:pt>
                <c:pt idx="636">
                  <c:v>170</c:v>
                </c:pt>
                <c:pt idx="640">
                  <c:v>100</c:v>
                </c:pt>
                <c:pt idx="643">
                  <c:v>16</c:v>
                </c:pt>
                <c:pt idx="644">
                  <c:v>14</c:v>
                </c:pt>
                <c:pt idx="646">
                  <c:v>30</c:v>
                </c:pt>
                <c:pt idx="651">
                  <c:v>30</c:v>
                </c:pt>
                <c:pt idx="653">
                  <c:v>30</c:v>
                </c:pt>
                <c:pt idx="654">
                  <c:v>60</c:v>
                </c:pt>
                <c:pt idx="656">
                  <c:v>100</c:v>
                </c:pt>
                <c:pt idx="657">
                  <c:v>640</c:v>
                </c:pt>
                <c:pt idx="658">
                  <c:v>24</c:v>
                </c:pt>
                <c:pt idx="660">
                  <c:v>37</c:v>
                </c:pt>
                <c:pt idx="664">
                  <c:v>200</c:v>
                </c:pt>
                <c:pt idx="665">
                  <c:v>300</c:v>
                </c:pt>
                <c:pt idx="667">
                  <c:v>4</c:v>
                </c:pt>
                <c:pt idx="668">
                  <c:v>784</c:v>
                </c:pt>
                <c:pt idx="669">
                  <c:v>60</c:v>
                </c:pt>
                <c:pt idx="671">
                  <c:v>20</c:v>
                </c:pt>
                <c:pt idx="672">
                  <c:v>21</c:v>
                </c:pt>
                <c:pt idx="673">
                  <c:v>80</c:v>
                </c:pt>
                <c:pt idx="675">
                  <c:v>60</c:v>
                </c:pt>
                <c:pt idx="676">
                  <c:v>87</c:v>
                </c:pt>
                <c:pt idx="677">
                  <c:v>100</c:v>
                </c:pt>
                <c:pt idx="679">
                  <c:v>15</c:v>
                </c:pt>
                <c:pt idx="680">
                  <c:v>60</c:v>
                </c:pt>
                <c:pt idx="682">
                  <c:v>10</c:v>
                </c:pt>
                <c:pt idx="683">
                  <c:v>60</c:v>
                </c:pt>
                <c:pt idx="684">
                  <c:v>26</c:v>
                </c:pt>
                <c:pt idx="685">
                  <c:v>150</c:v>
                </c:pt>
                <c:pt idx="686">
                  <c:v>45</c:v>
                </c:pt>
                <c:pt idx="688">
                  <c:v>38</c:v>
                </c:pt>
                <c:pt idx="689">
                  <c:v>40</c:v>
                </c:pt>
                <c:pt idx="691">
                  <c:v>329</c:v>
                </c:pt>
                <c:pt idx="692">
                  <c:v>90</c:v>
                </c:pt>
                <c:pt idx="694">
                  <c:v>35</c:v>
                </c:pt>
                <c:pt idx="695">
                  <c:v>130</c:v>
                </c:pt>
                <c:pt idx="696">
                  <c:v>145</c:v>
                </c:pt>
                <c:pt idx="701">
                  <c:v>14</c:v>
                </c:pt>
                <c:pt idx="702">
                  <c:v>150</c:v>
                </c:pt>
                <c:pt idx="703">
                  <c:v>85</c:v>
                </c:pt>
                <c:pt idx="704">
                  <c:v>65</c:v>
                </c:pt>
                <c:pt idx="706">
                  <c:v>180</c:v>
                </c:pt>
                <c:pt idx="708">
                  <c:v>17</c:v>
                </c:pt>
                <c:pt idx="709">
                  <c:v>30</c:v>
                </c:pt>
                <c:pt idx="711">
                  <c:v>100</c:v>
                </c:pt>
                <c:pt idx="713">
                  <c:v>100</c:v>
                </c:pt>
                <c:pt idx="714">
                  <c:v>68</c:v>
                </c:pt>
                <c:pt idx="716">
                  <c:v>23</c:v>
                </c:pt>
                <c:pt idx="718">
                  <c:v>100</c:v>
                </c:pt>
                <c:pt idx="721">
                  <c:v>100</c:v>
                </c:pt>
                <c:pt idx="722">
                  <c:v>11</c:v>
                </c:pt>
                <c:pt idx="723">
                  <c:v>30</c:v>
                </c:pt>
                <c:pt idx="724">
                  <c:v>90</c:v>
                </c:pt>
                <c:pt idx="726">
                  <c:v>130</c:v>
                </c:pt>
                <c:pt idx="727">
                  <c:v>21</c:v>
                </c:pt>
                <c:pt idx="729">
                  <c:v>300</c:v>
                </c:pt>
                <c:pt idx="730">
                  <c:v>198</c:v>
                </c:pt>
                <c:pt idx="731">
                  <c:v>18</c:v>
                </c:pt>
                <c:pt idx="732">
                  <c:v>80</c:v>
                </c:pt>
                <c:pt idx="733">
                  <c:v>19</c:v>
                </c:pt>
                <c:pt idx="734">
                  <c:v>150</c:v>
                </c:pt>
                <c:pt idx="735">
                  <c:v>250</c:v>
                </c:pt>
                <c:pt idx="737">
                  <c:v>22</c:v>
                </c:pt>
                <c:pt idx="738">
                  <c:v>55</c:v>
                </c:pt>
                <c:pt idx="741">
                  <c:v>530</c:v>
                </c:pt>
                <c:pt idx="742">
                  <c:v>800</c:v>
                </c:pt>
                <c:pt idx="743">
                  <c:v>430</c:v>
                </c:pt>
                <c:pt idx="744">
                  <c:v>20</c:v>
                </c:pt>
                <c:pt idx="745">
                  <c:v>54</c:v>
                </c:pt>
                <c:pt idx="747">
                  <c:v>80</c:v>
                </c:pt>
                <c:pt idx="748">
                  <c:v>70</c:v>
                </c:pt>
                <c:pt idx="750">
                  <c:v>140</c:v>
                </c:pt>
                <c:pt idx="751">
                  <c:v>12000</c:v>
                </c:pt>
                <c:pt idx="752">
                  <c:v>200</c:v>
                </c:pt>
                <c:pt idx="753">
                  <c:v>100</c:v>
                </c:pt>
                <c:pt idx="754">
                  <c:v>250</c:v>
                </c:pt>
                <c:pt idx="755">
                  <c:v>450</c:v>
                </c:pt>
                <c:pt idx="756">
                  <c:v>1500</c:v>
                </c:pt>
                <c:pt idx="757">
                  <c:v>300</c:v>
                </c:pt>
                <c:pt idx="758">
                  <c:v>540</c:v>
                </c:pt>
                <c:pt idx="759">
                  <c:v>23</c:v>
                </c:pt>
                <c:pt idx="760">
                  <c:v>100</c:v>
                </c:pt>
                <c:pt idx="761">
                  <c:v>200</c:v>
                </c:pt>
                <c:pt idx="762">
                  <c:v>1300</c:v>
                </c:pt>
                <c:pt idx="763">
                  <c:v>360</c:v>
                </c:pt>
                <c:pt idx="765">
                  <c:v>75</c:v>
                </c:pt>
                <c:pt idx="767">
                  <c:v>20</c:v>
                </c:pt>
                <c:pt idx="769">
                  <c:v>120</c:v>
                </c:pt>
                <c:pt idx="770">
                  <c:v>104</c:v>
                </c:pt>
                <c:pt idx="771">
                  <c:v>60</c:v>
                </c:pt>
                <c:pt idx="772">
                  <c:v>50</c:v>
                </c:pt>
                <c:pt idx="773">
                  <c:v>500</c:v>
                </c:pt>
                <c:pt idx="774">
                  <c:v>500</c:v>
                </c:pt>
                <c:pt idx="775">
                  <c:v>2800</c:v>
                </c:pt>
                <c:pt idx="777">
                  <c:v>40</c:v>
                </c:pt>
                <c:pt idx="778">
                  <c:v>130</c:v>
                </c:pt>
                <c:pt idx="780">
                  <c:v>90</c:v>
                </c:pt>
                <c:pt idx="781">
                  <c:v>126</c:v>
                </c:pt>
                <c:pt idx="782">
                  <c:v>467</c:v>
                </c:pt>
                <c:pt idx="786">
                  <c:v>158</c:v>
                </c:pt>
                <c:pt idx="787">
                  <c:v>58</c:v>
                </c:pt>
                <c:pt idx="788">
                  <c:v>69</c:v>
                </c:pt>
                <c:pt idx="790">
                  <c:v>5</c:v>
                </c:pt>
                <c:pt idx="791">
                  <c:v>50</c:v>
                </c:pt>
                <c:pt idx="793">
                  <c:v>149</c:v>
                </c:pt>
                <c:pt idx="794">
                  <c:v>150</c:v>
                </c:pt>
                <c:pt idx="795">
                  <c:v>18</c:v>
                </c:pt>
                <c:pt idx="796">
                  <c:v>12</c:v>
                </c:pt>
                <c:pt idx="797">
                  <c:v>611</c:v>
                </c:pt>
                <c:pt idx="799">
                  <c:v>16</c:v>
                </c:pt>
                <c:pt idx="800">
                  <c:v>24</c:v>
                </c:pt>
                <c:pt idx="801">
                  <c:v>70</c:v>
                </c:pt>
                <c:pt idx="802">
                  <c:v>25</c:v>
                </c:pt>
                <c:pt idx="803">
                  <c:v>51</c:v>
                </c:pt>
                <c:pt idx="804">
                  <c:v>100</c:v>
                </c:pt>
                <c:pt idx="806">
                  <c:v>70</c:v>
                </c:pt>
                <c:pt idx="808">
                  <c:v>36</c:v>
                </c:pt>
                <c:pt idx="809">
                  <c:v>80</c:v>
                </c:pt>
                <c:pt idx="810">
                  <c:v>18</c:v>
                </c:pt>
                <c:pt idx="815">
                  <c:v>40</c:v>
                </c:pt>
                <c:pt idx="816">
                  <c:v>119</c:v>
                </c:pt>
                <c:pt idx="817">
                  <c:v>250</c:v>
                </c:pt>
                <c:pt idx="818">
                  <c:v>50</c:v>
                </c:pt>
                <c:pt idx="819">
                  <c:v>70</c:v>
                </c:pt>
                <c:pt idx="820">
                  <c:v>400</c:v>
                </c:pt>
                <c:pt idx="822">
                  <c:v>138</c:v>
                </c:pt>
                <c:pt idx="823">
                  <c:v>242</c:v>
                </c:pt>
                <c:pt idx="826">
                  <c:v>8</c:v>
                </c:pt>
                <c:pt idx="827">
                  <c:v>15</c:v>
                </c:pt>
                <c:pt idx="828">
                  <c:v>227</c:v>
                </c:pt>
                <c:pt idx="829">
                  <c:v>95</c:v>
                </c:pt>
                <c:pt idx="830">
                  <c:v>155</c:v>
                </c:pt>
                <c:pt idx="832">
                  <c:v>100</c:v>
                </c:pt>
                <c:pt idx="833">
                  <c:v>45</c:v>
                </c:pt>
                <c:pt idx="835">
                  <c:v>45</c:v>
                </c:pt>
                <c:pt idx="836">
                  <c:v>115</c:v>
                </c:pt>
                <c:pt idx="837">
                  <c:v>500</c:v>
                </c:pt>
                <c:pt idx="838">
                  <c:v>47</c:v>
                </c:pt>
                <c:pt idx="840">
                  <c:v>10</c:v>
                </c:pt>
                <c:pt idx="841">
                  <c:v>26</c:v>
                </c:pt>
                <c:pt idx="842">
                  <c:v>30</c:v>
                </c:pt>
                <c:pt idx="843">
                  <c:v>275</c:v>
                </c:pt>
                <c:pt idx="844">
                  <c:v>300</c:v>
                </c:pt>
                <c:pt idx="846">
                  <c:v>30</c:v>
                </c:pt>
                <c:pt idx="847">
                  <c:v>100</c:v>
                </c:pt>
                <c:pt idx="849">
                  <c:v>87</c:v>
                </c:pt>
                <c:pt idx="852">
                  <c:v>130</c:v>
                </c:pt>
                <c:pt idx="853">
                  <c:v>40</c:v>
                </c:pt>
                <c:pt idx="856">
                  <c:v>300</c:v>
                </c:pt>
                <c:pt idx="857">
                  <c:v>50</c:v>
                </c:pt>
                <c:pt idx="858">
                  <c:v>355</c:v>
                </c:pt>
                <c:pt idx="862">
                  <c:v>10</c:v>
                </c:pt>
                <c:pt idx="863">
                  <c:v>500</c:v>
                </c:pt>
                <c:pt idx="864">
                  <c:v>38</c:v>
                </c:pt>
                <c:pt idx="866">
                  <c:v>20</c:v>
                </c:pt>
                <c:pt idx="868">
                  <c:v>30</c:v>
                </c:pt>
                <c:pt idx="870">
                  <c:v>50</c:v>
                </c:pt>
                <c:pt idx="871">
                  <c:v>50</c:v>
                </c:pt>
                <c:pt idx="872">
                  <c:v>140</c:v>
                </c:pt>
                <c:pt idx="874">
                  <c:v>9</c:v>
                </c:pt>
                <c:pt idx="875">
                  <c:v>40</c:v>
                </c:pt>
                <c:pt idx="877">
                  <c:v>80</c:v>
                </c:pt>
                <c:pt idx="878">
                  <c:v>90</c:v>
                </c:pt>
                <c:pt idx="879">
                  <c:v>50</c:v>
                </c:pt>
                <c:pt idx="880">
                  <c:v>500</c:v>
                </c:pt>
                <c:pt idx="882">
                  <c:v>65</c:v>
                </c:pt>
                <c:pt idx="884">
                  <c:v>20</c:v>
                </c:pt>
                <c:pt idx="885">
                  <c:v>50</c:v>
                </c:pt>
                <c:pt idx="886">
                  <c:v>90</c:v>
                </c:pt>
                <c:pt idx="887">
                  <c:v>245</c:v>
                </c:pt>
                <c:pt idx="888">
                  <c:v>40</c:v>
                </c:pt>
                <c:pt idx="889">
                  <c:v>43</c:v>
                </c:pt>
                <c:pt idx="891">
                  <c:v>109</c:v>
                </c:pt>
                <c:pt idx="892">
                  <c:v>130</c:v>
                </c:pt>
                <c:pt idx="894">
                  <c:v>1877</c:v>
                </c:pt>
                <c:pt idx="895">
                  <c:v>6</c:v>
                </c:pt>
                <c:pt idx="896">
                  <c:v>150</c:v>
                </c:pt>
                <c:pt idx="897">
                  <c:v>70</c:v>
                </c:pt>
                <c:pt idx="898">
                  <c:v>120</c:v>
                </c:pt>
                <c:pt idx="899">
                  <c:v>26</c:v>
                </c:pt>
                <c:pt idx="900">
                  <c:v>201</c:v>
                </c:pt>
                <c:pt idx="901">
                  <c:v>343</c:v>
                </c:pt>
                <c:pt idx="902">
                  <c:v>39</c:v>
                </c:pt>
                <c:pt idx="903">
                  <c:v>49</c:v>
                </c:pt>
                <c:pt idx="904">
                  <c:v>124</c:v>
                </c:pt>
                <c:pt idx="905">
                  <c:v>57</c:v>
                </c:pt>
                <c:pt idx="906">
                  <c:v>715</c:v>
                </c:pt>
                <c:pt idx="909">
                  <c:v>22</c:v>
                </c:pt>
                <c:pt idx="910">
                  <c:v>1000</c:v>
                </c:pt>
                <c:pt idx="911">
                  <c:v>70</c:v>
                </c:pt>
                <c:pt idx="912">
                  <c:v>50</c:v>
                </c:pt>
                <c:pt idx="913">
                  <c:v>9</c:v>
                </c:pt>
                <c:pt idx="914">
                  <c:v>25</c:v>
                </c:pt>
                <c:pt idx="915">
                  <c:v>85</c:v>
                </c:pt>
                <c:pt idx="916">
                  <c:v>140</c:v>
                </c:pt>
                <c:pt idx="917">
                  <c:v>50</c:v>
                </c:pt>
                <c:pt idx="918">
                  <c:v>55</c:v>
                </c:pt>
                <c:pt idx="919">
                  <c:v>90</c:v>
                </c:pt>
                <c:pt idx="920">
                  <c:v>200</c:v>
                </c:pt>
                <c:pt idx="921">
                  <c:v>12</c:v>
                </c:pt>
                <c:pt idx="922">
                  <c:v>200</c:v>
                </c:pt>
                <c:pt idx="925">
                  <c:v>208</c:v>
                </c:pt>
                <c:pt idx="927">
                  <c:v>20</c:v>
                </c:pt>
                <c:pt idx="928">
                  <c:v>35</c:v>
                </c:pt>
                <c:pt idx="929">
                  <c:v>50</c:v>
                </c:pt>
                <c:pt idx="930">
                  <c:v>6</c:v>
                </c:pt>
                <c:pt idx="931">
                  <c:v>39</c:v>
                </c:pt>
                <c:pt idx="932">
                  <c:v>50</c:v>
                </c:pt>
                <c:pt idx="934">
                  <c:v>900</c:v>
                </c:pt>
                <c:pt idx="935">
                  <c:v>100</c:v>
                </c:pt>
                <c:pt idx="936">
                  <c:v>500</c:v>
                </c:pt>
                <c:pt idx="937">
                  <c:v>100</c:v>
                </c:pt>
                <c:pt idx="938">
                  <c:v>72</c:v>
                </c:pt>
                <c:pt idx="940">
                  <c:v>390</c:v>
                </c:pt>
                <c:pt idx="941">
                  <c:v>400</c:v>
                </c:pt>
                <c:pt idx="942">
                  <c:v>900</c:v>
                </c:pt>
                <c:pt idx="943">
                  <c:v>35</c:v>
                </c:pt>
                <c:pt idx="945">
                  <c:v>75</c:v>
                </c:pt>
                <c:pt idx="949">
                  <c:v>47</c:v>
                </c:pt>
                <c:pt idx="951">
                  <c:v>240</c:v>
                </c:pt>
                <c:pt idx="952">
                  <c:v>400</c:v>
                </c:pt>
                <c:pt idx="953">
                  <c:v>2434</c:v>
                </c:pt>
                <c:pt idx="955">
                  <c:v>150</c:v>
                </c:pt>
                <c:pt idx="956">
                  <c:v>160</c:v>
                </c:pt>
                <c:pt idx="959">
                  <c:v>349</c:v>
                </c:pt>
                <c:pt idx="960">
                  <c:v>18</c:v>
                </c:pt>
                <c:pt idx="961">
                  <c:v>120</c:v>
                </c:pt>
                <c:pt idx="962">
                  <c:v>39</c:v>
                </c:pt>
                <c:pt idx="963">
                  <c:v>25</c:v>
                </c:pt>
                <c:pt idx="964">
                  <c:v>8</c:v>
                </c:pt>
                <c:pt idx="966">
                  <c:v>93</c:v>
                </c:pt>
                <c:pt idx="967">
                  <c:v>124</c:v>
                </c:pt>
                <c:pt idx="968">
                  <c:v>70</c:v>
                </c:pt>
                <c:pt idx="969">
                  <c:v>100</c:v>
                </c:pt>
                <c:pt idx="970">
                  <c:v>40</c:v>
                </c:pt>
                <c:pt idx="971">
                  <c:v>100</c:v>
                </c:pt>
                <c:pt idx="972">
                  <c:v>700</c:v>
                </c:pt>
                <c:pt idx="973">
                  <c:v>300</c:v>
                </c:pt>
                <c:pt idx="974">
                  <c:v>115</c:v>
                </c:pt>
                <c:pt idx="975">
                  <c:v>20</c:v>
                </c:pt>
                <c:pt idx="976">
                  <c:v>127</c:v>
                </c:pt>
                <c:pt idx="977">
                  <c:v>15</c:v>
                </c:pt>
                <c:pt idx="979">
                  <c:v>15</c:v>
                </c:pt>
                <c:pt idx="980">
                  <c:v>70</c:v>
                </c:pt>
                <c:pt idx="981">
                  <c:v>23</c:v>
                </c:pt>
                <c:pt idx="982">
                  <c:v>78</c:v>
                </c:pt>
                <c:pt idx="983">
                  <c:v>180</c:v>
                </c:pt>
                <c:pt idx="984">
                  <c:v>12</c:v>
                </c:pt>
                <c:pt idx="985">
                  <c:v>50</c:v>
                </c:pt>
                <c:pt idx="986">
                  <c:v>40</c:v>
                </c:pt>
                <c:pt idx="987">
                  <c:v>1100</c:v>
                </c:pt>
                <c:pt idx="988">
                  <c:v>100</c:v>
                </c:pt>
                <c:pt idx="989">
                  <c:v>300</c:v>
                </c:pt>
                <c:pt idx="990">
                  <c:v>23</c:v>
                </c:pt>
                <c:pt idx="991">
                  <c:v>90</c:v>
                </c:pt>
                <c:pt idx="993">
                  <c:v>70</c:v>
                </c:pt>
                <c:pt idx="994">
                  <c:v>36</c:v>
                </c:pt>
                <c:pt idx="995">
                  <c:v>40</c:v>
                </c:pt>
                <c:pt idx="996">
                  <c:v>300</c:v>
                </c:pt>
                <c:pt idx="997">
                  <c:v>13</c:v>
                </c:pt>
                <c:pt idx="998">
                  <c:v>19</c:v>
                </c:pt>
                <c:pt idx="999">
                  <c:v>65</c:v>
                </c:pt>
                <c:pt idx="1001">
                  <c:v>110</c:v>
                </c:pt>
                <c:pt idx="1003">
                  <c:v>50</c:v>
                </c:pt>
                <c:pt idx="1004">
                  <c:v>30</c:v>
                </c:pt>
                <c:pt idx="1005">
                  <c:v>60</c:v>
                </c:pt>
                <c:pt idx="1006">
                  <c:v>115</c:v>
                </c:pt>
                <c:pt idx="1007">
                  <c:v>130</c:v>
                </c:pt>
                <c:pt idx="1009">
                  <c:v>13</c:v>
                </c:pt>
                <c:pt idx="1010">
                  <c:v>16</c:v>
                </c:pt>
                <c:pt idx="1011">
                  <c:v>30</c:v>
                </c:pt>
                <c:pt idx="1012">
                  <c:v>45</c:v>
                </c:pt>
                <c:pt idx="1014">
                  <c:v>60</c:v>
                </c:pt>
                <c:pt idx="1015">
                  <c:v>80</c:v>
                </c:pt>
                <c:pt idx="1016">
                  <c:v>80</c:v>
                </c:pt>
                <c:pt idx="1017">
                  <c:v>56</c:v>
                </c:pt>
                <c:pt idx="1018">
                  <c:v>91</c:v>
                </c:pt>
                <c:pt idx="1020">
                  <c:v>27</c:v>
                </c:pt>
                <c:pt idx="1022">
                  <c:v>23</c:v>
                </c:pt>
                <c:pt idx="1023">
                  <c:v>100</c:v>
                </c:pt>
                <c:pt idx="1024">
                  <c:v>52</c:v>
                </c:pt>
                <c:pt idx="1025">
                  <c:v>100</c:v>
                </c:pt>
                <c:pt idx="1026">
                  <c:v>225</c:v>
                </c:pt>
                <c:pt idx="1027">
                  <c:v>460</c:v>
                </c:pt>
                <c:pt idx="1028">
                  <c:v>500</c:v>
                </c:pt>
                <c:pt idx="1030">
                  <c:v>18</c:v>
                </c:pt>
                <c:pt idx="1033">
                  <c:v>30</c:v>
                </c:pt>
                <c:pt idx="1035">
                  <c:v>86</c:v>
                </c:pt>
                <c:pt idx="1036">
                  <c:v>150</c:v>
                </c:pt>
                <c:pt idx="1039">
                  <c:v>130</c:v>
                </c:pt>
                <c:pt idx="1040">
                  <c:v>18</c:v>
                </c:pt>
                <c:pt idx="1041">
                  <c:v>22</c:v>
                </c:pt>
                <c:pt idx="1042">
                  <c:v>20</c:v>
                </c:pt>
                <c:pt idx="1043">
                  <c:v>20</c:v>
                </c:pt>
                <c:pt idx="1044">
                  <c:v>80</c:v>
                </c:pt>
                <c:pt idx="1045">
                  <c:v>300</c:v>
                </c:pt>
                <c:pt idx="1046">
                  <c:v>80</c:v>
                </c:pt>
                <c:pt idx="1049">
                  <c:v>960</c:v>
                </c:pt>
                <c:pt idx="1050">
                  <c:v>35</c:v>
                </c:pt>
                <c:pt idx="1051">
                  <c:v>50</c:v>
                </c:pt>
                <c:pt idx="1053">
                  <c:v>27</c:v>
                </c:pt>
                <c:pt idx="1054">
                  <c:v>100</c:v>
                </c:pt>
                <c:pt idx="1055">
                  <c:v>30</c:v>
                </c:pt>
                <c:pt idx="1056">
                  <c:v>193</c:v>
                </c:pt>
                <c:pt idx="1058">
                  <c:v>50</c:v>
                </c:pt>
                <c:pt idx="1060">
                  <c:v>450</c:v>
                </c:pt>
                <c:pt idx="1062">
                  <c:v>47</c:v>
                </c:pt>
                <c:pt idx="1063">
                  <c:v>47</c:v>
                </c:pt>
                <c:pt idx="1064">
                  <c:v>159</c:v>
                </c:pt>
                <c:pt idx="1065">
                  <c:v>312</c:v>
                </c:pt>
                <c:pt idx="1066">
                  <c:v>340</c:v>
                </c:pt>
                <c:pt idx="1067">
                  <c:v>384</c:v>
                </c:pt>
                <c:pt idx="1068">
                  <c:v>32</c:v>
                </c:pt>
                <c:pt idx="1069">
                  <c:v>25</c:v>
                </c:pt>
                <c:pt idx="1070">
                  <c:v>300</c:v>
                </c:pt>
                <c:pt idx="1071">
                  <c:v>500</c:v>
                </c:pt>
                <c:pt idx="1072">
                  <c:v>76</c:v>
                </c:pt>
                <c:pt idx="1073">
                  <c:v>34</c:v>
                </c:pt>
                <c:pt idx="1074">
                  <c:v>23</c:v>
                </c:pt>
                <c:pt idx="1075">
                  <c:v>34</c:v>
                </c:pt>
                <c:pt idx="1076">
                  <c:v>15</c:v>
                </c:pt>
                <c:pt idx="1077">
                  <c:v>11</c:v>
                </c:pt>
                <c:pt idx="1078">
                  <c:v>8</c:v>
                </c:pt>
                <c:pt idx="1080">
                  <c:v>26</c:v>
                </c:pt>
                <c:pt idx="1082">
                  <c:v>150</c:v>
                </c:pt>
                <c:pt idx="1083">
                  <c:v>60</c:v>
                </c:pt>
                <c:pt idx="1084">
                  <c:v>330</c:v>
                </c:pt>
                <c:pt idx="1085">
                  <c:v>30</c:v>
                </c:pt>
                <c:pt idx="1086">
                  <c:v>44</c:v>
                </c:pt>
                <c:pt idx="1087">
                  <c:v>60</c:v>
                </c:pt>
                <c:pt idx="1088">
                  <c:v>700</c:v>
                </c:pt>
                <c:pt idx="1089">
                  <c:v>982</c:v>
                </c:pt>
                <c:pt idx="1090">
                  <c:v>100</c:v>
                </c:pt>
                <c:pt idx="1091">
                  <c:v>50</c:v>
                </c:pt>
                <c:pt idx="1093">
                  <c:v>38</c:v>
                </c:pt>
                <c:pt idx="1096">
                  <c:v>60</c:v>
                </c:pt>
                <c:pt idx="1097">
                  <c:v>22</c:v>
                </c:pt>
                <c:pt idx="1098">
                  <c:v>1000</c:v>
                </c:pt>
                <c:pt idx="1099">
                  <c:v>250</c:v>
                </c:pt>
                <c:pt idx="1101">
                  <c:v>45</c:v>
                </c:pt>
                <c:pt idx="1102">
                  <c:v>350</c:v>
                </c:pt>
                <c:pt idx="1103">
                  <c:v>350</c:v>
                </c:pt>
                <c:pt idx="1104">
                  <c:v>12</c:v>
                </c:pt>
                <c:pt idx="1105">
                  <c:v>125</c:v>
                </c:pt>
                <c:pt idx="1107">
                  <c:v>64</c:v>
                </c:pt>
                <c:pt idx="1111">
                  <c:v>54</c:v>
                </c:pt>
                <c:pt idx="1113">
                  <c:v>79</c:v>
                </c:pt>
                <c:pt idx="1114">
                  <c:v>120</c:v>
                </c:pt>
                <c:pt idx="1115">
                  <c:v>29</c:v>
                </c:pt>
                <c:pt idx="1116">
                  <c:v>90</c:v>
                </c:pt>
                <c:pt idx="1117">
                  <c:v>31</c:v>
                </c:pt>
                <c:pt idx="1119">
                  <c:v>90</c:v>
                </c:pt>
                <c:pt idx="1120">
                  <c:v>100</c:v>
                </c:pt>
                <c:pt idx="1121">
                  <c:v>59</c:v>
                </c:pt>
                <c:pt idx="1122">
                  <c:v>53</c:v>
                </c:pt>
                <c:pt idx="1123">
                  <c:v>200</c:v>
                </c:pt>
                <c:pt idx="1129">
                  <c:v>350</c:v>
                </c:pt>
                <c:pt idx="1130">
                  <c:v>150</c:v>
                </c:pt>
                <c:pt idx="1131">
                  <c:v>200</c:v>
                </c:pt>
                <c:pt idx="1132">
                  <c:v>300</c:v>
                </c:pt>
                <c:pt idx="1134">
                  <c:v>36</c:v>
                </c:pt>
                <c:pt idx="1135">
                  <c:v>50</c:v>
                </c:pt>
                <c:pt idx="1136">
                  <c:v>60</c:v>
                </c:pt>
                <c:pt idx="1138">
                  <c:v>201</c:v>
                </c:pt>
                <c:pt idx="1139">
                  <c:v>51</c:v>
                </c:pt>
                <c:pt idx="1143">
                  <c:v>11000</c:v>
                </c:pt>
                <c:pt idx="1144">
                  <c:v>75</c:v>
                </c:pt>
                <c:pt idx="1145">
                  <c:v>60</c:v>
                </c:pt>
                <c:pt idx="1146">
                  <c:v>100</c:v>
                </c:pt>
                <c:pt idx="1148">
                  <c:v>600</c:v>
                </c:pt>
                <c:pt idx="1151">
                  <c:v>10000</c:v>
                </c:pt>
                <c:pt idx="1154">
                  <c:v>400</c:v>
                </c:pt>
                <c:pt idx="1155">
                  <c:v>700</c:v>
                </c:pt>
                <c:pt idx="1156">
                  <c:v>127</c:v>
                </c:pt>
                <c:pt idx="1157">
                  <c:v>147</c:v>
                </c:pt>
                <c:pt idx="1158">
                  <c:v>50</c:v>
                </c:pt>
                <c:pt idx="1159">
                  <c:v>119</c:v>
                </c:pt>
                <c:pt idx="1160">
                  <c:v>649</c:v>
                </c:pt>
                <c:pt idx="1162">
                  <c:v>65</c:v>
                </c:pt>
                <c:pt idx="1163">
                  <c:v>100</c:v>
                </c:pt>
                <c:pt idx="1164">
                  <c:v>17</c:v>
                </c:pt>
                <c:pt idx="1165">
                  <c:v>25</c:v>
                </c:pt>
                <c:pt idx="1169">
                  <c:v>40</c:v>
                </c:pt>
                <c:pt idx="1170">
                  <c:v>78</c:v>
                </c:pt>
                <c:pt idx="1172">
                  <c:v>360</c:v>
                </c:pt>
                <c:pt idx="1174">
                  <c:v>180</c:v>
                </c:pt>
                <c:pt idx="1175">
                  <c:v>35</c:v>
                </c:pt>
                <c:pt idx="1176">
                  <c:v>165</c:v>
                </c:pt>
                <c:pt idx="1177">
                  <c:v>120</c:v>
                </c:pt>
                <c:pt idx="1180">
                  <c:v>70</c:v>
                </c:pt>
                <c:pt idx="1183">
                  <c:v>237</c:v>
                </c:pt>
                <c:pt idx="1184">
                  <c:v>33</c:v>
                </c:pt>
                <c:pt idx="1185">
                  <c:v>250</c:v>
                </c:pt>
                <c:pt idx="1189">
                  <c:v>90</c:v>
                </c:pt>
                <c:pt idx="1190">
                  <c:v>40</c:v>
                </c:pt>
                <c:pt idx="1191">
                  <c:v>200</c:v>
                </c:pt>
                <c:pt idx="1192">
                  <c:v>200</c:v>
                </c:pt>
                <c:pt idx="1195">
                  <c:v>9</c:v>
                </c:pt>
                <c:pt idx="1196">
                  <c:v>110</c:v>
                </c:pt>
                <c:pt idx="1197">
                  <c:v>20</c:v>
                </c:pt>
                <c:pt idx="1198">
                  <c:v>25</c:v>
                </c:pt>
                <c:pt idx="1201">
                  <c:v>30</c:v>
                </c:pt>
                <c:pt idx="1202">
                  <c:v>30</c:v>
                </c:pt>
                <c:pt idx="1205">
                  <c:v>30</c:v>
                </c:pt>
                <c:pt idx="1206">
                  <c:v>40</c:v>
                </c:pt>
                <c:pt idx="1207">
                  <c:v>100</c:v>
                </c:pt>
                <c:pt idx="1212">
                  <c:v>70</c:v>
                </c:pt>
                <c:pt idx="1213">
                  <c:v>210</c:v>
                </c:pt>
                <c:pt idx="1215">
                  <c:v>30</c:v>
                </c:pt>
                <c:pt idx="1216">
                  <c:v>25</c:v>
                </c:pt>
                <c:pt idx="1217">
                  <c:v>30</c:v>
                </c:pt>
                <c:pt idx="1218">
                  <c:v>150</c:v>
                </c:pt>
                <c:pt idx="1219">
                  <c:v>300</c:v>
                </c:pt>
                <c:pt idx="1220">
                  <c:v>48</c:v>
                </c:pt>
                <c:pt idx="1221">
                  <c:v>20</c:v>
                </c:pt>
                <c:pt idx="1222">
                  <c:v>110</c:v>
                </c:pt>
                <c:pt idx="1223">
                  <c:v>160</c:v>
                </c:pt>
                <c:pt idx="1224">
                  <c:v>150</c:v>
                </c:pt>
                <c:pt idx="1229">
                  <c:v>85</c:v>
                </c:pt>
                <c:pt idx="1230">
                  <c:v>200</c:v>
                </c:pt>
                <c:pt idx="1232">
                  <c:v>119</c:v>
                </c:pt>
                <c:pt idx="1234">
                  <c:v>495</c:v>
                </c:pt>
                <c:pt idx="1235">
                  <c:v>500</c:v>
                </c:pt>
                <c:pt idx="1236">
                  <c:v>60</c:v>
                </c:pt>
                <c:pt idx="1237">
                  <c:v>110</c:v>
                </c:pt>
                <c:pt idx="1239">
                  <c:v>240</c:v>
                </c:pt>
                <c:pt idx="1240">
                  <c:v>100</c:v>
                </c:pt>
                <c:pt idx="1241">
                  <c:v>62</c:v>
                </c:pt>
                <c:pt idx="1242">
                  <c:v>20</c:v>
                </c:pt>
                <c:pt idx="1244">
                  <c:v>45</c:v>
                </c:pt>
                <c:pt idx="1245">
                  <c:v>7</c:v>
                </c:pt>
                <c:pt idx="1246">
                  <c:v>300</c:v>
                </c:pt>
                <c:pt idx="1247">
                  <c:v>270</c:v>
                </c:pt>
                <c:pt idx="1248">
                  <c:v>110</c:v>
                </c:pt>
                <c:pt idx="1249">
                  <c:v>80</c:v>
                </c:pt>
                <c:pt idx="1253">
                  <c:v>20</c:v>
                </c:pt>
                <c:pt idx="1255">
                  <c:v>70</c:v>
                </c:pt>
                <c:pt idx="1256">
                  <c:v>70</c:v>
                </c:pt>
                <c:pt idx="1257">
                  <c:v>70</c:v>
                </c:pt>
                <c:pt idx="1260">
                  <c:v>16</c:v>
                </c:pt>
                <c:pt idx="1261">
                  <c:v>40</c:v>
                </c:pt>
                <c:pt idx="1262">
                  <c:v>30</c:v>
                </c:pt>
                <c:pt idx="1263">
                  <c:v>24</c:v>
                </c:pt>
                <c:pt idx="1264">
                  <c:v>300</c:v>
                </c:pt>
                <c:pt idx="1265">
                  <c:v>200</c:v>
                </c:pt>
                <c:pt idx="1266">
                  <c:v>200</c:v>
                </c:pt>
                <c:pt idx="1267">
                  <c:v>1000</c:v>
                </c:pt>
                <c:pt idx="1268">
                  <c:v>1400</c:v>
                </c:pt>
                <c:pt idx="1271">
                  <c:v>450</c:v>
                </c:pt>
                <c:pt idx="1272">
                  <c:v>215</c:v>
                </c:pt>
                <c:pt idx="1273">
                  <c:v>250</c:v>
                </c:pt>
                <c:pt idx="1274">
                  <c:v>136</c:v>
                </c:pt>
                <c:pt idx="1276">
                  <c:v>72</c:v>
                </c:pt>
                <c:pt idx="1277">
                  <c:v>73</c:v>
                </c:pt>
                <c:pt idx="1279">
                  <c:v>62</c:v>
                </c:pt>
                <c:pt idx="1280">
                  <c:v>150</c:v>
                </c:pt>
                <c:pt idx="1282">
                  <c:v>150</c:v>
                </c:pt>
                <c:pt idx="1283">
                  <c:v>950</c:v>
                </c:pt>
                <c:pt idx="1284">
                  <c:v>451</c:v>
                </c:pt>
                <c:pt idx="1285">
                  <c:v>20</c:v>
                </c:pt>
                <c:pt idx="1288">
                  <c:v>18</c:v>
                </c:pt>
                <c:pt idx="1289">
                  <c:v>550</c:v>
                </c:pt>
                <c:pt idx="1290">
                  <c:v>600</c:v>
                </c:pt>
                <c:pt idx="1291">
                  <c:v>83</c:v>
                </c:pt>
                <c:pt idx="1294">
                  <c:v>14</c:v>
                </c:pt>
                <c:pt idx="1295">
                  <c:v>35</c:v>
                </c:pt>
                <c:pt idx="1296">
                  <c:v>155</c:v>
                </c:pt>
                <c:pt idx="1297">
                  <c:v>60</c:v>
                </c:pt>
                <c:pt idx="1299">
                  <c:v>62</c:v>
                </c:pt>
                <c:pt idx="1301">
                  <c:v>180</c:v>
                </c:pt>
                <c:pt idx="1302">
                  <c:v>400</c:v>
                </c:pt>
                <c:pt idx="1303">
                  <c:v>70</c:v>
                </c:pt>
                <c:pt idx="1305">
                  <c:v>80</c:v>
                </c:pt>
                <c:pt idx="1308">
                  <c:v>52</c:v>
                </c:pt>
                <c:pt idx="1309">
                  <c:v>38</c:v>
                </c:pt>
                <c:pt idx="1311">
                  <c:v>60</c:v>
                </c:pt>
                <c:pt idx="1312">
                  <c:v>70</c:v>
                </c:pt>
                <c:pt idx="1313">
                  <c:v>31</c:v>
                </c:pt>
                <c:pt idx="1314">
                  <c:v>43</c:v>
                </c:pt>
                <c:pt idx="1316">
                  <c:v>87</c:v>
                </c:pt>
                <c:pt idx="1317">
                  <c:v>30</c:v>
                </c:pt>
                <c:pt idx="1319">
                  <c:v>170</c:v>
                </c:pt>
                <c:pt idx="1320">
                  <c:v>40</c:v>
                </c:pt>
                <c:pt idx="1322">
                  <c:v>600</c:v>
                </c:pt>
                <c:pt idx="1323">
                  <c:v>600</c:v>
                </c:pt>
                <c:pt idx="1324">
                  <c:v>150</c:v>
                </c:pt>
                <c:pt idx="1325">
                  <c:v>500</c:v>
                </c:pt>
                <c:pt idx="1329">
                  <c:v>100</c:v>
                </c:pt>
                <c:pt idx="1330">
                  <c:v>138</c:v>
                </c:pt>
                <c:pt idx="1331">
                  <c:v>94</c:v>
                </c:pt>
                <c:pt idx="1333">
                  <c:v>80</c:v>
                </c:pt>
                <c:pt idx="1334">
                  <c:v>140</c:v>
                </c:pt>
                <c:pt idx="1336">
                  <c:v>1500</c:v>
                </c:pt>
                <c:pt idx="1337">
                  <c:v>75</c:v>
                </c:pt>
                <c:pt idx="1338">
                  <c:v>18</c:v>
                </c:pt>
                <c:pt idx="1339">
                  <c:v>6</c:v>
                </c:pt>
                <c:pt idx="1341">
                  <c:v>60</c:v>
                </c:pt>
                <c:pt idx="1343">
                  <c:v>60</c:v>
                </c:pt>
                <c:pt idx="1344">
                  <c:v>40</c:v>
                </c:pt>
                <c:pt idx="1345">
                  <c:v>40</c:v>
                </c:pt>
                <c:pt idx="1346">
                  <c:v>44</c:v>
                </c:pt>
                <c:pt idx="1347">
                  <c:v>100</c:v>
                </c:pt>
                <c:pt idx="1348">
                  <c:v>5</c:v>
                </c:pt>
                <c:pt idx="1349">
                  <c:v>30</c:v>
                </c:pt>
                <c:pt idx="1350">
                  <c:v>36</c:v>
                </c:pt>
                <c:pt idx="1351">
                  <c:v>80</c:v>
                </c:pt>
                <c:pt idx="1352">
                  <c:v>96</c:v>
                </c:pt>
                <c:pt idx="1353">
                  <c:v>200</c:v>
                </c:pt>
                <c:pt idx="1354">
                  <c:v>27</c:v>
                </c:pt>
                <c:pt idx="1355">
                  <c:v>83</c:v>
                </c:pt>
                <c:pt idx="1356">
                  <c:v>2000</c:v>
                </c:pt>
                <c:pt idx="1357">
                  <c:v>40</c:v>
                </c:pt>
                <c:pt idx="1358">
                  <c:v>500</c:v>
                </c:pt>
                <c:pt idx="1359">
                  <c:v>59</c:v>
                </c:pt>
                <c:pt idx="1360">
                  <c:v>59</c:v>
                </c:pt>
                <c:pt idx="1361">
                  <c:v>25</c:v>
                </c:pt>
                <c:pt idx="1363">
                  <c:v>30</c:v>
                </c:pt>
                <c:pt idx="1364">
                  <c:v>45</c:v>
                </c:pt>
                <c:pt idx="1366">
                  <c:v>41</c:v>
                </c:pt>
                <c:pt idx="1367">
                  <c:v>51</c:v>
                </c:pt>
                <c:pt idx="1368">
                  <c:v>75</c:v>
                </c:pt>
                <c:pt idx="1370">
                  <c:v>500</c:v>
                </c:pt>
                <c:pt idx="1371">
                  <c:v>784</c:v>
                </c:pt>
                <c:pt idx="1372">
                  <c:v>2800</c:v>
                </c:pt>
                <c:pt idx="1373">
                  <c:v>45</c:v>
                </c:pt>
                <c:pt idx="1374">
                  <c:v>30</c:v>
                </c:pt>
                <c:pt idx="1378">
                  <c:v>20</c:v>
                </c:pt>
                <c:pt idx="1379">
                  <c:v>20</c:v>
                </c:pt>
                <c:pt idx="1381">
                  <c:v>10</c:v>
                </c:pt>
                <c:pt idx="1382">
                  <c:v>30</c:v>
                </c:pt>
                <c:pt idx="1384">
                  <c:v>30</c:v>
                </c:pt>
                <c:pt idx="1389">
                  <c:v>94</c:v>
                </c:pt>
                <c:pt idx="1392">
                  <c:v>40</c:v>
                </c:pt>
                <c:pt idx="1393">
                  <c:v>70</c:v>
                </c:pt>
                <c:pt idx="1395">
                  <c:v>400</c:v>
                </c:pt>
                <c:pt idx="1397">
                  <c:v>90</c:v>
                </c:pt>
                <c:pt idx="1398">
                  <c:v>111</c:v>
                </c:pt>
                <c:pt idx="1400">
                  <c:v>150</c:v>
                </c:pt>
                <c:pt idx="1401">
                  <c:v>31</c:v>
                </c:pt>
                <c:pt idx="1402">
                  <c:v>143</c:v>
                </c:pt>
                <c:pt idx="1403">
                  <c:v>22</c:v>
                </c:pt>
                <c:pt idx="1404">
                  <c:v>59</c:v>
                </c:pt>
                <c:pt idx="1406">
                  <c:v>260</c:v>
                </c:pt>
                <c:pt idx="1407">
                  <c:v>200</c:v>
                </c:pt>
                <c:pt idx="1408">
                  <c:v>29</c:v>
                </c:pt>
                <c:pt idx="1409">
                  <c:v>65</c:v>
                </c:pt>
                <c:pt idx="1410">
                  <c:v>150</c:v>
                </c:pt>
                <c:pt idx="1412">
                  <c:v>12</c:v>
                </c:pt>
                <c:pt idx="1413">
                  <c:v>36</c:v>
                </c:pt>
                <c:pt idx="1414">
                  <c:v>400</c:v>
                </c:pt>
                <c:pt idx="1416">
                  <c:v>50</c:v>
                </c:pt>
                <c:pt idx="1417">
                  <c:v>21</c:v>
                </c:pt>
                <c:pt idx="1419">
                  <c:v>10</c:v>
                </c:pt>
                <c:pt idx="1420">
                  <c:v>170</c:v>
                </c:pt>
                <c:pt idx="1422">
                  <c:v>69</c:v>
                </c:pt>
                <c:pt idx="1423">
                  <c:v>200</c:v>
                </c:pt>
                <c:pt idx="1424">
                  <c:v>47</c:v>
                </c:pt>
                <c:pt idx="1425">
                  <c:v>100</c:v>
                </c:pt>
                <c:pt idx="1426">
                  <c:v>55</c:v>
                </c:pt>
                <c:pt idx="1429">
                  <c:v>180</c:v>
                </c:pt>
                <c:pt idx="1430">
                  <c:v>43</c:v>
                </c:pt>
                <c:pt idx="1433">
                  <c:v>26</c:v>
                </c:pt>
                <c:pt idx="1435">
                  <c:v>85</c:v>
                </c:pt>
                <c:pt idx="1437">
                  <c:v>20</c:v>
                </c:pt>
                <c:pt idx="1438">
                  <c:v>180</c:v>
                </c:pt>
                <c:pt idx="1439">
                  <c:v>63</c:v>
                </c:pt>
                <c:pt idx="1440">
                  <c:v>71</c:v>
                </c:pt>
                <c:pt idx="1444">
                  <c:v>300</c:v>
                </c:pt>
                <c:pt idx="1445">
                  <c:v>89</c:v>
                </c:pt>
                <c:pt idx="1448">
                  <c:v>1500</c:v>
                </c:pt>
                <c:pt idx="1450">
                  <c:v>50</c:v>
                </c:pt>
                <c:pt idx="1452">
                  <c:v>50</c:v>
                </c:pt>
                <c:pt idx="1453">
                  <c:v>270</c:v>
                </c:pt>
                <c:pt idx="1454">
                  <c:v>87</c:v>
                </c:pt>
                <c:pt idx="1455">
                  <c:v>72</c:v>
                </c:pt>
                <c:pt idx="1456">
                  <c:v>30</c:v>
                </c:pt>
                <c:pt idx="1457">
                  <c:v>40</c:v>
                </c:pt>
                <c:pt idx="1458">
                  <c:v>130</c:v>
                </c:pt>
                <c:pt idx="1459">
                  <c:v>28</c:v>
                </c:pt>
                <c:pt idx="1462">
                  <c:v>60</c:v>
                </c:pt>
                <c:pt idx="1463">
                  <c:v>20</c:v>
                </c:pt>
                <c:pt idx="1464">
                  <c:v>88</c:v>
                </c:pt>
                <c:pt idx="1465">
                  <c:v>160</c:v>
                </c:pt>
                <c:pt idx="1466">
                  <c:v>80</c:v>
                </c:pt>
                <c:pt idx="1469">
                  <c:v>63</c:v>
                </c:pt>
                <c:pt idx="1470">
                  <c:v>100</c:v>
                </c:pt>
                <c:pt idx="1473">
                  <c:v>60</c:v>
                </c:pt>
                <c:pt idx="1476">
                  <c:v>59</c:v>
                </c:pt>
                <c:pt idx="1479">
                  <c:v>140</c:v>
                </c:pt>
                <c:pt idx="1480">
                  <c:v>11</c:v>
                </c:pt>
                <c:pt idx="1481">
                  <c:v>40</c:v>
                </c:pt>
                <c:pt idx="1483">
                  <c:v>84</c:v>
                </c:pt>
                <c:pt idx="1484">
                  <c:v>235</c:v>
                </c:pt>
                <c:pt idx="1488">
                  <c:v>67</c:v>
                </c:pt>
                <c:pt idx="1489">
                  <c:v>236</c:v>
                </c:pt>
                <c:pt idx="1490">
                  <c:v>470</c:v>
                </c:pt>
                <c:pt idx="1491">
                  <c:v>862</c:v>
                </c:pt>
                <c:pt idx="1492">
                  <c:v>44</c:v>
                </c:pt>
                <c:pt idx="1493">
                  <c:v>31</c:v>
                </c:pt>
                <c:pt idx="1494">
                  <c:v>750</c:v>
                </c:pt>
                <c:pt idx="1496">
                  <c:v>150</c:v>
                </c:pt>
                <c:pt idx="1498">
                  <c:v>82</c:v>
                </c:pt>
                <c:pt idx="1500">
                  <c:v>100</c:v>
                </c:pt>
                <c:pt idx="1501">
                  <c:v>50</c:v>
                </c:pt>
                <c:pt idx="1502">
                  <c:v>70</c:v>
                </c:pt>
                <c:pt idx="1503">
                  <c:v>210</c:v>
                </c:pt>
                <c:pt idx="1506">
                  <c:v>65</c:v>
                </c:pt>
                <c:pt idx="1507">
                  <c:v>50</c:v>
                </c:pt>
                <c:pt idx="1508">
                  <c:v>25</c:v>
                </c:pt>
                <c:pt idx="1509">
                  <c:v>175</c:v>
                </c:pt>
                <c:pt idx="1510">
                  <c:v>85</c:v>
                </c:pt>
                <c:pt idx="1511">
                  <c:v>24</c:v>
                </c:pt>
                <c:pt idx="1512">
                  <c:v>60</c:v>
                </c:pt>
                <c:pt idx="1513">
                  <c:v>57</c:v>
                </c:pt>
                <c:pt idx="1514">
                  <c:v>16</c:v>
                </c:pt>
                <c:pt idx="1515">
                  <c:v>136</c:v>
                </c:pt>
                <c:pt idx="1516">
                  <c:v>170</c:v>
                </c:pt>
                <c:pt idx="1517">
                  <c:v>35</c:v>
                </c:pt>
                <c:pt idx="1519">
                  <c:v>120</c:v>
                </c:pt>
                <c:pt idx="1521">
                  <c:v>30</c:v>
                </c:pt>
                <c:pt idx="1522">
                  <c:v>50</c:v>
                </c:pt>
                <c:pt idx="1523">
                  <c:v>46</c:v>
                </c:pt>
                <c:pt idx="1524">
                  <c:v>23</c:v>
                </c:pt>
                <c:pt idx="1525">
                  <c:v>196</c:v>
                </c:pt>
                <c:pt idx="1527">
                  <c:v>40</c:v>
                </c:pt>
                <c:pt idx="1528">
                  <c:v>840</c:v>
                </c:pt>
                <c:pt idx="1530">
                  <c:v>340</c:v>
                </c:pt>
                <c:pt idx="1531">
                  <c:v>713</c:v>
                </c:pt>
                <c:pt idx="1532">
                  <c:v>100</c:v>
                </c:pt>
                <c:pt idx="1534">
                  <c:v>200</c:v>
                </c:pt>
                <c:pt idx="1536">
                  <c:v>137</c:v>
                </c:pt>
                <c:pt idx="1537">
                  <c:v>330</c:v>
                </c:pt>
                <c:pt idx="1539">
                  <c:v>194</c:v>
                </c:pt>
                <c:pt idx="1540">
                  <c:v>18</c:v>
                </c:pt>
                <c:pt idx="1543">
                  <c:v>50</c:v>
                </c:pt>
                <c:pt idx="1546">
                  <c:v>160</c:v>
                </c:pt>
                <c:pt idx="1547">
                  <c:v>57</c:v>
                </c:pt>
                <c:pt idx="1548">
                  <c:v>50</c:v>
                </c:pt>
                <c:pt idx="1549">
                  <c:v>180</c:v>
                </c:pt>
                <c:pt idx="1550">
                  <c:v>27</c:v>
                </c:pt>
                <c:pt idx="1551">
                  <c:v>340</c:v>
                </c:pt>
                <c:pt idx="1552">
                  <c:v>100</c:v>
                </c:pt>
                <c:pt idx="1553">
                  <c:v>20</c:v>
                </c:pt>
                <c:pt idx="1554">
                  <c:v>90</c:v>
                </c:pt>
                <c:pt idx="1555">
                  <c:v>1000</c:v>
                </c:pt>
                <c:pt idx="1556">
                  <c:v>1000</c:v>
                </c:pt>
                <c:pt idx="1557">
                  <c:v>8000</c:v>
                </c:pt>
                <c:pt idx="1558">
                  <c:v>55</c:v>
                </c:pt>
                <c:pt idx="1559">
                  <c:v>100</c:v>
                </c:pt>
                <c:pt idx="1560">
                  <c:v>60</c:v>
                </c:pt>
                <c:pt idx="1561">
                  <c:v>90</c:v>
                </c:pt>
                <c:pt idx="1563">
                  <c:v>75</c:v>
                </c:pt>
                <c:pt idx="1564">
                  <c:v>300</c:v>
                </c:pt>
                <c:pt idx="1567">
                  <c:v>60</c:v>
                </c:pt>
                <c:pt idx="1568">
                  <c:v>80</c:v>
                </c:pt>
                <c:pt idx="1569">
                  <c:v>3000</c:v>
                </c:pt>
                <c:pt idx="1570">
                  <c:v>300</c:v>
                </c:pt>
                <c:pt idx="1571">
                  <c:v>30</c:v>
                </c:pt>
                <c:pt idx="1574">
                  <c:v>90</c:v>
                </c:pt>
                <c:pt idx="1575">
                  <c:v>90</c:v>
                </c:pt>
                <c:pt idx="1577">
                  <c:v>92</c:v>
                </c:pt>
                <c:pt idx="1579">
                  <c:v>350</c:v>
                </c:pt>
                <c:pt idx="1582">
                  <c:v>32</c:v>
                </c:pt>
                <c:pt idx="1583">
                  <c:v>212</c:v>
                </c:pt>
                <c:pt idx="1584">
                  <c:v>90</c:v>
                </c:pt>
                <c:pt idx="1585">
                  <c:v>50</c:v>
                </c:pt>
                <c:pt idx="1586">
                  <c:v>28</c:v>
                </c:pt>
                <c:pt idx="1587">
                  <c:v>250</c:v>
                </c:pt>
                <c:pt idx="1588">
                  <c:v>500</c:v>
                </c:pt>
                <c:pt idx="1589">
                  <c:v>300</c:v>
                </c:pt>
                <c:pt idx="1591">
                  <c:v>27</c:v>
                </c:pt>
                <c:pt idx="1593">
                  <c:v>30</c:v>
                </c:pt>
                <c:pt idx="1594">
                  <c:v>54</c:v>
                </c:pt>
                <c:pt idx="1595">
                  <c:v>17</c:v>
                </c:pt>
                <c:pt idx="1598">
                  <c:v>221</c:v>
                </c:pt>
                <c:pt idx="1600">
                  <c:v>21</c:v>
                </c:pt>
                <c:pt idx="1601">
                  <c:v>100</c:v>
                </c:pt>
                <c:pt idx="1602">
                  <c:v>500</c:v>
                </c:pt>
                <c:pt idx="1603">
                  <c:v>101</c:v>
                </c:pt>
                <c:pt idx="1604">
                  <c:v>18</c:v>
                </c:pt>
                <c:pt idx="1605">
                  <c:v>29</c:v>
                </c:pt>
                <c:pt idx="1606">
                  <c:v>43</c:v>
                </c:pt>
                <c:pt idx="1607">
                  <c:v>22</c:v>
                </c:pt>
                <c:pt idx="1610">
                  <c:v>60</c:v>
                </c:pt>
                <c:pt idx="1611">
                  <c:v>20</c:v>
                </c:pt>
                <c:pt idx="1612">
                  <c:v>48</c:v>
                </c:pt>
                <c:pt idx="1613">
                  <c:v>200</c:v>
                </c:pt>
                <c:pt idx="1614">
                  <c:v>30</c:v>
                </c:pt>
                <c:pt idx="1615">
                  <c:v>50</c:v>
                </c:pt>
                <c:pt idx="1616">
                  <c:v>70</c:v>
                </c:pt>
                <c:pt idx="1617">
                  <c:v>1000</c:v>
                </c:pt>
                <c:pt idx="1619">
                  <c:v>52</c:v>
                </c:pt>
                <c:pt idx="1620">
                  <c:v>360</c:v>
                </c:pt>
                <c:pt idx="1621">
                  <c:v>800</c:v>
                </c:pt>
                <c:pt idx="1622">
                  <c:v>40</c:v>
                </c:pt>
                <c:pt idx="1625">
                  <c:v>110</c:v>
                </c:pt>
                <c:pt idx="1627">
                  <c:v>64</c:v>
                </c:pt>
                <c:pt idx="1629">
                  <c:v>120</c:v>
                </c:pt>
                <c:pt idx="1630">
                  <c:v>6</c:v>
                </c:pt>
                <c:pt idx="1632">
                  <c:v>150</c:v>
                </c:pt>
                <c:pt idx="1633">
                  <c:v>150</c:v>
                </c:pt>
                <c:pt idx="1635">
                  <c:v>160</c:v>
                </c:pt>
                <c:pt idx="1636">
                  <c:v>130</c:v>
                </c:pt>
                <c:pt idx="1637">
                  <c:v>475</c:v>
                </c:pt>
                <c:pt idx="1638">
                  <c:v>80</c:v>
                </c:pt>
                <c:pt idx="1639">
                  <c:v>40</c:v>
                </c:pt>
                <c:pt idx="1640">
                  <c:v>30</c:v>
                </c:pt>
                <c:pt idx="1641">
                  <c:v>31</c:v>
                </c:pt>
                <c:pt idx="1642">
                  <c:v>80</c:v>
                </c:pt>
                <c:pt idx="1644">
                  <c:v>31</c:v>
                </c:pt>
                <c:pt idx="1646">
                  <c:v>21</c:v>
                </c:pt>
                <c:pt idx="1647">
                  <c:v>70</c:v>
                </c:pt>
                <c:pt idx="1648">
                  <c:v>350</c:v>
                </c:pt>
                <c:pt idx="1649">
                  <c:v>115</c:v>
                </c:pt>
                <c:pt idx="1650">
                  <c:v>300</c:v>
                </c:pt>
                <c:pt idx="1653">
                  <c:v>120</c:v>
                </c:pt>
                <c:pt idx="1654">
                  <c:v>85</c:v>
                </c:pt>
                <c:pt idx="1655">
                  <c:v>100</c:v>
                </c:pt>
                <c:pt idx="1656">
                  <c:v>100</c:v>
                </c:pt>
                <c:pt idx="1658">
                  <c:v>1280</c:v>
                </c:pt>
                <c:pt idx="1661">
                  <c:v>100</c:v>
                </c:pt>
                <c:pt idx="1663">
                  <c:v>40</c:v>
                </c:pt>
                <c:pt idx="1664">
                  <c:v>30</c:v>
                </c:pt>
                <c:pt idx="1665">
                  <c:v>198</c:v>
                </c:pt>
                <c:pt idx="1666">
                  <c:v>69</c:v>
                </c:pt>
                <c:pt idx="1667">
                  <c:v>104</c:v>
                </c:pt>
                <c:pt idx="1669">
                  <c:v>112</c:v>
                </c:pt>
                <c:pt idx="1670">
                  <c:v>200</c:v>
                </c:pt>
                <c:pt idx="1671">
                  <c:v>300</c:v>
                </c:pt>
                <c:pt idx="1673">
                  <c:v>120</c:v>
                </c:pt>
                <c:pt idx="1674">
                  <c:v>100</c:v>
                </c:pt>
                <c:pt idx="1675">
                  <c:v>250</c:v>
                </c:pt>
                <c:pt idx="1676">
                  <c:v>400</c:v>
                </c:pt>
                <c:pt idx="1678">
                  <c:v>300</c:v>
                </c:pt>
                <c:pt idx="1679">
                  <c:v>174</c:v>
                </c:pt>
                <c:pt idx="1680">
                  <c:v>450</c:v>
                </c:pt>
                <c:pt idx="1683">
                  <c:v>45</c:v>
                </c:pt>
                <c:pt idx="1684">
                  <c:v>200</c:v>
                </c:pt>
                <c:pt idx="1685">
                  <c:v>24</c:v>
                </c:pt>
                <c:pt idx="1689">
                  <c:v>78</c:v>
                </c:pt>
                <c:pt idx="1690">
                  <c:v>23</c:v>
                </c:pt>
                <c:pt idx="1691">
                  <c:v>70</c:v>
                </c:pt>
                <c:pt idx="1692">
                  <c:v>325</c:v>
                </c:pt>
                <c:pt idx="1693">
                  <c:v>57</c:v>
                </c:pt>
                <c:pt idx="1695">
                  <c:v>40</c:v>
                </c:pt>
                <c:pt idx="1698">
                  <c:v>600</c:v>
                </c:pt>
                <c:pt idx="1700">
                  <c:v>37</c:v>
                </c:pt>
                <c:pt idx="1703">
                  <c:v>50</c:v>
                </c:pt>
                <c:pt idx="1704">
                  <c:v>100</c:v>
                </c:pt>
                <c:pt idx="1705">
                  <c:v>4</c:v>
                </c:pt>
                <c:pt idx="1706">
                  <c:v>30</c:v>
                </c:pt>
                <c:pt idx="1709">
                  <c:v>40</c:v>
                </c:pt>
                <c:pt idx="1711">
                  <c:v>100</c:v>
                </c:pt>
                <c:pt idx="1713">
                  <c:v>30</c:v>
                </c:pt>
                <c:pt idx="1714">
                  <c:v>32</c:v>
                </c:pt>
                <c:pt idx="1715">
                  <c:v>40</c:v>
                </c:pt>
                <c:pt idx="1716">
                  <c:v>31</c:v>
                </c:pt>
                <c:pt idx="1717">
                  <c:v>24</c:v>
                </c:pt>
                <c:pt idx="1718">
                  <c:v>221</c:v>
                </c:pt>
                <c:pt idx="1719">
                  <c:v>23</c:v>
                </c:pt>
                <c:pt idx="1721">
                  <c:v>330</c:v>
                </c:pt>
                <c:pt idx="1722">
                  <c:v>1400</c:v>
                </c:pt>
                <c:pt idx="1724">
                  <c:v>80</c:v>
                </c:pt>
                <c:pt idx="1725">
                  <c:v>100</c:v>
                </c:pt>
                <c:pt idx="1726">
                  <c:v>120</c:v>
                </c:pt>
                <c:pt idx="1727">
                  <c:v>59</c:v>
                </c:pt>
                <c:pt idx="1729">
                  <c:v>100</c:v>
                </c:pt>
                <c:pt idx="1731">
                  <c:v>20</c:v>
                </c:pt>
                <c:pt idx="1733">
                  <c:v>40</c:v>
                </c:pt>
                <c:pt idx="1736">
                  <c:v>50</c:v>
                </c:pt>
                <c:pt idx="1737">
                  <c:v>1000</c:v>
                </c:pt>
                <c:pt idx="1738">
                  <c:v>40</c:v>
                </c:pt>
                <c:pt idx="1740">
                  <c:v>200</c:v>
                </c:pt>
                <c:pt idx="1742">
                  <c:v>33</c:v>
                </c:pt>
                <c:pt idx="1743">
                  <c:v>70</c:v>
                </c:pt>
                <c:pt idx="1745">
                  <c:v>19</c:v>
                </c:pt>
                <c:pt idx="1746">
                  <c:v>30</c:v>
                </c:pt>
                <c:pt idx="1747">
                  <c:v>13</c:v>
                </c:pt>
                <c:pt idx="1748">
                  <c:v>101</c:v>
                </c:pt>
                <c:pt idx="1750">
                  <c:v>100</c:v>
                </c:pt>
                <c:pt idx="1752">
                  <c:v>90</c:v>
                </c:pt>
                <c:pt idx="1753">
                  <c:v>24</c:v>
                </c:pt>
                <c:pt idx="1754">
                  <c:v>23</c:v>
                </c:pt>
                <c:pt idx="1755">
                  <c:v>30</c:v>
                </c:pt>
                <c:pt idx="1756">
                  <c:v>35</c:v>
                </c:pt>
                <c:pt idx="1758">
                  <c:v>250</c:v>
                </c:pt>
                <c:pt idx="1761">
                  <c:v>35</c:v>
                </c:pt>
                <c:pt idx="1762">
                  <c:v>250</c:v>
                </c:pt>
                <c:pt idx="1763">
                  <c:v>350</c:v>
                </c:pt>
                <c:pt idx="1764">
                  <c:v>380</c:v>
                </c:pt>
                <c:pt idx="1765">
                  <c:v>800</c:v>
                </c:pt>
                <c:pt idx="1766">
                  <c:v>1100</c:v>
                </c:pt>
                <c:pt idx="1769">
                  <c:v>400</c:v>
                </c:pt>
                <c:pt idx="1770">
                  <c:v>10</c:v>
                </c:pt>
                <c:pt idx="1772">
                  <c:v>63</c:v>
                </c:pt>
                <c:pt idx="1773">
                  <c:v>30</c:v>
                </c:pt>
                <c:pt idx="1774">
                  <c:v>5</c:v>
                </c:pt>
                <c:pt idx="1776">
                  <c:v>105</c:v>
                </c:pt>
                <c:pt idx="1777">
                  <c:v>13</c:v>
                </c:pt>
                <c:pt idx="1778">
                  <c:v>100</c:v>
                </c:pt>
                <c:pt idx="1784">
                  <c:v>28</c:v>
                </c:pt>
                <c:pt idx="1785">
                  <c:v>20</c:v>
                </c:pt>
                <c:pt idx="1786">
                  <c:v>30</c:v>
                </c:pt>
                <c:pt idx="1788">
                  <c:v>52</c:v>
                </c:pt>
                <c:pt idx="1789">
                  <c:v>186</c:v>
                </c:pt>
                <c:pt idx="1792">
                  <c:v>30</c:v>
                </c:pt>
                <c:pt idx="1793">
                  <c:v>45</c:v>
                </c:pt>
                <c:pt idx="1794">
                  <c:v>34</c:v>
                </c:pt>
                <c:pt idx="1796">
                  <c:v>60</c:v>
                </c:pt>
                <c:pt idx="1797">
                  <c:v>300</c:v>
                </c:pt>
                <c:pt idx="1798">
                  <c:v>15</c:v>
                </c:pt>
                <c:pt idx="1800">
                  <c:v>54</c:v>
                </c:pt>
                <c:pt idx="1803">
                  <c:v>300</c:v>
                </c:pt>
                <c:pt idx="1808">
                  <c:v>30</c:v>
                </c:pt>
                <c:pt idx="1809">
                  <c:v>22</c:v>
                </c:pt>
                <c:pt idx="1811">
                  <c:v>46</c:v>
                </c:pt>
                <c:pt idx="1812">
                  <c:v>40</c:v>
                </c:pt>
                <c:pt idx="1813">
                  <c:v>38</c:v>
                </c:pt>
                <c:pt idx="1814">
                  <c:v>54</c:v>
                </c:pt>
                <c:pt idx="1816">
                  <c:v>13</c:v>
                </c:pt>
                <c:pt idx="1817">
                  <c:v>40</c:v>
                </c:pt>
                <c:pt idx="1818">
                  <c:v>59</c:v>
                </c:pt>
                <c:pt idx="1819">
                  <c:v>230</c:v>
                </c:pt>
                <c:pt idx="1820">
                  <c:v>235</c:v>
                </c:pt>
                <c:pt idx="1821">
                  <c:v>20</c:v>
                </c:pt>
                <c:pt idx="1824">
                  <c:v>56</c:v>
                </c:pt>
                <c:pt idx="1825">
                  <c:v>40</c:v>
                </c:pt>
                <c:pt idx="1826">
                  <c:v>50</c:v>
                </c:pt>
                <c:pt idx="1827">
                  <c:v>17</c:v>
                </c:pt>
                <c:pt idx="1828">
                  <c:v>26</c:v>
                </c:pt>
                <c:pt idx="1830">
                  <c:v>20</c:v>
                </c:pt>
                <c:pt idx="1832">
                  <c:v>76</c:v>
                </c:pt>
                <c:pt idx="1833">
                  <c:v>100</c:v>
                </c:pt>
                <c:pt idx="1834">
                  <c:v>10</c:v>
                </c:pt>
                <c:pt idx="1835">
                  <c:v>65</c:v>
                </c:pt>
                <c:pt idx="1837">
                  <c:v>24</c:v>
                </c:pt>
                <c:pt idx="1839">
                  <c:v>500</c:v>
                </c:pt>
                <c:pt idx="1841">
                  <c:v>30</c:v>
                </c:pt>
                <c:pt idx="1843">
                  <c:v>243</c:v>
                </c:pt>
                <c:pt idx="1844">
                  <c:v>75</c:v>
                </c:pt>
                <c:pt idx="1845">
                  <c:v>160</c:v>
                </c:pt>
                <c:pt idx="1846">
                  <c:v>250</c:v>
                </c:pt>
                <c:pt idx="1847">
                  <c:v>80</c:v>
                </c:pt>
                <c:pt idx="1848">
                  <c:v>180</c:v>
                </c:pt>
                <c:pt idx="1849">
                  <c:v>24</c:v>
                </c:pt>
                <c:pt idx="1850">
                  <c:v>40</c:v>
                </c:pt>
                <c:pt idx="1851">
                  <c:v>120</c:v>
                </c:pt>
                <c:pt idx="1852">
                  <c:v>60</c:v>
                </c:pt>
                <c:pt idx="1853">
                  <c:v>123</c:v>
                </c:pt>
                <c:pt idx="1854">
                  <c:v>1300</c:v>
                </c:pt>
                <c:pt idx="1855">
                  <c:v>44</c:v>
                </c:pt>
                <c:pt idx="1856">
                  <c:v>30</c:v>
                </c:pt>
                <c:pt idx="1857">
                  <c:v>262</c:v>
                </c:pt>
                <c:pt idx="1858">
                  <c:v>23</c:v>
                </c:pt>
                <c:pt idx="1859">
                  <c:v>16</c:v>
                </c:pt>
                <c:pt idx="1860">
                  <c:v>350</c:v>
                </c:pt>
                <c:pt idx="1861">
                  <c:v>13</c:v>
                </c:pt>
                <c:pt idx="1862">
                  <c:v>131</c:v>
                </c:pt>
                <c:pt idx="1864">
                  <c:v>24</c:v>
                </c:pt>
                <c:pt idx="1865">
                  <c:v>27</c:v>
                </c:pt>
                <c:pt idx="1866">
                  <c:v>20</c:v>
                </c:pt>
                <c:pt idx="1867">
                  <c:v>250</c:v>
                </c:pt>
                <c:pt idx="1868">
                  <c:v>80</c:v>
                </c:pt>
                <c:pt idx="1869">
                  <c:v>100</c:v>
                </c:pt>
                <c:pt idx="1870">
                  <c:v>120</c:v>
                </c:pt>
                <c:pt idx="1872">
                  <c:v>41</c:v>
                </c:pt>
                <c:pt idx="1873">
                  <c:v>300</c:v>
                </c:pt>
                <c:pt idx="1875">
                  <c:v>300</c:v>
                </c:pt>
                <c:pt idx="1876">
                  <c:v>900</c:v>
                </c:pt>
                <c:pt idx="1877">
                  <c:v>15</c:v>
                </c:pt>
                <c:pt idx="1878">
                  <c:v>23</c:v>
                </c:pt>
                <c:pt idx="1879">
                  <c:v>100</c:v>
                </c:pt>
                <c:pt idx="1882">
                  <c:v>13</c:v>
                </c:pt>
                <c:pt idx="1884">
                  <c:v>219</c:v>
                </c:pt>
                <c:pt idx="1885">
                  <c:v>40</c:v>
                </c:pt>
                <c:pt idx="1888">
                  <c:v>150</c:v>
                </c:pt>
                <c:pt idx="1889">
                  <c:v>175</c:v>
                </c:pt>
                <c:pt idx="1890">
                  <c:v>24</c:v>
                </c:pt>
                <c:pt idx="1891">
                  <c:v>120</c:v>
                </c:pt>
                <c:pt idx="1892">
                  <c:v>47</c:v>
                </c:pt>
                <c:pt idx="1893">
                  <c:v>55</c:v>
                </c:pt>
                <c:pt idx="1894">
                  <c:v>100</c:v>
                </c:pt>
                <c:pt idx="1895">
                  <c:v>14</c:v>
                </c:pt>
                <c:pt idx="1897">
                  <c:v>108</c:v>
                </c:pt>
                <c:pt idx="1898">
                  <c:v>350</c:v>
                </c:pt>
                <c:pt idx="1899">
                  <c:v>4</c:v>
                </c:pt>
                <c:pt idx="1900">
                  <c:v>211</c:v>
                </c:pt>
                <c:pt idx="1901">
                  <c:v>800</c:v>
                </c:pt>
                <c:pt idx="1902">
                  <c:v>1500</c:v>
                </c:pt>
                <c:pt idx="1903">
                  <c:v>30</c:v>
                </c:pt>
                <c:pt idx="1906">
                  <c:v>40</c:v>
                </c:pt>
                <c:pt idx="1907">
                  <c:v>200</c:v>
                </c:pt>
                <c:pt idx="1908">
                  <c:v>3700</c:v>
                </c:pt>
                <c:pt idx="1911">
                  <c:v>53</c:v>
                </c:pt>
                <c:pt idx="1912">
                  <c:v>225</c:v>
                </c:pt>
                <c:pt idx="1913">
                  <c:v>600</c:v>
                </c:pt>
                <c:pt idx="1914">
                  <c:v>3000</c:v>
                </c:pt>
                <c:pt idx="1915">
                  <c:v>3700</c:v>
                </c:pt>
                <c:pt idx="1916">
                  <c:v>60</c:v>
                </c:pt>
                <c:pt idx="1917">
                  <c:v>150</c:v>
                </c:pt>
                <c:pt idx="1918">
                  <c:v>31</c:v>
                </c:pt>
                <c:pt idx="1919">
                  <c:v>180</c:v>
                </c:pt>
                <c:pt idx="1920">
                  <c:v>350</c:v>
                </c:pt>
                <c:pt idx="1921">
                  <c:v>55</c:v>
                </c:pt>
                <c:pt idx="1922">
                  <c:v>100</c:v>
                </c:pt>
                <c:pt idx="1924">
                  <c:v>210</c:v>
                </c:pt>
                <c:pt idx="1925">
                  <c:v>241</c:v>
                </c:pt>
                <c:pt idx="1926">
                  <c:v>134</c:v>
                </c:pt>
                <c:pt idx="1928">
                  <c:v>150</c:v>
                </c:pt>
                <c:pt idx="1929">
                  <c:v>350</c:v>
                </c:pt>
                <c:pt idx="1930">
                  <c:v>1000</c:v>
                </c:pt>
                <c:pt idx="1931">
                  <c:v>80</c:v>
                </c:pt>
                <c:pt idx="1932">
                  <c:v>47</c:v>
                </c:pt>
                <c:pt idx="1933">
                  <c:v>29</c:v>
                </c:pt>
                <c:pt idx="1935">
                  <c:v>50</c:v>
                </c:pt>
                <c:pt idx="1936">
                  <c:v>110</c:v>
                </c:pt>
                <c:pt idx="1937">
                  <c:v>76</c:v>
                </c:pt>
                <c:pt idx="1938">
                  <c:v>89</c:v>
                </c:pt>
                <c:pt idx="1939">
                  <c:v>200</c:v>
                </c:pt>
                <c:pt idx="1940">
                  <c:v>284</c:v>
                </c:pt>
                <c:pt idx="1942">
                  <c:v>42</c:v>
                </c:pt>
                <c:pt idx="1944">
                  <c:v>120</c:v>
                </c:pt>
                <c:pt idx="1945">
                  <c:v>25</c:v>
                </c:pt>
                <c:pt idx="1946">
                  <c:v>19</c:v>
                </c:pt>
                <c:pt idx="1947">
                  <c:v>140</c:v>
                </c:pt>
                <c:pt idx="1948">
                  <c:v>365</c:v>
                </c:pt>
                <c:pt idx="1949">
                  <c:v>55</c:v>
                </c:pt>
                <c:pt idx="1950">
                  <c:v>15</c:v>
                </c:pt>
                <c:pt idx="1951">
                  <c:v>63</c:v>
                </c:pt>
                <c:pt idx="1952">
                  <c:v>65</c:v>
                </c:pt>
                <c:pt idx="1954">
                  <c:v>1300</c:v>
                </c:pt>
                <c:pt idx="1956">
                  <c:v>75</c:v>
                </c:pt>
                <c:pt idx="1957">
                  <c:v>110</c:v>
                </c:pt>
                <c:pt idx="1959">
                  <c:v>100</c:v>
                </c:pt>
                <c:pt idx="1960">
                  <c:v>200</c:v>
                </c:pt>
                <c:pt idx="1961">
                  <c:v>385</c:v>
                </c:pt>
                <c:pt idx="1962">
                  <c:v>424</c:v>
                </c:pt>
                <c:pt idx="1963">
                  <c:v>16</c:v>
                </c:pt>
                <c:pt idx="1964">
                  <c:v>17</c:v>
                </c:pt>
                <c:pt idx="1965">
                  <c:v>30</c:v>
                </c:pt>
                <c:pt idx="1966">
                  <c:v>100</c:v>
                </c:pt>
                <c:pt idx="1967">
                  <c:v>140</c:v>
                </c:pt>
                <c:pt idx="1968">
                  <c:v>220</c:v>
                </c:pt>
                <c:pt idx="1971">
                  <c:v>27</c:v>
                </c:pt>
                <c:pt idx="1972">
                  <c:v>80</c:v>
                </c:pt>
                <c:pt idx="1973">
                  <c:v>63</c:v>
                </c:pt>
                <c:pt idx="1974">
                  <c:v>66</c:v>
                </c:pt>
                <c:pt idx="1975">
                  <c:v>250</c:v>
                </c:pt>
                <c:pt idx="1976">
                  <c:v>150</c:v>
                </c:pt>
                <c:pt idx="1977">
                  <c:v>29</c:v>
                </c:pt>
                <c:pt idx="1978">
                  <c:v>56</c:v>
                </c:pt>
                <c:pt idx="1979">
                  <c:v>50</c:v>
                </c:pt>
                <c:pt idx="1980">
                  <c:v>40</c:v>
                </c:pt>
                <c:pt idx="1983">
                  <c:v>21</c:v>
                </c:pt>
                <c:pt idx="1987">
                  <c:v>111</c:v>
                </c:pt>
                <c:pt idx="1988">
                  <c:v>65</c:v>
                </c:pt>
                <c:pt idx="1989">
                  <c:v>70</c:v>
                </c:pt>
                <c:pt idx="1990">
                  <c:v>25</c:v>
                </c:pt>
                <c:pt idx="1991">
                  <c:v>35</c:v>
                </c:pt>
                <c:pt idx="1992">
                  <c:v>100</c:v>
                </c:pt>
                <c:pt idx="1993">
                  <c:v>130</c:v>
                </c:pt>
                <c:pt idx="1999">
                  <c:v>15</c:v>
                </c:pt>
                <c:pt idx="2001">
                  <c:v>39</c:v>
                </c:pt>
                <c:pt idx="2002">
                  <c:v>130</c:v>
                </c:pt>
                <c:pt idx="2003">
                  <c:v>8</c:v>
                </c:pt>
                <c:pt idx="2004">
                  <c:v>270</c:v>
                </c:pt>
                <c:pt idx="2005">
                  <c:v>275</c:v>
                </c:pt>
                <c:pt idx="2006">
                  <c:v>337</c:v>
                </c:pt>
                <c:pt idx="2007">
                  <c:v>45</c:v>
                </c:pt>
                <c:pt idx="2008">
                  <c:v>200</c:v>
                </c:pt>
                <c:pt idx="2009">
                  <c:v>43</c:v>
                </c:pt>
                <c:pt idx="2011">
                  <c:v>56</c:v>
                </c:pt>
                <c:pt idx="2012">
                  <c:v>85</c:v>
                </c:pt>
                <c:pt idx="2013">
                  <c:v>63</c:v>
                </c:pt>
                <c:pt idx="2014">
                  <c:v>50</c:v>
                </c:pt>
                <c:pt idx="2015">
                  <c:v>300</c:v>
                </c:pt>
                <c:pt idx="2016">
                  <c:v>56</c:v>
                </c:pt>
                <c:pt idx="2017">
                  <c:v>870</c:v>
                </c:pt>
                <c:pt idx="2018">
                  <c:v>1750</c:v>
                </c:pt>
                <c:pt idx="2019">
                  <c:v>200</c:v>
                </c:pt>
                <c:pt idx="2020">
                  <c:v>209</c:v>
                </c:pt>
                <c:pt idx="2021">
                  <c:v>30</c:v>
                </c:pt>
                <c:pt idx="2022">
                  <c:v>159</c:v>
                </c:pt>
                <c:pt idx="2023">
                  <c:v>500</c:v>
                </c:pt>
                <c:pt idx="2024">
                  <c:v>150</c:v>
                </c:pt>
                <c:pt idx="2026">
                  <c:v>100</c:v>
                </c:pt>
                <c:pt idx="2027">
                  <c:v>10</c:v>
                </c:pt>
                <c:pt idx="2028">
                  <c:v>251</c:v>
                </c:pt>
                <c:pt idx="2029">
                  <c:v>125</c:v>
                </c:pt>
                <c:pt idx="2030">
                  <c:v>200</c:v>
                </c:pt>
                <c:pt idx="2031">
                  <c:v>100</c:v>
                </c:pt>
                <c:pt idx="2032">
                  <c:v>250</c:v>
                </c:pt>
                <c:pt idx="2033">
                  <c:v>300</c:v>
                </c:pt>
                <c:pt idx="2034">
                  <c:v>300</c:v>
                </c:pt>
                <c:pt idx="2036">
                  <c:v>35</c:v>
                </c:pt>
                <c:pt idx="2037">
                  <c:v>56</c:v>
                </c:pt>
                <c:pt idx="2038">
                  <c:v>55</c:v>
                </c:pt>
                <c:pt idx="2041">
                  <c:v>300</c:v>
                </c:pt>
                <c:pt idx="2042">
                  <c:v>1800</c:v>
                </c:pt>
                <c:pt idx="2044">
                  <c:v>95</c:v>
                </c:pt>
                <c:pt idx="2046">
                  <c:v>300</c:v>
                </c:pt>
                <c:pt idx="2047">
                  <c:v>150</c:v>
                </c:pt>
                <c:pt idx="2048">
                  <c:v>190</c:v>
                </c:pt>
                <c:pt idx="2049">
                  <c:v>40</c:v>
                </c:pt>
                <c:pt idx="2050">
                  <c:v>100</c:v>
                </c:pt>
                <c:pt idx="2051">
                  <c:v>370</c:v>
                </c:pt>
                <c:pt idx="2053">
                  <c:v>130</c:v>
                </c:pt>
                <c:pt idx="2054">
                  <c:v>50</c:v>
                </c:pt>
                <c:pt idx="2055">
                  <c:v>46</c:v>
                </c:pt>
                <c:pt idx="2056">
                  <c:v>26</c:v>
                </c:pt>
                <c:pt idx="2057">
                  <c:v>25</c:v>
                </c:pt>
                <c:pt idx="2058">
                  <c:v>90</c:v>
                </c:pt>
                <c:pt idx="2059">
                  <c:v>525</c:v>
                </c:pt>
                <c:pt idx="2061">
                  <c:v>60</c:v>
                </c:pt>
                <c:pt idx="2062">
                  <c:v>35</c:v>
                </c:pt>
                <c:pt idx="2063">
                  <c:v>450</c:v>
                </c:pt>
                <c:pt idx="2064">
                  <c:v>30</c:v>
                </c:pt>
                <c:pt idx="2065">
                  <c:v>45</c:v>
                </c:pt>
                <c:pt idx="2066">
                  <c:v>5</c:v>
                </c:pt>
                <c:pt idx="2069">
                  <c:v>20</c:v>
                </c:pt>
                <c:pt idx="2070">
                  <c:v>10</c:v>
                </c:pt>
                <c:pt idx="2071">
                  <c:v>180</c:v>
                </c:pt>
                <c:pt idx="2075">
                  <c:v>1600</c:v>
                </c:pt>
                <c:pt idx="2077">
                  <c:v>200</c:v>
                </c:pt>
                <c:pt idx="2078">
                  <c:v>63</c:v>
                </c:pt>
                <c:pt idx="2079">
                  <c:v>1000</c:v>
                </c:pt>
                <c:pt idx="2082">
                  <c:v>140</c:v>
                </c:pt>
                <c:pt idx="2083">
                  <c:v>18</c:v>
                </c:pt>
                <c:pt idx="2084">
                  <c:v>70</c:v>
                </c:pt>
                <c:pt idx="2086">
                  <c:v>100</c:v>
                </c:pt>
                <c:pt idx="2091">
                  <c:v>85</c:v>
                </c:pt>
                <c:pt idx="2092">
                  <c:v>75</c:v>
                </c:pt>
                <c:pt idx="2094">
                  <c:v>30</c:v>
                </c:pt>
                <c:pt idx="2095">
                  <c:v>80</c:v>
                </c:pt>
                <c:pt idx="2096">
                  <c:v>350</c:v>
                </c:pt>
                <c:pt idx="2097">
                  <c:v>87</c:v>
                </c:pt>
                <c:pt idx="2099">
                  <c:v>200</c:v>
                </c:pt>
                <c:pt idx="2102">
                  <c:v>17</c:v>
                </c:pt>
                <c:pt idx="2106">
                  <c:v>64</c:v>
                </c:pt>
                <c:pt idx="2107">
                  <c:v>73</c:v>
                </c:pt>
                <c:pt idx="2108">
                  <c:v>80</c:v>
                </c:pt>
                <c:pt idx="2111">
                  <c:v>44</c:v>
                </c:pt>
                <c:pt idx="2112">
                  <c:v>100</c:v>
                </c:pt>
                <c:pt idx="2113">
                  <c:v>300</c:v>
                </c:pt>
                <c:pt idx="2114">
                  <c:v>2000</c:v>
                </c:pt>
                <c:pt idx="2116">
                  <c:v>100</c:v>
                </c:pt>
                <c:pt idx="2117">
                  <c:v>400</c:v>
                </c:pt>
                <c:pt idx="2120">
                  <c:v>100</c:v>
                </c:pt>
                <c:pt idx="2121">
                  <c:v>520</c:v>
                </c:pt>
                <c:pt idx="2123">
                  <c:v>1300</c:v>
                </c:pt>
                <c:pt idx="2125">
                  <c:v>50</c:v>
                </c:pt>
                <c:pt idx="2126">
                  <c:v>100</c:v>
                </c:pt>
                <c:pt idx="2127">
                  <c:v>120</c:v>
                </c:pt>
                <c:pt idx="2128">
                  <c:v>177</c:v>
                </c:pt>
                <c:pt idx="2130">
                  <c:v>28</c:v>
                </c:pt>
                <c:pt idx="2131">
                  <c:v>200</c:v>
                </c:pt>
                <c:pt idx="2132">
                  <c:v>45</c:v>
                </c:pt>
                <c:pt idx="2135">
                  <c:v>150</c:v>
                </c:pt>
                <c:pt idx="2136">
                  <c:v>80</c:v>
                </c:pt>
                <c:pt idx="2137">
                  <c:v>80</c:v>
                </c:pt>
                <c:pt idx="2138">
                  <c:v>120</c:v>
                </c:pt>
              </c:numCache>
            </c:numRef>
          </c:yVal>
          <c:smooth val="0"/>
          <c:extLst>
            <c:ext xmlns:c16="http://schemas.microsoft.com/office/drawing/2014/chart" uri="{C3380CC4-5D6E-409C-BE32-E72D297353CC}">
              <c16:uniqueId val="{00000000-E1E9-465E-884B-8106E9BB2D0B}"/>
            </c:ext>
          </c:extLst>
        </c:ser>
        <c:dLbls>
          <c:showLegendKey val="0"/>
          <c:showVal val="0"/>
          <c:showCatName val="0"/>
          <c:showSerName val="0"/>
          <c:showPercent val="0"/>
          <c:showBubbleSize val="0"/>
        </c:dLbls>
        <c:axId val="813379071"/>
        <c:axId val="813370911"/>
      </c:scatterChart>
      <c:valAx>
        <c:axId val="813379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Funds_raised_millions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3370911"/>
        <c:crosses val="autoZero"/>
        <c:crossBetween val="midCat"/>
      </c:valAx>
      <c:valAx>
        <c:axId val="813370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Laid off</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33790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[Layoffs _2022_EDA_Dashboard.xlsx]Worst Months!PivotTable7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Worst Months for Layoffs</a:t>
            </a:r>
          </a:p>
        </c:rich>
      </c:tx>
      <c:layout>
        <c:manualLayout>
          <c:xMode val="edge"/>
          <c:yMode val="edge"/>
          <c:x val="0.3027689387796777"/>
          <c:y val="5.57237787541652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032455160070735"/>
          <c:y val="0.19865661609371996"/>
          <c:w val="0.6403024581144322"/>
          <c:h val="0.62116733883874276"/>
        </c:manualLayout>
      </c:layout>
      <c:bar3DChart>
        <c:barDir val="col"/>
        <c:grouping val="clustered"/>
        <c:varyColors val="0"/>
        <c:ser>
          <c:idx val="0"/>
          <c:order val="0"/>
          <c:tx>
            <c:strRef>
              <c:f>'Worst Months'!$B$2</c:f>
              <c:strCache>
                <c:ptCount val="1"/>
                <c:pt idx="0">
                  <c:v>Total</c:v>
                </c:pt>
              </c:strCache>
            </c:strRef>
          </c:tx>
          <c:spPr>
            <a:solidFill>
              <a:schemeClr val="accent1"/>
            </a:solidFill>
            <a:ln>
              <a:noFill/>
            </a:ln>
            <a:effectLst/>
            <a:sp3d/>
          </c:spPr>
          <c:invertIfNegative val="0"/>
          <c:cat>
            <c:strRef>
              <c:f>'Worst Months'!$A$3:$A$13</c:f>
              <c:strCache>
                <c:ptCount val="10"/>
                <c:pt idx="0">
                  <c:v>2023-01</c:v>
                </c:pt>
                <c:pt idx="1">
                  <c:v>2022-11</c:v>
                </c:pt>
                <c:pt idx="2">
                  <c:v>2023-02</c:v>
                </c:pt>
                <c:pt idx="3">
                  <c:v>2020-04</c:v>
                </c:pt>
                <c:pt idx="4">
                  <c:v>2020-05</c:v>
                </c:pt>
                <c:pt idx="5">
                  <c:v>2022-10</c:v>
                </c:pt>
                <c:pt idx="6">
                  <c:v>2022-06</c:v>
                </c:pt>
                <c:pt idx="7">
                  <c:v>2022-07</c:v>
                </c:pt>
                <c:pt idx="8">
                  <c:v>2022-08</c:v>
                </c:pt>
                <c:pt idx="9">
                  <c:v>2022-05</c:v>
                </c:pt>
              </c:strCache>
            </c:strRef>
          </c:cat>
          <c:val>
            <c:numRef>
              <c:f>'Worst Months'!$B$3:$B$13</c:f>
              <c:numCache>
                <c:formatCode>General</c:formatCode>
                <c:ptCount val="10"/>
                <c:pt idx="0">
                  <c:v>84714</c:v>
                </c:pt>
                <c:pt idx="1">
                  <c:v>53451</c:v>
                </c:pt>
                <c:pt idx="2">
                  <c:v>36493</c:v>
                </c:pt>
                <c:pt idx="3">
                  <c:v>26710</c:v>
                </c:pt>
                <c:pt idx="4">
                  <c:v>25804</c:v>
                </c:pt>
                <c:pt idx="5">
                  <c:v>17406</c:v>
                </c:pt>
                <c:pt idx="6">
                  <c:v>17394</c:v>
                </c:pt>
                <c:pt idx="7">
                  <c:v>16223</c:v>
                </c:pt>
                <c:pt idx="8">
                  <c:v>13055</c:v>
                </c:pt>
                <c:pt idx="9">
                  <c:v>12885</c:v>
                </c:pt>
              </c:numCache>
            </c:numRef>
          </c:val>
          <c:extLst>
            <c:ext xmlns:c16="http://schemas.microsoft.com/office/drawing/2014/chart" uri="{C3380CC4-5D6E-409C-BE32-E72D297353CC}">
              <c16:uniqueId val="{00000000-A11D-4C1A-8EC6-15255A1F0574}"/>
            </c:ext>
          </c:extLst>
        </c:ser>
        <c:dLbls>
          <c:showLegendKey val="0"/>
          <c:showVal val="0"/>
          <c:showCatName val="0"/>
          <c:showSerName val="0"/>
          <c:showPercent val="0"/>
          <c:showBubbleSize val="0"/>
        </c:dLbls>
        <c:gapWidth val="150"/>
        <c:shape val="box"/>
        <c:axId val="540540383"/>
        <c:axId val="540535103"/>
        <c:axId val="0"/>
      </c:bar3DChart>
      <c:catAx>
        <c:axId val="54054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35103"/>
        <c:crosses val="autoZero"/>
        <c:auto val="1"/>
        <c:lblAlgn val="ctr"/>
        <c:lblOffset val="100"/>
        <c:noMultiLvlLbl val="0"/>
      </c:catAx>
      <c:valAx>
        <c:axId val="54053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4054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6803</xdr:colOff>
      <xdr:row>0</xdr:row>
      <xdr:rowOff>47625</xdr:rowOff>
    </xdr:from>
    <xdr:to>
      <xdr:col>17</xdr:col>
      <xdr:colOff>204107</xdr:colOff>
      <xdr:row>3</xdr:row>
      <xdr:rowOff>136071</xdr:rowOff>
    </xdr:to>
    <xdr:sp macro="" textlink="">
      <xdr:nvSpPr>
        <xdr:cNvPr id="9" name="Rectangle: Rounded Corners 8">
          <a:extLst>
            <a:ext uri="{FF2B5EF4-FFF2-40B4-BE49-F238E27FC236}">
              <a16:creationId xmlns:a16="http://schemas.microsoft.com/office/drawing/2014/main" id="{76144286-55B9-C98C-8C42-16F28ED2E6D3}"/>
            </a:ext>
          </a:extLst>
        </xdr:cNvPr>
        <xdr:cNvSpPr/>
      </xdr:nvSpPr>
      <xdr:spPr>
        <a:xfrm>
          <a:off x="6803" y="47625"/>
          <a:ext cx="10606768" cy="65994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2800" b="1" i="0">
              <a:latin typeface="Arial" panose="020B0604020202020204" pitchFamily="34" charset="0"/>
              <a:cs typeface="Arial" panose="020B0604020202020204" pitchFamily="34" charset="0"/>
            </a:rPr>
            <a:t>LAYOFFS 2022 DASHBOARD (2020–2023)</a:t>
          </a:r>
          <a:endParaRPr lang="en-KE" sz="2800" b="1" i="0">
            <a:latin typeface="Arial" panose="020B0604020202020204" pitchFamily="34" charset="0"/>
            <a:cs typeface="Arial" panose="020B0604020202020204" pitchFamily="34" charset="0"/>
          </a:endParaRPr>
        </a:p>
      </xdr:txBody>
    </xdr:sp>
    <xdr:clientData/>
  </xdr:twoCellAnchor>
  <xdr:twoCellAnchor>
    <xdr:from>
      <xdr:col>0</xdr:col>
      <xdr:colOff>0</xdr:colOff>
      <xdr:row>4</xdr:row>
      <xdr:rowOff>0</xdr:rowOff>
    </xdr:from>
    <xdr:to>
      <xdr:col>2</xdr:col>
      <xdr:colOff>438150</xdr:colOff>
      <xdr:row>32</xdr:row>
      <xdr:rowOff>27213</xdr:rowOff>
    </xdr:to>
    <xdr:sp macro="" textlink="">
      <xdr:nvSpPr>
        <xdr:cNvPr id="10" name="Rectangle: Rounded Corners 9">
          <a:extLst>
            <a:ext uri="{FF2B5EF4-FFF2-40B4-BE49-F238E27FC236}">
              <a16:creationId xmlns:a16="http://schemas.microsoft.com/office/drawing/2014/main" id="{EDA8C137-C7CB-CD38-0DAF-172A047B2E01}"/>
            </a:ext>
          </a:extLst>
        </xdr:cNvPr>
        <xdr:cNvSpPr/>
      </xdr:nvSpPr>
      <xdr:spPr>
        <a:xfrm>
          <a:off x="0" y="762000"/>
          <a:ext cx="1662793" cy="53612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542925</xdr:colOff>
      <xdr:row>4</xdr:row>
      <xdr:rowOff>13607</xdr:rowOff>
    </xdr:from>
    <xdr:to>
      <xdr:col>9</xdr:col>
      <xdr:colOff>272143</xdr:colOff>
      <xdr:row>8</xdr:row>
      <xdr:rowOff>102053</xdr:rowOff>
    </xdr:to>
    <xdr:grpSp>
      <xdr:nvGrpSpPr>
        <xdr:cNvPr id="36" name="Group 35">
          <a:extLst>
            <a:ext uri="{FF2B5EF4-FFF2-40B4-BE49-F238E27FC236}">
              <a16:creationId xmlns:a16="http://schemas.microsoft.com/office/drawing/2014/main" id="{7EFAC971-C414-846B-6B95-0624CD50FF53}"/>
            </a:ext>
          </a:extLst>
        </xdr:cNvPr>
        <xdr:cNvGrpSpPr/>
      </xdr:nvGrpSpPr>
      <xdr:grpSpPr>
        <a:xfrm>
          <a:off x="1749425" y="775607"/>
          <a:ext cx="3951968" cy="850446"/>
          <a:chOff x="1740353" y="748393"/>
          <a:chExt cx="4015468" cy="850446"/>
        </a:xfrm>
      </xdr:grpSpPr>
      <xdr:sp macro="" textlink="">
        <xdr:nvSpPr>
          <xdr:cNvPr id="12" name="Rectangle: Rounded Corners 11">
            <a:extLst>
              <a:ext uri="{FF2B5EF4-FFF2-40B4-BE49-F238E27FC236}">
                <a16:creationId xmlns:a16="http://schemas.microsoft.com/office/drawing/2014/main" id="{A1213385-D3B3-405D-441C-1A68CC30E6FD}"/>
              </a:ext>
            </a:extLst>
          </xdr:cNvPr>
          <xdr:cNvSpPr/>
        </xdr:nvSpPr>
        <xdr:spPr>
          <a:xfrm>
            <a:off x="3641271" y="748393"/>
            <a:ext cx="2100943" cy="8245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grpSp>
        <xdr:nvGrpSpPr>
          <xdr:cNvPr id="35" name="Group 34">
            <a:extLst>
              <a:ext uri="{FF2B5EF4-FFF2-40B4-BE49-F238E27FC236}">
                <a16:creationId xmlns:a16="http://schemas.microsoft.com/office/drawing/2014/main" id="{43BB6C10-A878-662B-A622-64443E3486DD}"/>
              </a:ext>
            </a:extLst>
          </xdr:cNvPr>
          <xdr:cNvGrpSpPr/>
        </xdr:nvGrpSpPr>
        <xdr:grpSpPr>
          <a:xfrm>
            <a:off x="1740353" y="762000"/>
            <a:ext cx="1892753" cy="836839"/>
            <a:chOff x="1740353" y="762000"/>
            <a:chExt cx="1892753" cy="836839"/>
          </a:xfrm>
        </xdr:grpSpPr>
        <xdr:sp macro="" textlink="">
          <xdr:nvSpPr>
            <xdr:cNvPr id="11" name="Rectangle: Rounded Corners 10">
              <a:extLst>
                <a:ext uri="{FF2B5EF4-FFF2-40B4-BE49-F238E27FC236}">
                  <a16:creationId xmlns:a16="http://schemas.microsoft.com/office/drawing/2014/main" id="{23FFD6FE-25EA-9D20-C123-C57A345E7467}"/>
                </a:ext>
              </a:extLst>
            </xdr:cNvPr>
            <xdr:cNvSpPr/>
          </xdr:nvSpPr>
          <xdr:spPr>
            <a:xfrm>
              <a:off x="1740353" y="762000"/>
              <a:ext cx="1892753" cy="83683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30" name="TextBox 29">
              <a:extLst>
                <a:ext uri="{FF2B5EF4-FFF2-40B4-BE49-F238E27FC236}">
                  <a16:creationId xmlns:a16="http://schemas.microsoft.com/office/drawing/2014/main" id="{370091A5-A694-FAEE-9BCF-22461192EE32}"/>
                </a:ext>
              </a:extLst>
            </xdr:cNvPr>
            <xdr:cNvSpPr txBox="1"/>
          </xdr:nvSpPr>
          <xdr:spPr>
            <a:xfrm>
              <a:off x="1796142" y="775607"/>
              <a:ext cx="1809750" cy="340179"/>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panose="020B0604020202020204" pitchFamily="34" charset="0"/>
                  <a:cs typeface="Arial" panose="020B0604020202020204" pitchFamily="34" charset="0"/>
                </a:rPr>
                <a:t>Total</a:t>
              </a:r>
              <a:r>
                <a:rPr lang="en-US" sz="1600" b="1">
                  <a:latin typeface="Arial" panose="020B0604020202020204" pitchFamily="34" charset="0"/>
                  <a:cs typeface="Arial" panose="020B0604020202020204" pitchFamily="34" charset="0"/>
                </a:rPr>
                <a:t> </a:t>
              </a:r>
              <a:r>
                <a:rPr lang="en-US" sz="1400" b="1">
                  <a:latin typeface="Arial" panose="020B0604020202020204" pitchFamily="34" charset="0"/>
                  <a:cs typeface="Arial" panose="020B0604020202020204" pitchFamily="34" charset="0"/>
                </a:rPr>
                <a:t>Records</a:t>
              </a:r>
              <a:endParaRPr lang="en-KE" sz="1400" b="1">
                <a:latin typeface="Arial" panose="020B0604020202020204" pitchFamily="34" charset="0"/>
                <a:cs typeface="Arial" panose="020B0604020202020204" pitchFamily="34" charset="0"/>
              </a:endParaRPr>
            </a:p>
          </xdr:txBody>
        </xdr:sp>
      </xdr:grpSp>
      <xdr:sp macro="" textlink="">
        <xdr:nvSpPr>
          <xdr:cNvPr id="31" name="TextBox 30">
            <a:extLst>
              <a:ext uri="{FF2B5EF4-FFF2-40B4-BE49-F238E27FC236}">
                <a16:creationId xmlns:a16="http://schemas.microsoft.com/office/drawing/2014/main" id="{CF529D21-4E00-E5A4-69EF-700D0D785A9C}"/>
              </a:ext>
            </a:extLst>
          </xdr:cNvPr>
          <xdr:cNvSpPr txBox="1"/>
        </xdr:nvSpPr>
        <xdr:spPr>
          <a:xfrm>
            <a:off x="3673928" y="775606"/>
            <a:ext cx="2081893" cy="340179"/>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Arial" panose="020B0604020202020204" pitchFamily="34" charset="0"/>
                <a:ea typeface="+mn-ea"/>
                <a:cs typeface="Arial" panose="020B0604020202020204" pitchFamily="34" charset="0"/>
              </a:rPr>
              <a:t>Total People Laid Off</a:t>
            </a:r>
            <a:r>
              <a:rPr lang="en-US" sz="1400">
                <a:latin typeface="Arial" panose="020B0604020202020204" pitchFamily="34" charset="0"/>
                <a:cs typeface="Arial" panose="020B0604020202020204" pitchFamily="34" charset="0"/>
              </a:rPr>
              <a:t> </a:t>
            </a:r>
            <a:endParaRPr lang="en-KE" sz="1400">
              <a:latin typeface="Arial" panose="020B0604020202020204" pitchFamily="34" charset="0"/>
              <a:cs typeface="Arial" panose="020B0604020202020204" pitchFamily="34" charset="0"/>
            </a:endParaRPr>
          </a:p>
        </xdr:txBody>
      </xdr:sp>
    </xdr:grpSp>
    <xdr:clientData/>
  </xdr:twoCellAnchor>
  <xdr:twoCellAnchor>
    <xdr:from>
      <xdr:col>9</xdr:col>
      <xdr:colOff>299356</xdr:colOff>
      <xdr:row>3</xdr:row>
      <xdr:rowOff>163287</xdr:rowOff>
    </xdr:from>
    <xdr:to>
      <xdr:col>13</xdr:col>
      <xdr:colOff>27215</xdr:colOff>
      <xdr:row>8</xdr:row>
      <xdr:rowOff>95250</xdr:rowOff>
    </xdr:to>
    <xdr:grpSp>
      <xdr:nvGrpSpPr>
        <xdr:cNvPr id="37" name="Group 36">
          <a:extLst>
            <a:ext uri="{FF2B5EF4-FFF2-40B4-BE49-F238E27FC236}">
              <a16:creationId xmlns:a16="http://schemas.microsoft.com/office/drawing/2014/main" id="{EF266A52-7D6F-2F86-6B32-09AA8D3D4A7B}"/>
            </a:ext>
          </a:extLst>
        </xdr:cNvPr>
        <xdr:cNvGrpSpPr/>
      </xdr:nvGrpSpPr>
      <xdr:grpSpPr>
        <a:xfrm>
          <a:off x="5728606" y="734787"/>
          <a:ext cx="2140859" cy="884463"/>
          <a:chOff x="5864678" y="707572"/>
          <a:chExt cx="2177145" cy="884463"/>
        </a:xfrm>
      </xdr:grpSpPr>
      <xdr:sp macro="" textlink="">
        <xdr:nvSpPr>
          <xdr:cNvPr id="13" name="Rectangle: Rounded Corners 12">
            <a:extLst>
              <a:ext uri="{FF2B5EF4-FFF2-40B4-BE49-F238E27FC236}">
                <a16:creationId xmlns:a16="http://schemas.microsoft.com/office/drawing/2014/main" id="{33896E4F-740D-6AA3-A848-BCB39D733108}"/>
              </a:ext>
            </a:extLst>
          </xdr:cNvPr>
          <xdr:cNvSpPr/>
        </xdr:nvSpPr>
        <xdr:spPr>
          <a:xfrm>
            <a:off x="5864678" y="707572"/>
            <a:ext cx="2177142" cy="88446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KE" sz="1100"/>
          </a:p>
        </xdr:txBody>
      </xdr:sp>
      <xdr:sp macro="" textlink="">
        <xdr:nvSpPr>
          <xdr:cNvPr id="32" name="TextBox 31">
            <a:extLst>
              <a:ext uri="{FF2B5EF4-FFF2-40B4-BE49-F238E27FC236}">
                <a16:creationId xmlns:a16="http://schemas.microsoft.com/office/drawing/2014/main" id="{0AE4EC9C-C001-D2DD-6A1B-53F59DD5DEBE}"/>
              </a:ext>
            </a:extLst>
          </xdr:cNvPr>
          <xdr:cNvSpPr txBox="1"/>
        </xdr:nvSpPr>
        <xdr:spPr>
          <a:xfrm>
            <a:off x="5932715" y="734785"/>
            <a:ext cx="2109108" cy="285750"/>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rial" panose="020B0604020202020204" pitchFamily="34" charset="0"/>
                <a:cs typeface="Arial" panose="020B0604020202020204" pitchFamily="34" charset="0"/>
              </a:rPr>
              <a:t>Hardest-Hit Industry</a:t>
            </a:r>
            <a:endParaRPr lang="en-KE" sz="1400" b="1">
              <a:latin typeface="Arial" panose="020B0604020202020204" pitchFamily="34" charset="0"/>
              <a:cs typeface="Arial" panose="020B0604020202020204" pitchFamily="34" charset="0"/>
            </a:endParaRPr>
          </a:p>
        </xdr:txBody>
      </xdr:sp>
    </xdr:grpSp>
    <xdr:clientData/>
  </xdr:twoCellAnchor>
  <xdr:twoCellAnchor>
    <xdr:from>
      <xdr:col>13</xdr:col>
      <xdr:colOff>112227</xdr:colOff>
      <xdr:row>3</xdr:row>
      <xdr:rowOff>176892</xdr:rowOff>
    </xdr:from>
    <xdr:to>
      <xdr:col>17</xdr:col>
      <xdr:colOff>163286</xdr:colOff>
      <xdr:row>8</xdr:row>
      <xdr:rowOff>68035</xdr:rowOff>
    </xdr:to>
    <xdr:grpSp>
      <xdr:nvGrpSpPr>
        <xdr:cNvPr id="38" name="Group 37">
          <a:extLst>
            <a:ext uri="{FF2B5EF4-FFF2-40B4-BE49-F238E27FC236}">
              <a16:creationId xmlns:a16="http://schemas.microsoft.com/office/drawing/2014/main" id="{74CB6806-D61F-CA39-BC77-1B2272550B79}"/>
            </a:ext>
          </a:extLst>
        </xdr:cNvPr>
        <xdr:cNvGrpSpPr/>
      </xdr:nvGrpSpPr>
      <xdr:grpSpPr>
        <a:xfrm>
          <a:off x="7954477" y="748392"/>
          <a:ext cx="2464059" cy="843643"/>
          <a:chOff x="8120436" y="892628"/>
          <a:chExt cx="2051958" cy="735126"/>
        </a:xfrm>
      </xdr:grpSpPr>
      <xdr:sp macro="" textlink="">
        <xdr:nvSpPr>
          <xdr:cNvPr id="14" name="Rectangle: Rounded Corners 13">
            <a:extLst>
              <a:ext uri="{FF2B5EF4-FFF2-40B4-BE49-F238E27FC236}">
                <a16:creationId xmlns:a16="http://schemas.microsoft.com/office/drawing/2014/main" id="{D4E205B3-F76C-9393-4BBA-7B35FE11A0F4}"/>
              </a:ext>
            </a:extLst>
          </xdr:cNvPr>
          <xdr:cNvSpPr/>
        </xdr:nvSpPr>
        <xdr:spPr>
          <a:xfrm>
            <a:off x="8120436" y="892628"/>
            <a:ext cx="2051958" cy="73512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33" name="TextBox 32">
            <a:extLst>
              <a:ext uri="{FF2B5EF4-FFF2-40B4-BE49-F238E27FC236}">
                <a16:creationId xmlns:a16="http://schemas.microsoft.com/office/drawing/2014/main" id="{CDBC875B-6843-1D31-DC50-3646909F9DE3}"/>
              </a:ext>
            </a:extLst>
          </xdr:cNvPr>
          <xdr:cNvSpPr txBox="1"/>
        </xdr:nvSpPr>
        <xdr:spPr>
          <a:xfrm>
            <a:off x="8150677" y="925544"/>
            <a:ext cx="2021714" cy="296244"/>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dk1"/>
                </a:solidFill>
                <a:effectLst/>
                <a:latin typeface="Arial" panose="020B0604020202020204" pitchFamily="34" charset="0"/>
                <a:ea typeface="+mn-ea"/>
                <a:cs typeface="Arial" panose="020B0604020202020204" pitchFamily="34" charset="0"/>
              </a:rPr>
              <a:t>Top Company by Layoffs</a:t>
            </a:r>
            <a:r>
              <a:rPr lang="en-US" sz="1400" b="1">
                <a:latin typeface="Arial" panose="020B0604020202020204" pitchFamily="34" charset="0"/>
                <a:cs typeface="Arial" panose="020B0604020202020204" pitchFamily="34" charset="0"/>
              </a:rPr>
              <a:t> </a:t>
            </a:r>
            <a:endParaRPr lang="en-KE" sz="1400" b="1">
              <a:latin typeface="Arial" panose="020B0604020202020204" pitchFamily="34" charset="0"/>
              <a:cs typeface="Arial" panose="020B0604020202020204" pitchFamily="34" charset="0"/>
            </a:endParaRPr>
          </a:p>
        </xdr:txBody>
      </xdr:sp>
    </xdr:grpSp>
    <xdr:clientData/>
  </xdr:twoCellAnchor>
  <xdr:twoCellAnchor>
    <xdr:from>
      <xdr:col>0</xdr:col>
      <xdr:colOff>0</xdr:colOff>
      <xdr:row>4</xdr:row>
      <xdr:rowOff>19050</xdr:rowOff>
    </xdr:from>
    <xdr:to>
      <xdr:col>2</xdr:col>
      <xdr:colOff>409575</xdr:colOff>
      <xdr:row>7</xdr:row>
      <xdr:rowOff>0</xdr:rowOff>
    </xdr:to>
    <xdr:sp macro="" textlink="">
      <xdr:nvSpPr>
        <xdr:cNvPr id="39" name="Rectangle: Rounded Corners 38">
          <a:extLst>
            <a:ext uri="{FF2B5EF4-FFF2-40B4-BE49-F238E27FC236}">
              <a16:creationId xmlns:a16="http://schemas.microsoft.com/office/drawing/2014/main" id="{9EBC86E6-5DC9-550E-A605-E3B02E54BE58}"/>
            </a:ext>
          </a:extLst>
        </xdr:cNvPr>
        <xdr:cNvSpPr/>
      </xdr:nvSpPr>
      <xdr:spPr>
        <a:xfrm>
          <a:off x="0" y="781050"/>
          <a:ext cx="1628775" cy="552450"/>
        </a:xfrm>
        <a:prstGeom prst="roundRect">
          <a:avLst/>
        </a:prstGeom>
        <a:solidFill>
          <a:schemeClr val="accent4">
            <a:lumMod val="75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494936</xdr:colOff>
      <xdr:row>8</xdr:row>
      <xdr:rowOff>158304</xdr:rowOff>
    </xdr:from>
    <xdr:to>
      <xdr:col>9</xdr:col>
      <xdr:colOff>577321</xdr:colOff>
      <xdr:row>23</xdr:row>
      <xdr:rowOff>163286</xdr:rowOff>
    </xdr:to>
    <xdr:grpSp>
      <xdr:nvGrpSpPr>
        <xdr:cNvPr id="41" name="Group 40">
          <a:extLst>
            <a:ext uri="{FF2B5EF4-FFF2-40B4-BE49-F238E27FC236}">
              <a16:creationId xmlns:a16="http://schemas.microsoft.com/office/drawing/2014/main" id="{352A9682-EBE9-AA98-D510-93C89756C80B}"/>
            </a:ext>
          </a:extLst>
        </xdr:cNvPr>
        <xdr:cNvGrpSpPr/>
      </xdr:nvGrpSpPr>
      <xdr:grpSpPr>
        <a:xfrm>
          <a:off x="1701436" y="1682304"/>
          <a:ext cx="4305135" cy="2862482"/>
          <a:chOff x="1717221" y="1680481"/>
          <a:chExt cx="3817452" cy="2257425"/>
        </a:xfrm>
      </xdr:grpSpPr>
      <xdr:sp macro="" textlink="">
        <xdr:nvSpPr>
          <xdr:cNvPr id="15" name="Rectangle 14">
            <a:extLst>
              <a:ext uri="{FF2B5EF4-FFF2-40B4-BE49-F238E27FC236}">
                <a16:creationId xmlns:a16="http://schemas.microsoft.com/office/drawing/2014/main" id="{FB54105A-2021-FDC7-9226-822F97254BE1}"/>
              </a:ext>
            </a:extLst>
          </xdr:cNvPr>
          <xdr:cNvSpPr/>
        </xdr:nvSpPr>
        <xdr:spPr>
          <a:xfrm>
            <a:off x="1717221" y="1680481"/>
            <a:ext cx="3800476" cy="22574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19" name="Rectangle: Rounded Corners 18">
            <a:extLst>
              <a:ext uri="{FF2B5EF4-FFF2-40B4-BE49-F238E27FC236}">
                <a16:creationId xmlns:a16="http://schemas.microsoft.com/office/drawing/2014/main" id="{9D06BF97-1C56-9C17-E2DD-D52570FA3880}"/>
              </a:ext>
            </a:extLst>
          </xdr:cNvPr>
          <xdr:cNvSpPr/>
        </xdr:nvSpPr>
        <xdr:spPr>
          <a:xfrm>
            <a:off x="1724673" y="1716602"/>
            <a:ext cx="3810000" cy="311197"/>
          </a:xfrm>
          <a:prstGeom prst="roundRect">
            <a:avLst/>
          </a:prstGeom>
          <a:solidFill>
            <a:schemeClr val="accent1">
              <a:lumMod val="60000"/>
              <a:lumOff val="4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chemeClr val="bg1"/>
                </a:solidFill>
                <a:effectLst/>
                <a:latin typeface="+mn-lt"/>
                <a:ea typeface="+mn-ea"/>
                <a:cs typeface="+mn-cs"/>
              </a:rPr>
              <a:t>Total Layoffs by Year</a:t>
            </a:r>
            <a:endParaRPr lang="en-KE" sz="1600">
              <a:solidFill>
                <a:schemeClr val="bg1"/>
              </a:solidFill>
              <a:effectLst/>
            </a:endParaRPr>
          </a:p>
          <a:p>
            <a:pPr algn="l"/>
            <a:endParaRPr lang="en-KE" sz="1100"/>
          </a:p>
        </xdr:txBody>
      </xdr:sp>
      <xdr:graphicFrame macro="">
        <xdr:nvGraphicFramePr>
          <xdr:cNvPr id="40" name="Chart 39">
            <a:extLst>
              <a:ext uri="{FF2B5EF4-FFF2-40B4-BE49-F238E27FC236}">
                <a16:creationId xmlns:a16="http://schemas.microsoft.com/office/drawing/2014/main" id="{6D6A1887-7F24-4208-9C84-F04A0CB89F58}"/>
              </a:ext>
            </a:extLst>
          </xdr:cNvPr>
          <xdr:cNvGraphicFramePr>
            <a:graphicFrameLocks/>
          </xdr:cNvGraphicFramePr>
        </xdr:nvGraphicFramePr>
        <xdr:xfrm>
          <a:off x="1717221" y="2038530"/>
          <a:ext cx="3764804" cy="181229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585109</xdr:colOff>
      <xdr:row>9</xdr:row>
      <xdr:rowOff>23130</xdr:rowOff>
    </xdr:from>
    <xdr:to>
      <xdr:col>17</xdr:col>
      <xdr:colOff>136072</xdr:colOff>
      <xdr:row>24</xdr:row>
      <xdr:rowOff>108857</xdr:rowOff>
    </xdr:to>
    <xdr:grpSp>
      <xdr:nvGrpSpPr>
        <xdr:cNvPr id="43" name="Group 42">
          <a:extLst>
            <a:ext uri="{FF2B5EF4-FFF2-40B4-BE49-F238E27FC236}">
              <a16:creationId xmlns:a16="http://schemas.microsoft.com/office/drawing/2014/main" id="{1DB742E2-5979-0A93-A626-433A4D9A7150}"/>
            </a:ext>
          </a:extLst>
        </xdr:cNvPr>
        <xdr:cNvGrpSpPr/>
      </xdr:nvGrpSpPr>
      <xdr:grpSpPr>
        <a:xfrm>
          <a:off x="6014359" y="1737630"/>
          <a:ext cx="4376963" cy="2943227"/>
          <a:chOff x="6107925" y="1737630"/>
          <a:chExt cx="3896045" cy="2257425"/>
        </a:xfrm>
      </xdr:grpSpPr>
      <xdr:sp macro="" textlink="">
        <xdr:nvSpPr>
          <xdr:cNvPr id="20" name="Rectangle 19">
            <a:extLst>
              <a:ext uri="{FF2B5EF4-FFF2-40B4-BE49-F238E27FC236}">
                <a16:creationId xmlns:a16="http://schemas.microsoft.com/office/drawing/2014/main" id="{BD06D7CF-4213-AFFD-6315-2828F17E2977}"/>
              </a:ext>
            </a:extLst>
          </xdr:cNvPr>
          <xdr:cNvSpPr/>
        </xdr:nvSpPr>
        <xdr:spPr>
          <a:xfrm>
            <a:off x="6196693" y="1737630"/>
            <a:ext cx="3800476" cy="22574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23" name="Rectangle: Rounded Corners 22">
            <a:extLst>
              <a:ext uri="{FF2B5EF4-FFF2-40B4-BE49-F238E27FC236}">
                <a16:creationId xmlns:a16="http://schemas.microsoft.com/office/drawing/2014/main" id="{D93EC24E-21F4-5706-6769-F09C56C94B53}"/>
              </a:ext>
            </a:extLst>
          </xdr:cNvPr>
          <xdr:cNvSpPr/>
        </xdr:nvSpPr>
        <xdr:spPr>
          <a:xfrm>
            <a:off x="6193970" y="1758042"/>
            <a:ext cx="3810000" cy="306254"/>
          </a:xfrm>
          <a:prstGeom prst="roundRect">
            <a:avLst/>
          </a:prstGeom>
          <a:solidFill>
            <a:schemeClr val="accent1">
              <a:lumMod val="60000"/>
              <a:lumOff val="4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mn-lt"/>
                <a:ea typeface="+mn-ea"/>
                <a:cs typeface="+mn-cs"/>
              </a:rPr>
              <a:t>Top 10 Companies by Total Layoffs</a:t>
            </a:r>
            <a:endParaRPr lang="en-KE" sz="1400">
              <a:effectLst/>
            </a:endParaRPr>
          </a:p>
          <a:p>
            <a:pPr algn="l"/>
            <a:endParaRPr lang="en-KE" sz="1100"/>
          </a:p>
        </xdr:txBody>
      </xdr:sp>
      <xdr:graphicFrame macro="">
        <xdr:nvGraphicFramePr>
          <xdr:cNvPr id="42" name="Chart 41">
            <a:extLst>
              <a:ext uri="{FF2B5EF4-FFF2-40B4-BE49-F238E27FC236}">
                <a16:creationId xmlns:a16="http://schemas.microsoft.com/office/drawing/2014/main" id="{FF1C88A8-E7C0-480F-9D17-50AFD16F5E3C}"/>
              </a:ext>
            </a:extLst>
          </xdr:cNvPr>
          <xdr:cNvGraphicFramePr>
            <a:graphicFrameLocks/>
          </xdr:cNvGraphicFramePr>
        </xdr:nvGraphicFramePr>
        <xdr:xfrm>
          <a:off x="6107925" y="2074732"/>
          <a:ext cx="3848388" cy="187857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462643</xdr:colOff>
      <xdr:row>24</xdr:row>
      <xdr:rowOff>0</xdr:rowOff>
    </xdr:from>
    <xdr:to>
      <xdr:col>9</xdr:col>
      <xdr:colOff>573964</xdr:colOff>
      <xdr:row>40</xdr:row>
      <xdr:rowOff>51707</xdr:rowOff>
    </xdr:to>
    <xdr:grpSp>
      <xdr:nvGrpSpPr>
        <xdr:cNvPr id="45" name="Group 44">
          <a:extLst>
            <a:ext uri="{FF2B5EF4-FFF2-40B4-BE49-F238E27FC236}">
              <a16:creationId xmlns:a16="http://schemas.microsoft.com/office/drawing/2014/main" id="{90DEE7AD-B1E8-4975-31BE-4DECB3B1C60D}"/>
            </a:ext>
          </a:extLst>
        </xdr:cNvPr>
        <xdr:cNvGrpSpPr/>
      </xdr:nvGrpSpPr>
      <xdr:grpSpPr>
        <a:xfrm>
          <a:off x="1669143" y="4572000"/>
          <a:ext cx="4334071" cy="3099707"/>
          <a:chOff x="1687286" y="4572000"/>
          <a:chExt cx="4397607" cy="3099707"/>
        </a:xfrm>
      </xdr:grpSpPr>
      <xdr:sp macro="" textlink="">
        <xdr:nvSpPr>
          <xdr:cNvPr id="21" name="Rectangle 20">
            <a:extLst>
              <a:ext uri="{FF2B5EF4-FFF2-40B4-BE49-F238E27FC236}">
                <a16:creationId xmlns:a16="http://schemas.microsoft.com/office/drawing/2014/main" id="{8D811843-AFF1-195B-274B-03DD4CC17B17}"/>
              </a:ext>
            </a:extLst>
          </xdr:cNvPr>
          <xdr:cNvSpPr/>
        </xdr:nvSpPr>
        <xdr:spPr>
          <a:xfrm>
            <a:off x="1687286" y="4572000"/>
            <a:ext cx="4395107" cy="30997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24" name="Rectangle: Rounded Corners 23">
            <a:extLst>
              <a:ext uri="{FF2B5EF4-FFF2-40B4-BE49-F238E27FC236}">
                <a16:creationId xmlns:a16="http://schemas.microsoft.com/office/drawing/2014/main" id="{2441B2B5-5CEA-749B-C386-37ED11F09154}"/>
              </a:ext>
            </a:extLst>
          </xdr:cNvPr>
          <xdr:cNvSpPr/>
        </xdr:nvSpPr>
        <xdr:spPr>
          <a:xfrm>
            <a:off x="1708835" y="4577444"/>
            <a:ext cx="4376058" cy="429985"/>
          </a:xfrm>
          <a:prstGeom prst="roundRect">
            <a:avLst/>
          </a:prstGeom>
          <a:solidFill>
            <a:schemeClr val="accent1">
              <a:lumMod val="60000"/>
              <a:lumOff val="4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baseline="0">
                <a:solidFill>
                  <a:schemeClr val="bg1"/>
                </a:solidFill>
                <a:effectLst/>
                <a:latin typeface="+mn-lt"/>
                <a:ea typeface="+mn-ea"/>
                <a:cs typeface="+mn-cs"/>
              </a:rPr>
              <a:t>Worst Months for Layoffs</a:t>
            </a:r>
            <a:endParaRPr lang="en-KE" sz="1400">
              <a:solidFill>
                <a:schemeClr val="bg1"/>
              </a:solidFill>
              <a:effectLst/>
            </a:endParaRPr>
          </a:p>
          <a:p>
            <a:pPr algn="l"/>
            <a:endParaRPr lang="en-KE" sz="1100"/>
          </a:p>
        </xdr:txBody>
      </xdr:sp>
      <xdr:graphicFrame macro="">
        <xdr:nvGraphicFramePr>
          <xdr:cNvPr id="44" name="Chart 43">
            <a:extLst>
              <a:ext uri="{FF2B5EF4-FFF2-40B4-BE49-F238E27FC236}">
                <a16:creationId xmlns:a16="http://schemas.microsoft.com/office/drawing/2014/main" id="{D6136595-01CD-4802-A7D1-FEC4D718FFE1}"/>
              </a:ext>
            </a:extLst>
          </xdr:cNvPr>
          <xdr:cNvGraphicFramePr>
            <a:graphicFrameLocks/>
          </xdr:cNvGraphicFramePr>
        </xdr:nvGraphicFramePr>
        <xdr:xfrm>
          <a:off x="1700892" y="5021036"/>
          <a:ext cx="4367893" cy="263978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598714</xdr:colOff>
      <xdr:row>24</xdr:row>
      <xdr:rowOff>35380</xdr:rowOff>
    </xdr:from>
    <xdr:to>
      <xdr:col>17</xdr:col>
      <xdr:colOff>95250</xdr:colOff>
      <xdr:row>40</xdr:row>
      <xdr:rowOff>54429</xdr:rowOff>
    </xdr:to>
    <xdr:grpSp>
      <xdr:nvGrpSpPr>
        <xdr:cNvPr id="49" name="Group 48">
          <a:extLst>
            <a:ext uri="{FF2B5EF4-FFF2-40B4-BE49-F238E27FC236}">
              <a16:creationId xmlns:a16="http://schemas.microsoft.com/office/drawing/2014/main" id="{927FB18C-6607-F202-0D54-F08B0196E846}"/>
            </a:ext>
          </a:extLst>
        </xdr:cNvPr>
        <xdr:cNvGrpSpPr/>
      </xdr:nvGrpSpPr>
      <xdr:grpSpPr>
        <a:xfrm>
          <a:off x="6027964" y="4607380"/>
          <a:ext cx="4322536" cy="3067049"/>
          <a:chOff x="6109607" y="4607380"/>
          <a:chExt cx="4395107" cy="3067049"/>
        </a:xfrm>
      </xdr:grpSpPr>
      <xdr:grpSp>
        <xdr:nvGrpSpPr>
          <xdr:cNvPr id="47" name="Group 46">
            <a:extLst>
              <a:ext uri="{FF2B5EF4-FFF2-40B4-BE49-F238E27FC236}">
                <a16:creationId xmlns:a16="http://schemas.microsoft.com/office/drawing/2014/main" id="{0A7AB98F-0FF7-BBB6-2FDA-88264F972F9C}"/>
              </a:ext>
            </a:extLst>
          </xdr:cNvPr>
          <xdr:cNvGrpSpPr/>
        </xdr:nvGrpSpPr>
        <xdr:grpSpPr>
          <a:xfrm>
            <a:off x="6109607" y="4607380"/>
            <a:ext cx="4395107" cy="3067048"/>
            <a:chOff x="6109607" y="4607380"/>
            <a:chExt cx="4395107" cy="3067048"/>
          </a:xfrm>
        </xdr:grpSpPr>
        <xdr:sp macro="" textlink="">
          <xdr:nvSpPr>
            <xdr:cNvPr id="22" name="Rectangle 21">
              <a:extLst>
                <a:ext uri="{FF2B5EF4-FFF2-40B4-BE49-F238E27FC236}">
                  <a16:creationId xmlns:a16="http://schemas.microsoft.com/office/drawing/2014/main" id="{EFB01159-FE5D-D5E9-834F-6890B512954D}"/>
                </a:ext>
              </a:extLst>
            </xdr:cNvPr>
            <xdr:cNvSpPr/>
          </xdr:nvSpPr>
          <xdr:spPr>
            <a:xfrm>
              <a:off x="6109607" y="4612821"/>
              <a:ext cx="4395107" cy="30616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26" name="Rectangle: Rounded Corners 25">
              <a:extLst>
                <a:ext uri="{FF2B5EF4-FFF2-40B4-BE49-F238E27FC236}">
                  <a16:creationId xmlns:a16="http://schemas.microsoft.com/office/drawing/2014/main" id="{81005FCA-A9F8-7913-032A-738D9EA27D43}"/>
                </a:ext>
              </a:extLst>
            </xdr:cNvPr>
            <xdr:cNvSpPr/>
          </xdr:nvSpPr>
          <xdr:spPr>
            <a:xfrm>
              <a:off x="6117771" y="4607380"/>
              <a:ext cx="4373335" cy="386441"/>
            </a:xfrm>
            <a:prstGeom prst="roundRect">
              <a:avLst/>
            </a:prstGeom>
            <a:solidFill>
              <a:schemeClr val="accent1">
                <a:lumMod val="60000"/>
                <a:lumOff val="4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mn-lt"/>
                  <a:ea typeface="+mn-ea"/>
                  <a:cs typeface="+mn-cs"/>
                </a:rPr>
                <a:t>Total Layoffs by Industry</a:t>
              </a:r>
              <a:endParaRPr lang="en-KE" sz="1400" b="0">
                <a:effectLst/>
              </a:endParaRPr>
            </a:p>
            <a:p>
              <a:pPr algn="l"/>
              <a:endParaRPr lang="en-KE" sz="1100"/>
            </a:p>
          </xdr:txBody>
        </xdr:sp>
      </xdr:grpSp>
      <xdr:graphicFrame macro="">
        <xdr:nvGraphicFramePr>
          <xdr:cNvPr id="48" name="Chart 47">
            <a:extLst>
              <a:ext uri="{FF2B5EF4-FFF2-40B4-BE49-F238E27FC236}">
                <a16:creationId xmlns:a16="http://schemas.microsoft.com/office/drawing/2014/main" id="{85F4E5EF-E513-4B03-A35E-513FB2E5DE86}"/>
              </a:ext>
            </a:extLst>
          </xdr:cNvPr>
          <xdr:cNvGraphicFramePr>
            <a:graphicFrameLocks/>
          </xdr:cNvGraphicFramePr>
        </xdr:nvGraphicFramePr>
        <xdr:xfrm>
          <a:off x="6109607" y="4993821"/>
          <a:ext cx="4395107" cy="268060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571501</xdr:colOff>
      <xdr:row>6</xdr:row>
      <xdr:rowOff>27214</xdr:rowOff>
    </xdr:from>
    <xdr:to>
      <xdr:col>5</xdr:col>
      <xdr:colOff>503465</xdr:colOff>
      <xdr:row>8</xdr:row>
      <xdr:rowOff>54429</xdr:rowOff>
    </xdr:to>
    <xdr:sp macro="" textlink="">
      <xdr:nvSpPr>
        <xdr:cNvPr id="51" name="TextBox 50">
          <a:extLst>
            <a:ext uri="{FF2B5EF4-FFF2-40B4-BE49-F238E27FC236}">
              <a16:creationId xmlns:a16="http://schemas.microsoft.com/office/drawing/2014/main" id="{B9118E2C-2C2C-A8CD-33AD-CE99FF030AA2}"/>
            </a:ext>
          </a:extLst>
        </xdr:cNvPr>
        <xdr:cNvSpPr txBox="1"/>
      </xdr:nvSpPr>
      <xdr:spPr>
        <a:xfrm>
          <a:off x="1796144" y="1170214"/>
          <a:ext cx="1768928" cy="40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a:solidFill>
                <a:schemeClr val="accent1">
                  <a:lumMod val="50000"/>
                </a:schemeClr>
              </a:solidFill>
            </a:rPr>
            <a:t>2,356</a:t>
          </a:r>
          <a:endParaRPr lang="en-KE" sz="2400" b="1">
            <a:solidFill>
              <a:schemeClr val="accent1">
                <a:lumMod val="50000"/>
              </a:schemeClr>
            </a:solidFill>
          </a:endParaRPr>
        </a:p>
      </xdr:txBody>
    </xdr:sp>
    <xdr:clientData/>
  </xdr:twoCellAnchor>
  <xdr:twoCellAnchor>
    <xdr:from>
      <xdr:col>6</xdr:col>
      <xdr:colOff>54428</xdr:colOff>
      <xdr:row>6</xdr:row>
      <xdr:rowOff>27214</xdr:rowOff>
    </xdr:from>
    <xdr:to>
      <xdr:col>9</xdr:col>
      <xdr:colOff>163286</xdr:colOff>
      <xdr:row>8</xdr:row>
      <xdr:rowOff>54429</xdr:rowOff>
    </xdr:to>
    <xdr:sp macro="" textlink="">
      <xdr:nvSpPr>
        <xdr:cNvPr id="52" name="TextBox 51">
          <a:extLst>
            <a:ext uri="{FF2B5EF4-FFF2-40B4-BE49-F238E27FC236}">
              <a16:creationId xmlns:a16="http://schemas.microsoft.com/office/drawing/2014/main" id="{93C3888D-0A44-F92E-E4E2-FC80283A7C97}"/>
            </a:ext>
          </a:extLst>
        </xdr:cNvPr>
        <xdr:cNvSpPr txBox="1"/>
      </xdr:nvSpPr>
      <xdr:spPr>
        <a:xfrm>
          <a:off x="3728357" y="1170214"/>
          <a:ext cx="1945822" cy="40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2400" b="1">
              <a:solidFill>
                <a:schemeClr val="accent1">
                  <a:lumMod val="50000"/>
                </a:schemeClr>
              </a:solidFill>
            </a:rPr>
            <a:t>383,659</a:t>
          </a:r>
          <a:endParaRPr lang="en-KE" sz="2400" b="1">
            <a:solidFill>
              <a:schemeClr val="accent1">
                <a:lumMod val="50000"/>
              </a:schemeClr>
            </a:solidFill>
          </a:endParaRPr>
        </a:p>
      </xdr:txBody>
    </xdr:sp>
    <xdr:clientData/>
  </xdr:twoCellAnchor>
  <xdr:twoCellAnchor>
    <xdr:from>
      <xdr:col>9</xdr:col>
      <xdr:colOff>340178</xdr:colOff>
      <xdr:row>6</xdr:row>
      <xdr:rowOff>40821</xdr:rowOff>
    </xdr:from>
    <xdr:to>
      <xdr:col>13</xdr:col>
      <xdr:colOff>0</xdr:colOff>
      <xdr:row>8</xdr:row>
      <xdr:rowOff>68036</xdr:rowOff>
    </xdr:to>
    <xdr:sp macro="" textlink="">
      <xdr:nvSpPr>
        <xdr:cNvPr id="53" name="TextBox 52">
          <a:extLst>
            <a:ext uri="{FF2B5EF4-FFF2-40B4-BE49-F238E27FC236}">
              <a16:creationId xmlns:a16="http://schemas.microsoft.com/office/drawing/2014/main" id="{8A4B8CD0-8769-80E9-EF50-BCB13F264ED6}"/>
            </a:ext>
          </a:extLst>
        </xdr:cNvPr>
        <xdr:cNvSpPr txBox="1"/>
      </xdr:nvSpPr>
      <xdr:spPr>
        <a:xfrm>
          <a:off x="5851071" y="1183821"/>
          <a:ext cx="2109108" cy="40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Consumer</a:t>
          </a:r>
          <a:r>
            <a:rPr lang="en-US" sz="1600" b="1"/>
            <a:t>(</a:t>
          </a:r>
          <a:r>
            <a:rPr lang="en-US" sz="2000" b="1"/>
            <a:t>45,182)</a:t>
          </a:r>
          <a:endParaRPr lang="en-KE" sz="1600" b="1"/>
        </a:p>
      </xdr:txBody>
    </xdr:sp>
    <xdr:clientData/>
  </xdr:twoCellAnchor>
  <xdr:twoCellAnchor>
    <xdr:from>
      <xdr:col>13</xdr:col>
      <xdr:colOff>136071</xdr:colOff>
      <xdr:row>6</xdr:row>
      <xdr:rowOff>0</xdr:rowOff>
    </xdr:from>
    <xdr:to>
      <xdr:col>17</xdr:col>
      <xdr:colOff>149679</xdr:colOff>
      <xdr:row>8</xdr:row>
      <xdr:rowOff>40821</xdr:rowOff>
    </xdr:to>
    <xdr:sp macro="" textlink="">
      <xdr:nvSpPr>
        <xdr:cNvPr id="54" name="TextBox 53">
          <a:extLst>
            <a:ext uri="{FF2B5EF4-FFF2-40B4-BE49-F238E27FC236}">
              <a16:creationId xmlns:a16="http://schemas.microsoft.com/office/drawing/2014/main" id="{3A22CF2C-F09B-1A43-FE13-B6BC7F2DA924}"/>
            </a:ext>
          </a:extLst>
        </xdr:cNvPr>
        <xdr:cNvSpPr txBox="1"/>
      </xdr:nvSpPr>
      <xdr:spPr>
        <a:xfrm>
          <a:off x="8096250" y="1143000"/>
          <a:ext cx="2462893" cy="421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dk1"/>
              </a:solidFill>
              <a:effectLst/>
              <a:latin typeface="+mn-lt"/>
              <a:ea typeface="+mn-ea"/>
              <a:cs typeface="+mn-cs"/>
            </a:rPr>
            <a:t> Amazon </a:t>
          </a:r>
          <a:r>
            <a:rPr lang="en-US" sz="2400" b="1" i="0" u="none" strike="noStrike">
              <a:solidFill>
                <a:schemeClr val="dk1"/>
              </a:solidFill>
              <a:effectLst/>
              <a:latin typeface="+mn-lt"/>
              <a:ea typeface="+mn-ea"/>
              <a:cs typeface="+mn-cs"/>
            </a:rPr>
            <a:t>(18,150) </a:t>
          </a:r>
          <a:r>
            <a:rPr lang="en-US" sz="2400"/>
            <a:t> </a:t>
          </a:r>
          <a:endParaRPr lang="en-KE" sz="1100"/>
        </a:p>
      </xdr:txBody>
    </xdr:sp>
    <xdr:clientData/>
  </xdr:twoCellAnchor>
  <xdr:twoCellAnchor editAs="oneCell">
    <xdr:from>
      <xdr:col>0</xdr:col>
      <xdr:colOff>0</xdr:colOff>
      <xdr:row>22</xdr:row>
      <xdr:rowOff>95250</xdr:rowOff>
    </xdr:from>
    <xdr:to>
      <xdr:col>2</xdr:col>
      <xdr:colOff>419099</xdr:colOff>
      <xdr:row>32</xdr:row>
      <xdr:rowOff>19050</xdr:rowOff>
    </xdr:to>
    <mc:AlternateContent xmlns:mc="http://schemas.openxmlformats.org/markup-compatibility/2006">
      <mc:Choice xmlns:a14="http://schemas.microsoft.com/office/drawing/2010/main" Requires="a14">
        <xdr:graphicFrame macro="">
          <xdr:nvGraphicFramePr>
            <xdr:cNvPr id="55" name="stage">
              <a:extLst>
                <a:ext uri="{FF2B5EF4-FFF2-40B4-BE49-F238E27FC236}">
                  <a16:creationId xmlns:a16="http://schemas.microsoft.com/office/drawing/2014/main" id="{8F4B2FB9-A4A1-BE16-FB4C-91191F6E2E61}"/>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dr:sp macro="" textlink="">
          <xdr:nvSpPr>
            <xdr:cNvPr id="0" name=""/>
            <xdr:cNvSpPr>
              <a:spLocks noTextEdit="1"/>
            </xdr:cNvSpPr>
          </xdr:nvSpPr>
          <xdr:spPr>
            <a:xfrm>
              <a:off x="0" y="4286250"/>
              <a:ext cx="1625599" cy="18288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149679</xdr:rowOff>
    </xdr:from>
    <xdr:to>
      <xdr:col>2</xdr:col>
      <xdr:colOff>421821</xdr:colOff>
      <xdr:row>22</xdr:row>
      <xdr:rowOff>68036</xdr:rowOff>
    </xdr:to>
    <mc:AlternateContent xmlns:mc="http://schemas.openxmlformats.org/markup-compatibility/2006">
      <mc:Choice xmlns:a14="http://schemas.microsoft.com/office/drawing/2010/main" Requires="a14">
        <xdr:graphicFrame macro="">
          <xdr:nvGraphicFramePr>
            <xdr:cNvPr id="56" name="country">
              <a:extLst>
                <a:ext uri="{FF2B5EF4-FFF2-40B4-BE49-F238E27FC236}">
                  <a16:creationId xmlns:a16="http://schemas.microsoft.com/office/drawing/2014/main" id="{30F26CD1-DBF6-4788-B386-794E4E33AB0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816679"/>
              <a:ext cx="1628321" cy="144235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40821</xdr:rowOff>
    </xdr:from>
    <xdr:to>
      <xdr:col>2</xdr:col>
      <xdr:colOff>408214</xdr:colOff>
      <xdr:row>14</xdr:row>
      <xdr:rowOff>136071</xdr:rowOff>
    </xdr:to>
    <mc:AlternateContent xmlns:mc="http://schemas.openxmlformats.org/markup-compatibility/2006">
      <mc:Choice xmlns:a14="http://schemas.microsoft.com/office/drawing/2010/main" Requires="a14">
        <xdr:graphicFrame macro="">
          <xdr:nvGraphicFramePr>
            <xdr:cNvPr id="57" name="Years (date)">
              <a:extLst>
                <a:ext uri="{FF2B5EF4-FFF2-40B4-BE49-F238E27FC236}">
                  <a16:creationId xmlns:a16="http://schemas.microsoft.com/office/drawing/2014/main" id="{47FE2014-B5E6-BA3D-C761-71B4139E60B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0" y="1374321"/>
              <a:ext cx="1614714" cy="1428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4</xdr:row>
      <xdr:rowOff>152400</xdr:rowOff>
    </xdr:from>
    <xdr:to>
      <xdr:col>2</xdr:col>
      <xdr:colOff>266700</xdr:colOff>
      <xdr:row>6</xdr:row>
      <xdr:rowOff>142875</xdr:rowOff>
    </xdr:to>
    <xdr:sp macro="" textlink="">
      <xdr:nvSpPr>
        <xdr:cNvPr id="58" name="TextBox 57">
          <a:extLst>
            <a:ext uri="{FF2B5EF4-FFF2-40B4-BE49-F238E27FC236}">
              <a16:creationId xmlns:a16="http://schemas.microsoft.com/office/drawing/2014/main" id="{5C53BD9A-876C-BD4E-41D6-886035C62C01}"/>
            </a:ext>
          </a:extLst>
        </xdr:cNvPr>
        <xdr:cNvSpPr txBox="1"/>
      </xdr:nvSpPr>
      <xdr:spPr>
        <a:xfrm>
          <a:off x="76200" y="914400"/>
          <a:ext cx="1409700" cy="371475"/>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Filters</a:t>
          </a:r>
          <a:endParaRPr lang="en-KE"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14287</xdr:rowOff>
    </xdr:from>
    <xdr:to>
      <xdr:col>10</xdr:col>
      <xdr:colOff>304800</xdr:colOff>
      <xdr:row>16</xdr:row>
      <xdr:rowOff>90487</xdr:rowOff>
    </xdr:to>
    <xdr:graphicFrame macro="">
      <xdr:nvGraphicFramePr>
        <xdr:cNvPr id="2" name="Chart 1">
          <a:extLst>
            <a:ext uri="{FF2B5EF4-FFF2-40B4-BE49-F238E27FC236}">
              <a16:creationId xmlns:a16="http://schemas.microsoft.com/office/drawing/2014/main" id="{BB0A81DA-DF2C-F96F-BE22-1DDEE1FEE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1</xdr:row>
      <xdr:rowOff>0</xdr:rowOff>
    </xdr:from>
    <xdr:to>
      <xdr:col>10</xdr:col>
      <xdr:colOff>314325</xdr:colOff>
      <xdr:row>15</xdr:row>
      <xdr:rowOff>76200</xdr:rowOff>
    </xdr:to>
    <xdr:graphicFrame macro="">
      <xdr:nvGraphicFramePr>
        <xdr:cNvPr id="2" name="Chart 1">
          <a:extLst>
            <a:ext uri="{FF2B5EF4-FFF2-40B4-BE49-F238E27FC236}">
              <a16:creationId xmlns:a16="http://schemas.microsoft.com/office/drawing/2014/main" id="{052B1483-C040-E199-A1A9-1D7420BCF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552449</xdr:colOff>
      <xdr:row>1</xdr:row>
      <xdr:rowOff>1</xdr:rowOff>
    </xdr:from>
    <xdr:to>
      <xdr:col>10</xdr:col>
      <xdr:colOff>314324</xdr:colOff>
      <xdr:row>16</xdr:row>
      <xdr:rowOff>1</xdr:rowOff>
    </xdr:to>
    <xdr:graphicFrame macro="">
      <xdr:nvGraphicFramePr>
        <xdr:cNvPr id="2" name="Chart 1">
          <a:extLst>
            <a:ext uri="{FF2B5EF4-FFF2-40B4-BE49-F238E27FC236}">
              <a16:creationId xmlns:a16="http://schemas.microsoft.com/office/drawing/2014/main" id="{8E5C6AC2-7CC2-E266-F9D0-9020AD322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600075</xdr:colOff>
      <xdr:row>2</xdr:row>
      <xdr:rowOff>9525</xdr:rowOff>
    </xdr:from>
    <xdr:to>
      <xdr:col>10</xdr:col>
      <xdr:colOff>295275</xdr:colOff>
      <xdr:row>16</xdr:row>
      <xdr:rowOff>85725</xdr:rowOff>
    </xdr:to>
    <xdr:graphicFrame macro="">
      <xdr:nvGraphicFramePr>
        <xdr:cNvPr id="2" name="Chart 1">
          <a:extLst>
            <a:ext uri="{FF2B5EF4-FFF2-40B4-BE49-F238E27FC236}">
              <a16:creationId xmlns:a16="http://schemas.microsoft.com/office/drawing/2014/main" id="{B1ABF8EF-1F50-E88D-4C60-0D16DF23E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9523</xdr:colOff>
      <xdr:row>2</xdr:row>
      <xdr:rowOff>9524</xdr:rowOff>
    </xdr:from>
    <xdr:to>
      <xdr:col>14</xdr:col>
      <xdr:colOff>600074</xdr:colOff>
      <xdr:row>20</xdr:row>
      <xdr:rowOff>19050</xdr:rowOff>
    </xdr:to>
    <xdr:graphicFrame macro="">
      <xdr:nvGraphicFramePr>
        <xdr:cNvPr id="2" name="Chart 1">
          <a:extLst>
            <a:ext uri="{FF2B5EF4-FFF2-40B4-BE49-F238E27FC236}">
              <a16:creationId xmlns:a16="http://schemas.microsoft.com/office/drawing/2014/main" id="{9DDCF57B-A7D3-1452-C2D3-EB94ACDCF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3" name="Chart 2">
          <a:extLst>
            <a:ext uri="{FF2B5EF4-FFF2-40B4-BE49-F238E27FC236}">
              <a16:creationId xmlns:a16="http://schemas.microsoft.com/office/drawing/2014/main" id="{33BF912C-F8A0-4E0A-A4DE-AE1818446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66674</xdr:colOff>
      <xdr:row>1</xdr:row>
      <xdr:rowOff>95249</xdr:rowOff>
    </xdr:from>
    <xdr:to>
      <xdr:col>10</xdr:col>
      <xdr:colOff>571499</xdr:colOff>
      <xdr:row>13</xdr:row>
      <xdr:rowOff>38100</xdr:rowOff>
    </xdr:to>
    <xdr:graphicFrame macro="">
      <xdr:nvGraphicFramePr>
        <xdr:cNvPr id="2" name="Chart 1">
          <a:extLst>
            <a:ext uri="{FF2B5EF4-FFF2-40B4-BE49-F238E27FC236}">
              <a16:creationId xmlns:a16="http://schemas.microsoft.com/office/drawing/2014/main" id="{2BA0F20F-A655-C206-4871-A9CDF88B2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refreshedDate="46235.605451157404" createdVersion="8" refreshedVersion="8" minRefreshableVersion="3" recordCount="2355" xr:uid="{0D0FF75F-9042-4830-A600-D6810FC082F3}">
  <cacheSource type="worksheet">
    <worksheetSource name="LayoffsData"/>
  </cacheSource>
  <cacheFields count="11">
    <cacheField name="company" numFmtId="0">
      <sharedItems count="1885">
        <s v="E Inc."/>
        <s v="Included Health"/>
        <s v="&amp;Open"/>
        <s v="#Paid"/>
        <s v="100 Thieves"/>
        <s v="10X Genomics"/>
        <s v="1stdibs"/>
        <s v="2TM"/>
        <s v="2U"/>
        <s v="54gene"/>
        <s v="5B Solar"/>
        <s v="6sense"/>
        <s v="80 Acres Farms"/>
        <s v="8x8"/>
        <s v="98point6"/>
        <s v="99"/>
        <s v="Abra"/>
        <s v="Absci"/>
        <s v="Acast"/>
        <s v="Accolade"/>
        <s v="Acko"/>
        <s v="Acorns"/>
        <s v="Actifio"/>
        <s v="ActiveCampaign"/>
        <s v="Ada"/>
        <s v="Ada Health"/>
        <s v="Ada Support"/>
        <s v="Adaptive Biotechnologies"/>
        <s v="Adara"/>
        <s v="Addepar"/>
        <s v="Addi"/>
        <s v="Adobe"/>
        <s v="AdRoll"/>
        <s v="Advata"/>
        <s v="Adwerx"/>
        <s v="Affirm"/>
        <s v="Afterverse"/>
        <s v="Agoda"/>
        <s v="Ahead"/>
        <s v="Air"/>
        <s v="Airbnb"/>
        <s v="Airlift"/>
        <s v="AirMap"/>
        <s v="Airtable"/>
        <s v="Airtame"/>
        <s v="Airtasker"/>
        <s v="Airtime"/>
        <s v="Airy Rooms"/>
        <s v="Aiven"/>
        <s v="Ajaib"/>
        <s v="Akerna"/>
        <s v="Akili Labs"/>
        <s v="Akulaku"/>
        <s v="AlayaCare"/>
        <s v="Albert"/>
        <s v="Alegion"/>
        <s v="Alerzo"/>
        <s v="Alice"/>
        <s v="AliExpress Russia"/>
        <s v="Allbirds"/>
        <s v="AllyO"/>
        <s v="Almanac"/>
        <s v="Alto Pharmacy"/>
        <s v="Amazon"/>
        <s v="Amber Group"/>
        <s v="Ambev Tech"/>
        <s v="Amdocs"/>
        <s v="American Robotics"/>
        <s v="Amobee"/>
        <s v="Amount"/>
        <s v="Amperity"/>
        <s v="Amplero"/>
        <s v="Anagram"/>
        <s v="Andela"/>
        <s v="AngelList"/>
        <s v="Anodot"/>
        <s v="Antidote Health"/>
        <s v="Anyvision"/>
        <s v="Anywell"/>
        <s v="Apartment List"/>
        <s v="Apeel Sciences"/>
        <s v="Apollo"/>
        <s v="Apollo Insurance"/>
        <s v="App Annie"/>
        <s v="Appgate"/>
        <s v="AppLovin"/>
        <s v="ApplyBoard"/>
        <s v="Aqgromalin"/>
        <s v="Aqua Security"/>
        <s v="Arc"/>
        <s v="Arch Oncology"/>
        <s v="Arete"/>
        <s v="Argo AI"/>
        <s v="Argyle"/>
        <s v="Armis"/>
        <s v="Arrival"/>
        <s v="Arrive Logistics"/>
        <s v="Article"/>
        <s v="Articulate"/>
        <s v="Artnight"/>
        <s v="Asana"/>
        <s v="AskNicely"/>
        <s v="Aspire"/>
        <s v="Assure"/>
        <s v="Astra"/>
        <s v="Astronomer"/>
        <s v="Atlanta Tech Village"/>
        <s v="Atlas Obscura"/>
        <s v="Atlassian"/>
        <s v="AtoB"/>
        <s v="Atome"/>
        <s v="Atsu"/>
        <s v="Attentive"/>
        <s v="AU10TIX"/>
        <s v="Augury"/>
        <s v="Aura"/>
        <s v="Aura Financial"/>
        <s v="Autobooks"/>
        <s v="Autodesk"/>
        <s v="Autograph"/>
        <s v="Automatic"/>
        <s v="Automation Anywhere"/>
        <s v="Automox"/>
        <s v="Avalara"/>
        <s v="Avantage Entertainment"/>
        <s v="AvantStay"/>
        <s v="Avast"/>
        <s v="Avo"/>
        <s v="Aware"/>
        <s v="Away"/>
        <s v="Awok"/>
        <s v="Aya"/>
        <s v="B8ta"/>
        <s v="Babylon"/>
        <s v="Back Market"/>
        <s v="Bakkt"/>
        <s v="Bally's Interactive"/>
        <s v="Balto"/>
        <s v="Bamboo Health"/>
        <s v="Banxa"/>
        <s v="Baraja"/>
        <s v="Bark"/>
        <s v="Baton"/>
        <s v="Bcredi"/>
        <s v="Beam Benefits"/>
        <s v="Beamery"/>
        <s v="Beat"/>
        <s v="BeeTech"/>
        <s v="Bench"/>
        <s v="Benevity"/>
        <s v="Benitago Group"/>
        <s v="Berkeley Lights"/>
        <s v="Berlin Brands Group"/>
        <s v="Bestow"/>
        <s v="Better.com"/>
        <s v="BetterCloud"/>
        <s v="Betterfly"/>
        <s v="Betterment"/>
        <s v="Bevi"/>
        <s v="Beyond Meat"/>
        <s v="BeyondMinds"/>
        <s v="BharatAgri"/>
        <s v="Big Fish Games"/>
        <s v="BigBear.ai"/>
        <s v="BigCommerce"/>
        <s v="Bikayi"/>
        <s v="Bilibili"/>
        <s v="BioMarin"/>
        <s v="Bird"/>
        <s v="Bitfarms"/>
        <s v="Bitfront"/>
        <s v="BitGo"/>
        <s v="BitMEX"/>
        <s v="BitOasis"/>
        <s v="Bitpanda"/>
        <s v="Bitrise"/>
        <s v="BitSight"/>
        <s v="Bitso"/>
        <s v="BitTitan"/>
        <s v="BitTorrent"/>
        <s v="Bittrex"/>
        <s v="Bizongo"/>
        <s v="Bizpay"/>
        <s v="Bizzabo"/>
        <s v="Black Shark"/>
        <s v="BlackBuck"/>
        <s v="BlackLine"/>
        <s v="Bleacher Report"/>
        <s v="Blend"/>
        <s v="Blockchain.com"/>
        <s v="BlockFi"/>
        <s v="BloomTech"/>
        <s v="Blue Apron"/>
        <s v="Blueground"/>
        <s v="BlueStacks"/>
        <s v="Blume Global"/>
        <s v="Bluprint"/>
        <s v="BM Technologies"/>
        <s v="Bolt"/>
        <s v="Bond"/>
        <s v="Bonsai"/>
        <s v="Bonterra"/>
        <s v="BookClub"/>
        <s v="Booking.com"/>
        <s v="BookMyShow"/>
        <s v="Booksy"/>
        <s v="Booktopia"/>
        <s v="Boosted Commerce"/>
        <s v="Boozt"/>
        <s v="Borrowell"/>
        <s v="Bossa Nova"/>
        <s v="Bounce"/>
        <s v="BounceX"/>
        <s v="Brainbase"/>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X"/>
        <s v="Buy.com / Rakuten"/>
        <s v="Buzzer"/>
        <s v="BuzzFeed"/>
        <s v="BVAccel"/>
        <s v="Bybit"/>
        <s v="Byju's"/>
        <s v="Bytedance"/>
        <s v="Byton"/>
        <s v="C2FO"/>
        <s v="C6 Bank"/>
        <s v="Cabin"/>
        <s v="Cadre"/>
        <s v="Calibrate"/>
        <s v="Caliva"/>
        <s v="Callisto Media"/>
        <s v="Calm"/>
        <s v="Cameo"/>
        <s v="Camp K12"/>
        <s v="Candidate Labs"/>
        <s v="Candy Digital"/>
        <s v="Canoo"/>
        <s v="Capillary"/>
        <s v="Capital One"/>
        <s v="Capiter"/>
        <s v="Capitolis"/>
        <s v="Capsule"/>
        <s v="Captain Fresh"/>
        <s v="CaptivateIQ"/>
        <s v="Carbon"/>
        <s v="Carbon Health"/>
        <s v="CarDekho"/>
        <s v="Cardlytics"/>
        <s v="Care.com"/>
        <s v="Careem"/>
        <s v="Career Karma"/>
        <s v="CareerArc"/>
        <s v="CareRev"/>
        <s v="CarGurus"/>
        <s v="Caribou"/>
        <s v="Carousell"/>
        <s v="Cars24"/>
        <s v="Carsome"/>
        <s v="Cart.com"/>
        <s v="Carta"/>
        <s v="Carvana"/>
        <s v="Carwow"/>
        <s v="Casavo"/>
        <s v="Cashfree Payments"/>
        <s v="Casper"/>
        <s v="Castlight Health"/>
        <s v="Catalant"/>
        <s v="Catalyst"/>
        <s v="Catch.com.au"/>
        <s v="Cazoo"/>
        <s v="Cedar"/>
        <s v="Celsius"/>
        <s v="Century Therapeutics"/>
        <s v="Cerebral"/>
        <s v="Chainalysis"/>
        <s v="Change Invest"/>
        <s v="Change.org"/>
        <s v="Chargebee"/>
        <s v="Checkmarx"/>
        <s v="Checkout.com"/>
        <s v="Checkr"/>
        <s v="Cheddar"/>
        <s v="Cheetah"/>
        <s v="Chef"/>
        <s v="Chessable"/>
        <s v="Chili Piper"/>
        <s v="Chime"/>
        <s v="Chipax"/>
        <s v="Chipper Cash"/>
        <s v="Chope"/>
        <s v="ChowNow"/>
        <s v="Chrono24"/>
        <s v="CipherTrace"/>
        <s v="Circ"/>
        <s v="CircleCI"/>
        <s v="CircleUp"/>
        <s v="Circulo Health"/>
        <s v="Cisco"/>
        <s v="Citizen"/>
        <s v="Citrine Informatics"/>
        <s v="Citrix"/>
        <s v="CityMall"/>
        <s v="Claravine"/>
        <s v="Clari"/>
        <s v="Clarify Health"/>
        <s v="Classkick"/>
        <s v="ClassPass"/>
        <s v="Clear"/>
        <s v="Clear Capital"/>
        <s v="Clearbanc"/>
        <s v="Clearbit"/>
        <s v="Clearco"/>
        <s v="Clever Real Estate"/>
        <s v="CleverTap"/>
        <s v="ClickUp"/>
        <s v="Clinc"/>
        <s v="Cloudera"/>
        <s v="CloudFactory"/>
        <s v="Cloudinary"/>
        <s v="CloudKitchens"/>
        <s v="Clubhouse"/>
        <s v="Clue"/>
        <s v="Clumio"/>
        <s v="Clutch"/>
        <s v="Clutter"/>
        <s v="Clyde"/>
        <s v="CNET"/>
        <s v="CoachHub"/>
        <s v="Coda"/>
        <s v="Code42"/>
        <s v="CodeCombat"/>
        <s v="Codexis"/>
        <s v="Coding Dojo"/>
        <s v="Cogito"/>
        <s v="Cognyte"/>
        <s v="Cohesity"/>
        <s v="Coinbase"/>
        <s v="CoinDCX"/>
        <s v="CoinFLEX"/>
        <s v="CoinJar"/>
        <s v="Coinsquare"/>
        <s v="CoinTracker"/>
        <s v="Collective Health"/>
        <s v="Collibra"/>
        <s v="Color Health"/>
        <s v="Colossus"/>
        <s v="CommentSold"/>
        <s v="CommerceHub"/>
        <s v="CommonBond"/>
        <s v="Community"/>
        <s v="Compass"/>
        <s v="Compete"/>
        <s v="Confluent"/>
        <s v="Conga"/>
        <s v="Connected"/>
        <s v="ConsenSys"/>
        <s v="Consider.co"/>
        <s v="ContaAzul"/>
        <s v="ContraFect"/>
        <s v="Convene"/>
        <s v="Convoy"/>
        <s v="Copper"/>
        <s v="Core Scientific"/>
        <s v="Corvus Insurance"/>
        <s v="CoSchedule"/>
        <s v="Cosuno"/>
        <s v="Coterie Insurance"/>
        <s v="Coursera"/>
        <s v="Crayon"/>
        <s v="CreateMe"/>
        <s v="Credit Sesame"/>
        <s v="Creditas"/>
        <s v="Crehana"/>
        <s v="Crejo.Fun"/>
        <s v="Criteo"/>
        <s v="CrowdRiff"/>
        <s v="CrowdStreet"/>
        <s v="Cruise"/>
        <s v="Crunchyroll"/>
        <s v="Crypto.com"/>
        <s v="CS Disco"/>
        <s v="CTO.ai"/>
        <s v="Cue"/>
        <s v="Culture Amp"/>
        <s v="Culture Trip"/>
        <s v="Curative"/>
        <s v="Curefit"/>
        <s v="Curology"/>
        <s v="Currency"/>
        <s v="Curve"/>
        <s v="Cuyana"/>
        <s v="Cvent"/>
        <s v="CyberCube"/>
        <s v="Cybereason"/>
        <s v="CyCognito"/>
        <s v="Cypress.io"/>
        <s v="Cyren"/>
        <s v="Cyteir Therapeutics"/>
        <s v="D2iQ"/>
        <s v="D2L"/>
        <s v="Daily Harvest"/>
        <s v="DailyPay"/>
        <s v="Daloopa"/>
        <s v="Dance"/>
        <s v="Daniel Wellington"/>
        <s v="Dapper Labs"/>
        <s v="Daraz"/>
        <s v="Dark"/>
        <s v="DataRails"/>
        <s v="DataRobot"/>
        <s v="DataStax"/>
        <s v="Datera"/>
        <s v="Datto"/>
        <s v="DayTwo"/>
        <s v="Dazn"/>
        <s v="DealShare"/>
        <s v="Decent"/>
        <s v="Deep Instinct"/>
        <s v="Defined.ai"/>
        <s v="Definitive Healthcare"/>
        <s v="Degreed"/>
        <s v="DeHaat"/>
        <s v="Deliv"/>
        <s v="Deliveroo"/>
        <s v="Deliveroo Australia"/>
        <s v="Delivery Hero"/>
        <s v="Dell"/>
        <s v="Demandbase"/>
        <s v="Deputy"/>
        <s v="Descartes Labs"/>
        <s v="Desktop Metal"/>
        <s v="Devo"/>
        <s v="DialSource"/>
        <s v="Digimarc"/>
        <s v="Digital Currency Gruop"/>
        <s v="Digital Surge"/>
        <s v="DigitalOcean"/>
        <s v="DISCO"/>
        <s v="Dispatch"/>
        <s v="Divergent 3D"/>
        <s v="Divvy"/>
        <s v="Divvy Homes"/>
        <s v="divvyDOSE"/>
        <s v="DJI"/>
        <s v="Dock"/>
        <s v="Docly"/>
        <s v="DocuSign"/>
        <s v="Doma"/>
        <s v="Domestika"/>
        <s v="Domino Data Lab"/>
        <s v="Domio"/>
        <s v="Domo"/>
        <s v="Dooly"/>
        <s v="DoorDash"/>
        <s v="Dotscience"/>
        <s v="Dover"/>
        <s v="DraftKings"/>
        <s v="DreamBox Learning"/>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emy"/>
        <s v="Elinvar"/>
        <s v="Elliptic"/>
        <s v="Embark"/>
        <s v="Embark Trucks"/>
        <s v="Embroker"/>
        <s v="Emitwise"/>
        <s v="Emotive"/>
        <s v="EMX Digital"/>
        <s v="Engine eCommerce"/>
        <s v="Enjoei"/>
        <s v="Enjoy"/>
        <s v="Envato"/>
        <s v="Envoy"/>
        <s v="Equitybee"/>
        <s v="EquityZen"/>
        <s v="Ericsson"/>
        <s v="Ermetic"/>
        <s v="Eruditus"/>
        <s v="Esme Learning"/>
        <s v="Esper"/>
        <s v="Etermax"/>
        <s v="Ethos Life"/>
        <s v="eToro"/>
        <s v="Eucalyptus"/>
        <s v="Eventbrite"/>
        <s v="EverBridge"/>
        <s v="Everlane"/>
        <s v="Evernote"/>
        <s v="EVgo"/>
        <s v="Exodus"/>
        <s v="Exotel"/>
        <s v="Expert360"/>
        <s v="Exterro"/>
        <s v="ExtraHop"/>
        <s v="ezCater"/>
        <s v="F5"/>
        <s v="FabHotels"/>
        <s v="Fabric"/>
        <s v="Facily"/>
        <s v="Faire"/>
        <s v="Fandom"/>
        <s v="Fareportal"/>
        <s v="FarEye"/>
        <s v="Fast"/>
        <s v="Fate Therapeutics"/>
        <s v="Favo"/>
        <s v="Faze Medicines"/>
        <s v="Feather"/>
        <s v="Feedzai"/>
        <s v="Fifth Season"/>
        <s v="Filevine"/>
        <s v="Finastra"/>
        <s v="Finder"/>
        <s v="Finite State"/>
        <s v="Finleap Connect"/>
        <s v="Fipola"/>
        <s v="Fireblocks"/>
        <s v="Firebolt"/>
        <s v="FireHydrant"/>
        <s v="Firework"/>
        <s v="First AML"/>
        <s v="FiscalNote"/>
        <s v="Fishbrain"/>
        <s v="Fittr"/>
        <s v="Fiverr"/>
        <s v="Fivetran"/>
        <s v="Flash Coffee"/>
        <s v="Flatiron School"/>
        <s v="Flexport"/>
        <s v="Flipboard"/>
        <s v="Flipkart"/>
        <s v="Flockjay"/>
        <s v="FloQast"/>
        <s v="Flowhub"/>
        <s v="Flowr"/>
        <s v="Fluke"/>
        <s v="Flux Systems"/>
        <s v="Flyhomes"/>
        <s v="Flymya"/>
        <s v="Flynote"/>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
        <s v="Frontdesk"/>
        <s v="FrontRow"/>
        <s v="Frubana"/>
        <s v="FuboTV"/>
        <s v="FullStory"/>
        <s v="Fundbox"/>
        <s v="Funding Circle"/>
        <s v="Funding Societies"/>
        <s v="Fungible"/>
        <s v="Furlenco"/>
        <s v="FutureLearn"/>
        <s v="G/O Media Group"/>
        <s v="G2"/>
        <s v="Gather"/>
        <s v="Gatherly"/>
        <s v="Gavelytics"/>
        <s v="Geekwire"/>
        <s v="Gem"/>
        <s v="Gemini"/>
        <s v="Genesis"/>
        <s v="Genius"/>
        <s v="Genome Medical"/>
        <s v="Getaround"/>
        <s v="Getir"/>
        <s v="GetNinjas"/>
        <s v="Getta"/>
        <s v="GetYourGuide"/>
        <s v="GitHub"/>
        <s v="GitLab"/>
        <s v="Gitpod"/>
        <s v="Give Legacy"/>
        <s v="Glassdoor"/>
        <s v="Glints"/>
        <s v="Glitch"/>
        <s v="GloriFi"/>
        <s v="Glossier"/>
        <s v="Glovo"/>
        <s v="GOAT Group"/>
        <s v="GoBear"/>
        <s v="GoBolt"/>
        <s v="GoCanvas"/>
        <s v="GoCardless"/>
        <s v="GoDaddy"/>
        <s v="GoFundMe"/>
        <s v="GoHealth"/>
        <s v="Gojek"/>
        <s v="Gokada"/>
        <s v="GoMechanic"/>
        <s v="Gong"/>
        <s v="GoNuts"/>
        <s v="Goodfood"/>
        <s v="GoodGood"/>
        <s v="GoodRx"/>
        <s v="Google"/>
        <s v="GoPro"/>
        <s v="Gopuff"/>
        <s v="Gorillas"/>
        <s v="GoSpotCheck"/>
        <s v="GoStudent"/>
        <s v="GoTo Group"/>
        <s v="Grab"/>
        <s v="Grailed"/>
        <s v="Gramophone"/>
        <s v="Graphcore"/>
        <s v="GrayMeta"/>
        <s v="Green Labs"/>
        <s v="Greenhouse Software"/>
        <s v="Greenlight"/>
        <s v="Grin"/>
        <s v="Group Nine Media"/>
        <s v="Groupon"/>
        <s v="Grove Collaborative"/>
        <s v="Grover"/>
        <s v="GSR"/>
        <s v="Guardant Health"/>
        <s v="Guidewire"/>
        <s v="GumGum"/>
        <s v="Gusto"/>
        <s v="Gympass"/>
        <s v="HackerEarth"/>
        <s v="Halcyon Health"/>
        <s v="Handshake"/>
        <s v="Happy Money"/>
        <s v="Harappa"/>
        <s v="Hash"/>
        <s v="HashiCorp"/>
        <s v="Haus"/>
        <s v="Havenly"/>
        <s v="Headspace"/>
        <s v="Health IQ"/>
        <s v="Healthcare.com"/>
        <s v="HealthifyMe"/>
        <s v="HealthMatch"/>
        <s v="Hedvig"/>
        <s v="HelloFresh"/>
        <s v="Help Scout"/>
        <s v="Help.com"/>
        <s v="Her Campus Media"/>
        <s v="Heroes"/>
        <s v="Heycar"/>
        <s v="Hibob"/>
        <s v="HighRadius"/>
        <s v="Highsnobiety"/>
        <s v="Highspot"/>
        <s v="Hipcamp"/>
        <s v="Hippo Insurance"/>
        <s v="Hirect"/>
        <s v="Hired"/>
        <s v="Hireology"/>
        <s v="Hodlnaut"/>
        <s v="Hologram"/>
        <s v="Homebot"/>
        <s v="Homebound"/>
        <s v="HomeLight"/>
        <s v="Homepoint"/>
        <s v="Homeward"/>
        <s v="Homie"/>
        <s v="HOOQ"/>
        <s v="Hootsuite"/>
        <s v="Hopin"/>
        <s v="Hopper"/>
        <s v="HopSkipDrive"/>
        <s v="Horizn Studios"/>
        <s v="Hotmart"/>
        <s v="Houzz"/>
        <s v="Hoxhunt"/>
        <s v="HP"/>
        <s v="Huawei"/>
        <s v="Hubba"/>
        <s v="HubHaus"/>
        <s v="Hubilo"/>
        <s v="HubSpot"/>
        <s v="HuffPo"/>
        <s v="HumanForest"/>
        <s v="Humble"/>
        <s v="Humu"/>
        <s v="Hunty"/>
        <s v="Huobi"/>
        <s v="Hydrow"/>
        <s v="Hyperscience"/>
        <s v="IAM Robotics"/>
        <s v="IBM"/>
        <s v="Ibotta"/>
        <s v="Icertis"/>
        <s v="Icon"/>
        <s v="ID.me"/>
        <s v="Ideoclick"/>
        <s v="iFit"/>
        <s v="Iflix"/>
        <s v="iFood"/>
        <s v="Igenous"/>
        <s v="Ignite"/>
        <s v="Ignition"/>
        <s v="Ike"/>
        <s v="Illumina"/>
        <s v="Immersive Labs"/>
        <s v="Immutable"/>
        <s v="Impact.com"/>
        <s v="Impala"/>
        <s v="Imperfect Foods"/>
        <s v="Impossible Foods"/>
        <s v="Impossible Foods copy"/>
        <s v="Improbable"/>
        <s v="Incredible Health"/>
        <s v="InDebted"/>
        <s v="Indigo"/>
        <s v="Industrious"/>
        <s v="Infarm"/>
        <s v="Influitive"/>
        <s v="InfluxData"/>
        <s v="Infogrid"/>
        <s v="Informatica"/>
        <s v="InfoSum"/>
        <s v="Inmobi"/>
        <s v="Innovaccer"/>
        <s v="Innovid"/>
        <s v="Inscripta"/>
        <s v="Inspectify"/>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 v="Juniper Square"/>
        <s v="Just Eat Takeaway"/>
        <s v="Juul"/>
        <s v="Kabam"/>
        <s v="Kaltura"/>
        <s v="Kandela"/>
        <s v="Kandji"/>
        <s v="Kaodim"/>
        <s v="Kapten / Free Now"/>
        <s v="Karat"/>
        <s v="Karbon"/>
        <s v="Katerra"/>
        <s v="Kavak"/>
        <s v="Kayak / OpenTable"/>
        <s v="Kazoo"/>
        <s v="Keepe"/>
        <s v="KeepTruckin"/>
        <s v="Kenoby"/>
        <s v="Khoros"/>
        <s v="Kiavi"/>
        <s v="Kickstarter"/>
        <s v="Kinde"/>
        <s v="Kite"/>
        <s v="Kitopi"/>
        <s v="Kitty Hawk"/>
        <s v="KiwiCo"/>
        <s v="Klarna"/>
        <s v="Klook"/>
        <s v="Knock"/>
        <s v="Knotel"/>
        <s v="Kodiak Robotics"/>
        <s v="Kogan"/>
        <s v="Koho"/>
        <s v="Koinly"/>
        <s v="KoinWorks"/>
        <s v="Komodo Health"/>
        <s v="Konfio"/>
        <s v="Kongregate"/>
        <s v="Kontist"/>
        <s v="Koo"/>
        <s v="Kraken"/>
        <s v="Kry"/>
        <s v="Kuda"/>
        <s v="Kueski"/>
        <s v="Kune"/>
        <s v="kununu"/>
        <s v="Kyruus"/>
        <s v="Labelbox"/>
        <s v="Labster"/>
        <s v="Lacework"/>
        <s v="Ladder Life"/>
        <s v="Lam Research"/>
        <s v="Lambda School"/>
        <s v="Landing"/>
        <s v="Lantern"/>
        <s v="Lastline"/>
        <s v="Latch"/>
        <s v="Lattice"/>
        <s v="Lawgeex"/>
        <s v="Laybuy"/>
        <s v="Lazerpay"/>
        <s v="Le Tote"/>
        <s v="LEAD"/>
        <s v="LeafLink"/>
        <s v="Leafly"/>
        <s v="League"/>
        <s v="LearnUpon"/>
        <s v="Ledn"/>
        <s v="Legible"/>
        <s v="Lemon"/>
        <s v="Lemonade"/>
        <s v="Lendi"/>
        <s v="Lending Club"/>
        <s v="Lendingkart"/>
        <s v="LendingTree"/>
        <s v="Lendis"/>
        <s v="Lenovo"/>
        <s v="LetsGetChecked"/>
        <s v="Lev"/>
        <s v="Levelset"/>
        <s v="Lever"/>
        <s v="Lido"/>
        <s v="Lido Learning"/>
        <s v="Life360"/>
        <s v="Liftoff"/>
        <s v="Lighter Capital"/>
        <s v="Lighthouse Labs"/>
        <s v="Lightico"/>
        <s v="Lightricks"/>
        <s v="Lightspeed Commerce"/>
        <s v="Lime"/>
        <s v="Limeade"/>
        <s v="Limelight"/>
        <s v="LinkedIn"/>
        <s v="Linkfire"/>
        <s v="Linktree"/>
        <s v="Liongard"/>
        <s v="Lithic"/>
        <s v="Liv Up"/>
        <s v="LivePerson"/>
        <s v="LiveRamp"/>
        <s v="LiveTiles"/>
        <s v="LiveVox"/>
        <s v="Livspace"/>
        <s v="Locomation"/>
        <s v="Loft"/>
        <s v="Loftium"/>
        <s v="Loftsmart"/>
        <s v="Loggi"/>
        <s v="Loja Integrada"/>
        <s v="Lokalise"/>
        <s v="Lola"/>
        <s v="Loom"/>
        <s v="Loop"/>
        <s v="Loopio"/>
        <s v="LoopMe"/>
        <s v="Lora DiCarlo"/>
        <s v="Lucid Diagnostics"/>
        <s v="Lucira Health"/>
        <s v="LumenAd"/>
        <s v="Lumina Networks"/>
        <s v="Lummo"/>
        <s v="Lunchbox"/>
        <s v="Luno"/>
        <s v="Lusha"/>
        <s v="Luxury Presence"/>
        <s v="Lyft"/>
        <s v="Lyric"/>
        <s v="Lyst"/>
        <s v="Lytics"/>
        <s v="M1"/>
        <s v="Made.com"/>
        <s v="Madefire"/>
        <s v="MadeiraMadeira"/>
        <s v="Magic Eden"/>
        <s v="Magic Leap"/>
        <s v="Magicbricks"/>
        <s v="Magnite"/>
        <s v="Mainstreet"/>
        <s v="Make School"/>
        <s v="MakeMyTrip"/>
        <s v="MakerBot"/>
        <s v="Malwarebytes"/>
        <s v="Mapbox"/>
        <s v="Mapify"/>
        <s v="MariaDB"/>
        <s v="Mark43"/>
        <s v="Marketforce"/>
        <s v="Masse"/>
        <s v="MasterClass"/>
        <s v="Match Group"/>
        <s v="Matrixport"/>
        <s v="Matterport"/>
        <s v="Maven"/>
        <s v="Mavenir"/>
        <s v="MaxMilhas"/>
        <s v="McMakler"/>
        <s v="Me Poupe"/>
        <s v="Medallia"/>
        <s v="MediaMath"/>
        <s v="MediBuddy"/>
        <s v="Medium"/>
        <s v="Medly"/>
        <s v="Meero"/>
        <s v="Meesho"/>
        <s v="Megaport"/>
        <s v="Mejuri"/>
        <s v="Melio"/>
        <s v="Memmo"/>
        <s v="Menulog"/>
        <s v="Meow Wolf"/>
        <s v="Merative"/>
        <s v="Mercos"/>
        <s v="MeridianLink"/>
        <s v="MessageBird"/>
        <s v="Messari"/>
        <s v="Meta"/>
        <s v="Metaplex"/>
        <s v="Metigy"/>
        <s v="Metromile"/>
        <s v="Mews"/>
        <s v="MFine"/>
        <s v="Microsoft"/>
        <s v="Migo"/>
        <s v="Milkrun"/>
        <s v="MindBody"/>
        <s v="Mindgeek"/>
        <s v="Mindstrong"/>
        <s v="Minted"/>
        <s v="Minute Media"/>
        <s v="Miro"/>
        <s v="Misfits Market"/>
        <s v="MissFresh"/>
        <s v="Mixpanel"/>
        <s v="Mobile Premier League"/>
        <s v="Mode Analytics"/>
        <s v="Mode Global"/>
        <s v="Modern Treasury"/>
        <s v="Modsy"/>
        <s v="Moglix"/>
        <s v="Mogo"/>
        <s v="Mojo Vision"/>
        <s v="Moladin"/>
        <s v="Momentive"/>
        <s v="Monese"/>
        <s v="Monzo"/>
        <s v="Moove"/>
        <s v="Moovel"/>
        <s v="Morning Brew"/>
        <s v="Morning Consult"/>
        <s v="Moss"/>
        <s v="Motif Foodworks"/>
        <s v="Motif Investing"/>
        <s v="Motional"/>
        <s v="Motive"/>
        <s v="Movidesk"/>
        <s v="Mozilla"/>
        <s v="Mr. Yum"/>
        <s v="Mudafy"/>
        <s v="Mural"/>
        <s v="Mux"/>
        <s v="MX"/>
        <s v="MyGate"/>
        <s v="Mythical Games"/>
        <s v="N-able Technologies"/>
        <s v="N26"/>
        <s v="Namely"/>
        <s v="Namogoo"/>
        <s v="NanoString"/>
        <s v="Nate"/>
        <s v="Natera"/>
        <s v="National Instruments"/>
        <s v="Nativo"/>
        <s v="Nav"/>
        <s v="Navi"/>
        <s v="NCC Group"/>
        <s v="nCino"/>
        <s v="NCSoft"/>
        <s v="NCX"/>
        <s v="Nearmap"/>
        <s v="Neon"/>
        <s v="Nerdy"/>
        <s v="Nestcoin"/>
        <s v="NetApp"/>
        <s v="Netflix"/>
        <s v="Netlify"/>
        <s v="New Relic"/>
        <s v="Newfront Insurance"/>
        <s v="Next Insurance"/>
        <s v="Nextbite"/>
        <s v="Nextiva"/>
        <s v="NextRoll"/>
        <s v="Niantic"/>
        <s v="Ninjacart"/>
        <s v="Nirvana Money"/>
        <s v="Nomad"/>
        <s v="Nomad Health"/>
        <s v="Noom"/>
        <s v="Notarize"/>
        <s v="Nova Benefits"/>
        <s v="NS8"/>
        <s v="NSO"/>
        <s v="Numbrs"/>
        <s v="NuoDB"/>
        <s v="Nuri"/>
        <s v="Nuro"/>
        <s v="Nutanix"/>
        <s v="NYDIG"/>
        <s v="Nylas"/>
        <s v="Nyriad"/>
        <s v="O'Reilly Media"/>
        <s v="Oatly"/>
        <s v="Observe.AI"/>
        <s v="Ocavu"/>
        <s v="Octopus Network"/>
        <s v="Oda"/>
        <s v="Offerpad"/>
        <s v="OfferUp"/>
        <s v="OFFOR Health"/>
        <s v="Oh My Green"/>
        <s v="OKCredit"/>
        <s v="Okta"/>
        <s v="Ola"/>
        <s v="Olist"/>
        <s v="Olive"/>
        <s v="Olive AI"/>
        <s v="OLX Group"/>
        <s v="OLX India"/>
        <s v="Omie"/>
        <s v="Omnipresent"/>
        <s v="On Deck"/>
        <s v="OnDeck"/>
        <s v="OneFootball"/>
        <s v="OneStudyTeam"/>
        <s v="OneTrust"/>
        <s v="OneWeb"/>
        <s v="OnlyFans"/>
        <s v="Opal"/>
        <s v="OPay"/>
        <s v="Open Co"/>
        <s v="Opencare"/>
        <s v="Opendoor"/>
        <s v="Openpay"/>
        <s v="OpenSea"/>
        <s v="OpenText"/>
        <s v="OpenWeb"/>
        <s v="OpenX"/>
        <s v="Oportun"/>
        <s v="Optimizely"/>
        <s v="Oracle"/>
        <s v="Orbit"/>
        <s v="OrCam"/>
        <s v="Orchard"/>
        <s v="Oriente"/>
        <s v="Oscar Health"/>
        <s v="Otonomo"/>
        <s v="Ouster"/>
        <s v="OutboundEngine"/>
        <s v="Outbrain"/>
        <s v="Outdoorsy"/>
        <s v="Outreach"/>
        <s v="Outschool"/>
        <s v="Outside"/>
        <s v="Overtime"/>
        <s v="Owlet"/>
        <s v="OwnBackup"/>
        <s v="Oye Rickshaw"/>
        <s v="OYO"/>
        <s v="Oyster"/>
        <s v="Ozy Media"/>
        <s v="Pacaso"/>
        <s v="Packable"/>
        <s v="PACT Pharma"/>
        <s v="Paddle"/>
        <s v="Pagarbook"/>
        <s v="Pagaya"/>
        <s v="PagBank"/>
        <s v="PagerDuty"/>
        <s v="PagSeguro"/>
        <s v="PaisaBazaar"/>
        <s v="Palantir"/>
        <s v="Pana"/>
        <s v="Panda Squad"/>
        <s v="Papa"/>
        <s v="Parallel Wireless"/>
        <s v="Pared"/>
        <s v="Parler"/>
        <s v="Parsable"/>
        <s v="PartnerStack"/>
        <s v="Passport"/>
        <s v="Pastel"/>
        <s v="PatientPop"/>
        <s v="Patreon"/>
        <s v="Pavilion Data"/>
        <s v="Payfactors"/>
        <s v="PayFit"/>
        <s v="PayJoy"/>
        <s v="PayPal"/>
        <s v="PaySense"/>
        <s v="Paytm"/>
        <s v="PayU"/>
        <s v="Pear Therapeutics"/>
        <s v="Pebblepost"/>
        <s v="Pecan AI"/>
        <s v="Peek"/>
        <s v="Peerfit"/>
        <s v="Peerspace"/>
        <s v="PeerStreet"/>
        <s v="Pegasystems"/>
        <s v="Peloton"/>
        <s v="Pendo"/>
        <s v="People.ai"/>
        <s v="PeopleGrove"/>
        <s v="Perceptive Automata"/>
        <s v="Perimeter 81"/>
        <s v="Perion"/>
        <s v="Perkbox"/>
        <s v="PerkSpot"/>
        <s v="Permutive"/>
        <s v="Personalis"/>
        <s v="Personetics"/>
        <s v="Perx Health"/>
        <s v="Pesto"/>
        <s v="Petal"/>
        <s v="PetLove"/>
        <s v="PhableCare"/>
        <s v="PharmEasy"/>
        <s v="Philips"/>
        <s v="PickYourTrail"/>
        <s v="Picnic"/>
        <s v="Pico Interactive"/>
        <s v="PicoBrew"/>
        <s v="Picsart"/>
        <s v="Pier"/>
        <s v="Pinterest"/>
        <s v="Pipedrive"/>
        <s v="Pipl"/>
        <s v="Pitch"/>
        <s v="Pivot3"/>
        <s v="Pix"/>
        <s v="Plaid"/>
        <s v="Planetly"/>
        <s v="Plato"/>
        <s v="Playdots"/>
        <s v="Playtika"/>
        <s v="Pleo"/>
        <s v="Plerk"/>
        <s v="Pliops"/>
        <s v="Plum"/>
        <s v="Pluralsight"/>
        <s v="Plus One Robotics"/>
        <s v="Pocket Aces"/>
        <s v="Pocketmath"/>
        <s v="Podium"/>
        <s v="Polarr"/>
        <s v="PolicyGenius"/>
        <s v="Politico / Protocol"/>
        <s v="Pollen"/>
        <s v="Polly"/>
        <s v="Polygon"/>
        <s v="Pomelo Fashion"/>
        <s v="Popin"/>
        <s v="Poshmark"/>
        <s v="Postmates"/>
        <s v="Postscript"/>
        <s v="PowerReviews"/>
        <s v="Practically"/>
        <s v="Preply"/>
        <s v="Prime Trust"/>
        <s v="Primer"/>
        <s v="Prisma"/>
        <s v="Privitar"/>
        <s v="Procore"/>
        <s v="Productboard"/>
        <s v="Project44"/>
        <s v="Properly"/>
        <s v="Propzy"/>
        <s v="Prosus"/>
        <s v="Protego Trust Bank"/>
        <s v="Proterra"/>
        <s v="Protocol"/>
        <s v="Protocol Labs"/>
        <s v="Proton.ai"/>
        <s v="Provi"/>
        <s v="PuduTech"/>
        <s v="Pulse Secure"/>
        <s v="Puppet"/>
        <s v="Purse"/>
        <s v="Q4"/>
        <s v="Qin1"/>
        <s v="Qualcomm"/>
        <s v="Qualtrics"/>
        <s v="Quandoo"/>
        <s v="Quanergy Systems"/>
        <s v="Quantcast"/>
        <s v="Quanterix"/>
        <s v="Quanto"/>
        <s v="Quantum SI"/>
        <s v="Quartz"/>
        <s v="Quibi"/>
        <s v="Quicko"/>
        <s v="Quidax"/>
        <s v="Quillt"/>
        <s v="QuintoAndar"/>
        <s v="Qumulo"/>
        <s v="Quora"/>
        <s v="Qwick"/>
        <s v="Rad Power Bikes"/>
        <s v="Rain"/>
        <s v="RainFocus"/>
        <s v="Raken"/>
        <s v="Rangle"/>
        <s v="Rappi"/>
        <s v="Rapyd"/>
        <s v="Rasa"/>
        <s v="RateGenius"/>
        <s v="Reach"/>
        <s v="Reali"/>
        <s v="RealSelf"/>
        <s v="Realtor.com"/>
        <s v="Rebel Foods"/>
        <s v="Recharge"/>
        <s v="Recur Forever"/>
        <s v="Redbubble"/>
        <s v="RedDoorz"/>
        <s v="Redesign Health"/>
        <s v="Redfin"/>
        <s v="Redox"/>
        <s v="REE Automotive"/>
        <s v="Reef"/>
        <s v="Reforge"/>
        <s v="Relativity"/>
        <s v="Relevel"/>
        <s v="Religion of Sports"/>
        <s v="Remedy"/>
        <s v="Remesh"/>
        <s v="Remote"/>
        <s v="Remote Year"/>
        <s v="Renmoney"/>
        <s v="RenoRun"/>
        <s v="Rent the Runway"/>
        <s v="Repertoire Immune Medicines"/>
        <s v="Replicated"/>
        <s v="ResearchGate"/>
        <s v="Reserve"/>
        <s v="Restaurant365"/>
        <s v="Rev.com"/>
        <s v="Revelate"/>
        <s v="Revolut"/>
        <s v="Rhino"/>
        <s v="Rhumbix"/>
        <s v="Ribbon"/>
        <s v="Ridecell"/>
        <s v="Rigetti Computing"/>
        <s v="RigUp"/>
        <s v="RingCentral"/>
        <s v="Riot Games"/>
        <s v="Ritual"/>
        <s v="Rivian"/>
        <s v="Ro"/>
        <s v="Robinhood"/>
        <s v="Rock Content"/>
        <s v="Roku"/>
        <s v="Roofstock"/>
        <s v="Root Insurance"/>
        <s v="Route"/>
        <s v="Rover"/>
        <s v="Rows"/>
        <s v="Ruangguru"/>
        <s v="Rubica"/>
        <s v="Rubicon Project"/>
        <s v="Rubicon Technologies"/>
        <s v="Rubius"/>
        <s v="Rubrik"/>
        <s v="Ruggable"/>
        <s v="Rupeek"/>
        <s v="SADA"/>
        <s v="SafeGraph"/>
        <s v="Sage Therapeutics"/>
        <s v="Saks.com"/>
        <s v="Sales Boomerang"/>
        <s v="Salesforce"/>
        <s v="SalesLoft"/>
        <s v="Salsify"/>
        <s v="Sama"/>
        <s v="Sami"/>
        <s v="Samsara"/>
        <s v="Sana"/>
        <s v="Sana Benefits"/>
        <s v="Sanar"/>
        <s v="Sandbox VR"/>
        <s v="SAP"/>
        <s v="SAP Labs"/>
        <s v="Sauce Labs"/>
        <s v="Sayurbox"/>
        <s v="Scale AI"/>
        <s v="ScaleFactor"/>
        <s v="ScaleFocus"/>
        <s v="Science 37"/>
        <s v="Scoop"/>
        <s v="Scoro"/>
        <s v="Sea"/>
        <s v="Secfi"/>
        <s v="Section4"/>
        <s v="SecureWorks"/>
        <s v="Seegrid"/>
        <s v="Segment"/>
        <s v="SellerX"/>
        <s v="Sema4"/>
        <s v="SEND"/>
        <s v="SendCloud"/>
        <s v="Sendle"/>
        <s v="Sendoso"/>
        <s v="Sendy"/>
        <s v="Sensibill"/>
        <s v="Service"/>
        <s v="ServiceTitan"/>
        <s v="Sezzle"/>
        <s v="Shakepay"/>
        <s v="Share Now"/>
        <s v="ShareChat"/>
        <s v="Sharethrough"/>
        <s v="Shef"/>
        <s v="Shelf Engine"/>
        <s v="Sherpa"/>
        <s v="Shift"/>
        <s v="ShipBob"/>
        <s v="Shippo"/>
        <s v="Shipsi"/>
        <s v="Shogun"/>
        <s v="Shop101"/>
        <s v="Shopee"/>
        <s v="Shopify"/>
        <s v="ShopX"/>
        <s v="Showpad"/>
        <s v="Shutterfly"/>
        <s v="Shuttl"/>
        <s v="Side"/>
        <s v="Sidecar Health"/>
        <s v="Sift"/>
        <s v="Sigfox"/>
        <s v="Signicat"/>
        <s v="SimilarWeb"/>
        <s v="Simon Data"/>
        <s v="Simple"/>
        <s v="Simple Feast"/>
        <s v="Sinch"/>
        <s v="Singular"/>
        <s v="SIRCLO"/>
        <s v="SirionLabs"/>
        <s v="SiriusXM"/>
        <s v="Sisense"/>
        <s v="Siteimprove"/>
        <s v="Skai"/>
        <s v="Skedulo"/>
        <s v="Sketch"/>
        <s v="Skillshare"/>
        <s v="Skillz"/>
        <s v="SkipTheDishes"/>
        <s v="Skit.ai"/>
        <s v="Skyscanner"/>
        <s v="SkySlope"/>
        <s v="Slice Labs"/>
        <s v="Slync"/>
        <s v="Smarsh"/>
        <s v="SmartNews"/>
        <s v="Smartsheet"/>
        <s v="Smava"/>
        <s v="Snagajob"/>
        <s v="Snap"/>
        <s v="Snap Finance"/>
        <s v="Snapdocs"/>
        <s v="Snappy"/>
        <s v="Snaptravel"/>
        <s v="Snowplow"/>
        <s v="Snyk"/>
        <s v="Socure"/>
        <s v="SoFi"/>
        <s v="Software AG"/>
        <s v="Sojern"/>
        <s v="Solarisbank"/>
        <s v="Soluto"/>
        <s v="Sonder"/>
        <s v="SonderMind"/>
        <s v="Sono Motors"/>
        <s v="Sonos"/>
        <s v="Sophos"/>
        <s v="Sorabel"/>
        <s v="SoundCloud"/>
        <s v="SoundHound"/>
        <s v="Sourcegraph"/>
        <s v="Spaces"/>
        <s v="Spaceship"/>
        <s v="Spin"/>
        <s v="Splice"/>
        <s v="Splunk"/>
        <s v="Splyt"/>
        <s v="SpotHero"/>
        <s v="Spotify"/>
        <s v="Spreetail"/>
        <s v="Spring"/>
        <s v="Springbig"/>
        <s v="Springlane"/>
        <s v="Sprinklr"/>
        <s v="Spyce"/>
        <s v="SQream"/>
        <s v="SquadVoice"/>
        <s v="SQZ Biotech"/>
        <s v="SSense"/>
        <s v="Stack Overflow"/>
        <s v="Starry"/>
        <s v="Starship"/>
        <s v="Starship Technologies"/>
        <s v="Stash"/>
        <s v="Stash Financial"/>
        <s v="Stashaway"/>
        <s v="Stax"/>
        <s v="Stay Alfred"/>
        <s v="Stedi"/>
        <s v="Stint"/>
        <s v="Stitch Fix"/>
        <s v="Stockwell AI"/>
        <s v="StockX"/>
        <s v="Stone"/>
        <s v="Stoqo"/>
        <s v="Stord"/>
        <s v="StoryBlocks"/>
        <s v="Storytel"/>
        <s v="Strava"/>
        <s v="Stream"/>
        <s v="StreamElements"/>
        <s v="StreamSets"/>
        <s v="StreetBees"/>
        <s v="Stripe"/>
        <s v="StrongDM"/>
        <s v="StubHub"/>
        <s v="Studio"/>
        <s v="StudySmarter"/>
        <s v="StyleSeat"/>
        <s v="Stytch"/>
        <s v="Submittable"/>
        <s v="Subspace"/>
        <s v="Substack"/>
        <s v="SummerBio"/>
        <s v="SumUp"/>
        <s v="Sundae"/>
        <s v="Sunday"/>
        <s v="SundaySky"/>
        <s v="Superhuman"/>
        <s v="SuperLearn"/>
        <s v="Superloop"/>
        <s v="Superpedestrian"/>
        <s v="SuperRare"/>
        <s v="Swappie"/>
        <s v="SweetEscape"/>
        <s v="Sweetgreen"/>
        <s v="Swiggy"/>
        <s v="Swing Education"/>
        <s v="SWVL"/>
        <s v="Swyft"/>
        <s v="Swyftx"/>
        <s v="Symend"/>
        <s v="Synamedia"/>
        <s v="SynapseFI"/>
        <s v="Synapsica"/>
        <s v="Synergysuite"/>
        <s v="Synlogic"/>
        <s v="Synopsys"/>
        <s v="Synthego"/>
        <s v="Syte"/>
        <s v="Taboola"/>
        <s v="Tackle"/>
        <s v="Takl"/>
        <s v="Talis Biomedical"/>
        <s v="Talkdesk"/>
        <s v="Talkwalker"/>
        <s v="Tally"/>
        <s v="Tamara Mellon"/>
        <s v="Tanium"/>
        <s v="Tapas Media"/>
        <s v="Tapps Games"/>
        <s v="TaskUs"/>
        <s v="TaxBit"/>
        <s v="TCR2"/>
        <s v="Teachmint"/>
        <s v="TealBook"/>
        <s v="Teamwork"/>
        <s v="TechAdvance"/>
        <s v="TechTarget"/>
        <s v="Teladoc Health"/>
        <s v="Teleport"/>
        <s v="Tempo"/>
        <s v="Tempo Automation"/>
        <s v="Tempus Ex"/>
        <s v="Tencent"/>
        <s v="TenureX"/>
        <s v="Terminus"/>
        <s v="Tesla"/>
        <s v="Textio"/>
        <s v="TextNow"/>
        <s v="The Appraisal Lane"/>
        <s v="The Athletic"/>
        <s v="The Grommet"/>
        <s v="The Guild"/>
        <s v="The Iconic"/>
        <s v="The Modist"/>
        <s v="The Mom Project"/>
        <s v="The Muse"/>
        <s v="The Org"/>
        <s v="The Predictive Index"/>
        <s v="The RealReal"/>
        <s v="The Sill"/>
        <s v="The Wing"/>
        <s v="The Zebra"/>
        <s v="TheSkimm"/>
        <s v="TheWrap"/>
        <s v="Thimble"/>
        <s v="Thinkific"/>
        <s v="ThirdLove"/>
        <s v="Thirty Madison"/>
        <s v="ThoughtSpot"/>
        <s v="Thoughtworks"/>
        <s v="Thrasio"/>
        <s v="Thread"/>
        <s v="ThredUp"/>
        <s v="Thriver"/>
        <s v="Thumbtack"/>
        <s v="Tidepool"/>
        <s v="Tiendanube"/>
        <s v="Tier Mobility"/>
        <s v="TIFIN"/>
        <s v="TikTok"/>
        <s v="TikTok India"/>
        <s v="Till Payments"/>
        <s v="Tilting Point"/>
        <s v="Tipalti"/>
        <s v="Toast"/>
        <s v="Tomo"/>
        <s v="Tomorrow"/>
        <s v="TomTom"/>
        <s v="Tonal"/>
        <s v="Tonkean"/>
        <s v="Top Hat"/>
        <s v="Toppr"/>
        <s v="Tor"/>
        <s v="TouchBistro"/>
        <s v="Trade Republic"/>
        <s v="Transfix"/>
        <s v="Transmit Security"/>
        <s v="TravelBank"/>
        <s v="Traveloka"/>
        <s v="TravelTriangle"/>
        <s v="Trax"/>
        <s v="Tray.io"/>
        <s v="Treehouse"/>
        <s v="Trell"/>
        <s v="Tricida"/>
        <s v="TripActions"/>
        <s v="TripAdvisor"/>
        <s v="Tripbam"/>
        <s v="Triplebyte"/>
        <s v="TripleLift"/>
        <s v="Tripwire"/>
        <s v="Trivago"/>
        <s v="Trove Recommerce"/>
        <s v="Truck It In"/>
        <s v="Truckstop.com"/>
        <s v="TrueCar"/>
        <s v="TrueLayer"/>
        <s v="Truepill"/>
        <s v="Truiloo"/>
        <s v="Trustly"/>
        <s v="Trybe"/>
        <s v="Tufin"/>
        <s v="Tuft &amp; Needle"/>
        <s v="Tul"/>
        <s v="Tulip Retail"/>
        <s v="Turnitin"/>
        <s v="Turntide"/>
        <s v="Turo"/>
        <s v="TuSimple"/>
        <s v="TutorMundi"/>
        <s v="Twiga"/>
        <s v="Twilio"/>
        <s v="Twine Solutions"/>
        <s v="TwinStrand"/>
        <s v="Twitter"/>
        <s v="Typeform"/>
        <s v="tZero"/>
        <s v="UalÃƒÂ¡"/>
        <s v="Uber"/>
        <s v="Uber Freight"/>
        <s v="Uberflip"/>
        <s v="Udaan"/>
        <s v="Udacity"/>
        <s v="Udayy"/>
        <s v="Udemy"/>
        <s v="UiPath"/>
        <s v="Ula"/>
        <s v="Una Brands"/>
        <s v="Unacademy"/>
        <s v="Unbabel"/>
        <s v="Unbounce"/>
        <s v="Uncapped"/>
        <s v="Unchained Capital"/>
        <s v="Unico"/>
        <s v="Uniphore"/>
        <s v="Unison"/>
        <s v="Unity"/>
        <s v="Universal Standard"/>
        <s v="Unstoppable Domains"/>
        <s v="Updater"/>
        <s v="UpGrad"/>
        <s v="UpScalio"/>
        <s v="UPshow"/>
        <s v="Upstart"/>
        <s v="Urban Sports Club"/>
        <s v="Usermind"/>
        <s v="UserTesting"/>
        <s v="uShip"/>
        <s v="Utopia Music"/>
        <s v="Vacasa"/>
        <s v="Validity"/>
        <s v="VanHack"/>
        <s v="Vanta"/>
        <s v="Varo"/>
        <s v="Varonis"/>
        <s v="Vedanta Biosciences"/>
        <s v="Vedantu"/>
        <s v="Vee"/>
        <s v="Veem"/>
        <s v="Veev"/>
        <s v="Velodyne Lidar"/>
        <s v="Venafi"/>
        <s v="Vendasta"/>
        <s v="Vendease"/>
        <s v="Venngage"/>
        <s v="Verbit"/>
        <s v="Veriff"/>
        <s v="Verily"/>
        <s v="VerSe Innovation"/>
        <s v="VerticalScope"/>
        <s v="Vesalius Therapeutics"/>
        <s v="Vesta"/>
        <s v="Vezeeta"/>
        <s v="Vial"/>
        <s v="Viamo"/>
        <s v="Viant"/>
        <s v="Viber"/>
        <s v="Vibrent Health"/>
        <s v="Vicarious Surgical"/>
        <s v="VideoAmp"/>
        <s v="View"/>
        <s v="Vimeo"/>
        <s v="VinFast US"/>
        <s v="Virgin Hyperloop"/>
        <s v="Virta Health"/>
        <s v="Virtudent"/>
        <s v="Vise"/>
        <s v="Voi"/>
        <s v="Volt Bank"/>
        <s v="Volta"/>
        <s v="Voly"/>
        <s v="Vouch"/>
        <s v="Vox Media"/>
        <s v="Voyage SMS"/>
        <s v="Vroom"/>
        <s v="VSCO"/>
        <s v="VTEX"/>
        <s v="Wahoo Fitness"/>
        <s v="WalkMe"/>
        <s v="Wallbox"/>
        <s v="WanderJaunt"/>
        <s v="Warby Parker"/>
        <s v="Warren"/>
        <s v="Wave"/>
        <s v="Wave Sports and Entertainment"/>
        <s v="Wavely"/>
        <s v="Wayfair"/>
        <s v="Wayflyer"/>
        <s v="Waymo"/>
        <s v="Waze"/>
        <s v="WazirX"/>
        <s v="Wealthsimple"/>
        <s v="WeDoctor"/>
        <s v="Weedmaps"/>
        <s v="Weee!"/>
        <s v="WeFit"/>
        <s v="Wefox"/>
        <s v="Welkin Health"/>
        <s v="Western Digital"/>
        <s v="Westwing"/>
        <s v="WeTrade"/>
        <s v="WeWork"/>
        <s v="Wheel"/>
        <s v="When I Work"/>
        <s v="Whereby"/>
        <s v="Whispir"/>
        <s v="WhiteHat Jr"/>
        <s v="WHOOP"/>
        <s v="WhyHotel"/>
        <s v="Wildlife Studios"/>
        <s v="Willow"/>
        <s v="Wish"/>
        <s v="Wistia"/>
        <s v="Wix"/>
        <s v="Wizeline"/>
        <s v="Wonder"/>
        <s v="Wonderschool"/>
        <s v="Wonolo"/>
        <s v="Wordstream"/>
        <s v="Workable"/>
        <s v="Workato"/>
        <s v="Workday"/>
        <s v="Workfront"/>
        <s v="Workmotion"/>
        <s v="WorkRamp"/>
        <s v="Workrise"/>
        <s v="Worksmith"/>
        <s v="Workstream"/>
        <s v="Woven"/>
        <s v="Wyre"/>
        <s v="Xendit"/>
        <s v="Xentral"/>
        <s v="Xerpa"/>
        <s v="Xiaohongshu"/>
        <s v="Xiaomi"/>
        <s v="XP"/>
        <s v="Xsight Labs"/>
        <s v="Yabonza"/>
        <s v="Yahoo"/>
        <s v="Yapily"/>
        <s v="Yellow.ai"/>
        <s v="Yelp"/>
        <s v="Yext"/>
        <s v="Yoco"/>
        <s v="Yojak"/>
        <s v="Yonder"/>
        <s v="Yotpo"/>
        <s v="YourGrocer"/>
        <s v="Zak"/>
        <s v="Zalando"/>
        <s v="Zapp"/>
        <s v="Zappos"/>
        <s v="Zego"/>
        <s v="Zeitgold"/>
        <s v="ZenBusiness"/>
        <s v="Zencity"/>
        <s v="Zendesk"/>
        <s v="Zenefits"/>
        <s v="Zenius"/>
        <s v="Zenjob"/>
        <s v="ZenLedger"/>
        <s v="Zenoti"/>
        <s v="Zepto"/>
        <s v="Zerto"/>
        <s v="Zest AI"/>
        <s v="Zeus Living"/>
        <s v="Zhihu"/>
        <s v="Zilch"/>
        <s v="Zilingo"/>
        <s v="Zillow"/>
        <s v="Zinier"/>
        <s v="Zipcar"/>
        <s v="ZipRecruiter"/>
        <s v="Ziroom"/>
        <s v="Zola"/>
        <s v="Zomato"/>
        <s v="Zoom"/>
        <s v="Zoomo"/>
        <s v="Zoopla"/>
        <s v="Zoox"/>
        <s v="Zscaler"/>
        <s v="Zulily"/>
        <s v="Zum"/>
        <s v="Zume"/>
        <s v="Zumper"/>
        <s v="Zuora"/>
        <s v="Zwift"/>
        <s v="Zymergen"/>
        <s v="Zywave"/>
        <s v="Blackbaud" u="1"/>
      </sharedItems>
    </cacheField>
    <cacheField name="location" numFmtId="0">
      <sharedItems count="191">
        <s v="Toronto"/>
        <s v="SF Bay Area"/>
        <s v="Dublin"/>
        <s v="Los Angeles"/>
        <s v="New York City"/>
        <s v="Sao Paulo"/>
        <s v="Washington D.C."/>
        <s v="Sydney"/>
        <s v="Cincinnati"/>
        <s v="Seattle"/>
        <s v="Vancouver"/>
        <s v="Stockholm"/>
        <s v="Mumbai"/>
        <s v="Portland"/>
        <s v="Boston"/>
        <s v="Chicago"/>
        <s v="Berlin"/>
        <s v="Bogota"/>
        <s v="Salt Lake City"/>
        <s v="Durham"/>
        <s v="Brasilia"/>
        <s v="Singapore"/>
        <s v="Lahore"/>
        <s v="Copenhagen"/>
        <s v="Jakarta"/>
        <s v="Helsinki"/>
        <s v="Denver"/>
        <s v="Baltimore"/>
        <s v="Montreal"/>
        <s v="Austin"/>
        <s v="Ibadan"/>
        <s v="Moscow"/>
        <s v="Hong Kong"/>
        <s v="Blumenau"/>
        <s v="St. Louis"/>
        <s v="Tel Aviv"/>
        <s v="Santa Barbara"/>
        <s v="Miami"/>
        <s v="Waterloo"/>
        <s v="Chennai"/>
        <s v="Brisbane"/>
        <s v="Munich"/>
        <s v="Pittsburgh"/>
        <s v="London"/>
        <s v="Atlanta"/>
        <s v="Detroit"/>
        <s v="Boulder"/>
        <s v="Minneapolis"/>
        <s v="Phoenix"/>
        <s v="Columbus"/>
        <s v="Dubai"/>
        <s v="Paris"/>
        <s v="Providence"/>
        <s v="Louisville"/>
        <s v="Melbourne"/>
        <s v="Curitiba"/>
        <s v="Athens"/>
        <s v="Calgary"/>
        <s v="Dallas"/>
        <s v="Santiago"/>
        <s v="Bengaluru"/>
        <s v="Shanghai"/>
        <s v="Quebec"/>
        <s v="Non-U.S."/>
        <s v="Vienna"/>
        <s v="Budapest"/>
        <s v="Mexico City"/>
        <s v="Shenzen"/>
        <s v="Philadelphia"/>
        <s v="Lagos"/>
        <s v="Amsterdam"/>
        <s v="Grand Rapids"/>
        <s v="Malmo"/>
        <s v="Krakow"/>
        <s v="New Delhi"/>
        <s v="Nashville"/>
        <s v="Buenos Aires"/>
        <s v="New Haven"/>
        <s v="San Diego"/>
        <s v="Kansas City"/>
        <s v="Gurugram"/>
        <s v="Cairo"/>
        <s v="Kuala Lumpur"/>
        <s v="Milan"/>
        <s v="Karlsruhe"/>
        <s v="Reno"/>
        <s v="Ann Arbor"/>
        <s v="Nairobi"/>
        <s v="Victoria"/>
        <s v="Brussels"/>
        <s v="Huntsville"/>
        <s v="Albany"/>
        <s v="Joinville"/>
        <s v="Bismarck"/>
        <s v="Lima"/>
        <s v="Tokyo"/>
        <s v="Norwalk"/>
        <s v="Patna"/>
        <s v="Santa Fe"/>
        <s v="Sacramento"/>
        <s v="Stamford"/>
        <s v="Davenport"/>
        <s v="Jersey City"/>
        <s v="Raleigh"/>
        <s v="Bend"/>
        <s v="Baton Rouge"/>
        <s v="Fayetteville"/>
        <s v="Nebraska City"/>
        <s v="Coimbra"/>
        <s v="Hamburg"/>
        <s v="Auckland"/>
        <s v="Pune"/>
        <s v="Yangon"/>
        <s v="Bucharest"/>
        <s v="Milwaukee"/>
        <s v="Istanbul"/>
        <s v="Kiel"/>
        <s v="Barcelona"/>
        <s v="Indore"/>
        <s v="Bristol"/>
        <s v="Seoul"/>
        <s v="Belo Horizonte"/>
        <s v="Beijing"/>
        <s v="Logan"/>
        <s v="Ferdericton"/>
        <s v="FlorianÃƒÂ³polis"/>
        <s v="Gothenburg"/>
        <s v="Selangor"/>
        <s v="Guadalajara"/>
        <s v="Birmingham"/>
        <s v="Ahmedabad"/>
        <s v="Charlotte"/>
        <s v="New Orleans"/>
        <s v="Jerusalem"/>
        <s v="Houston"/>
        <s v="Dover"/>
        <s v="Missoula"/>
        <s v="Noida"/>
        <s v="Prague"/>
        <s v="San Luis Obispo"/>
        <s v="Luxembourg"/>
        <s v="Lisbon"/>
        <s v="Las Vegas"/>
        <s v="Lehi"/>
        <s v="Manchester"/>
        <s v="Wilmington"/>
        <s v="Zurich"/>
        <s v="MalmÃƒÂ¶"/>
        <s v="Beau Vallon"/>
        <s v="Oslo"/>
        <s v="Nashua"/>
        <s v="Tampa Bay"/>
        <s v="Tallinn"/>
        <s v="Spokane"/>
        <s v="San Antonio"/>
        <s v="Burlington"/>
        <s v="Bangkok"/>
        <s v="Hyderabad"/>
        <s v="Ho Chi Minh City"/>
        <s v="Manama"/>
        <s v="Madison"/>
        <s v="Lexington"/>
        <s v="Walldorf"/>
        <s v="Sofia"/>
        <s v="Eindhoven"/>
        <s v="Ottawa"/>
        <s v="Toulouse"/>
        <s v="Trondheim"/>
        <s v="The Hague"/>
        <s v="Winnipeg"/>
        <s v="Edinburgh"/>
        <s v="Richmond"/>
        <s v="Frankfurt"/>
        <s v="Oxford"/>
        <s v="DÃƒÂ¼sseldorf"/>
        <s v="Orlando"/>
        <s v="Boise"/>
        <s v="Cork"/>
        <s v="Montevideo"/>
        <s v="Dusseldorf"/>
        <s v="Karachi"/>
        <s v="Vilnius"/>
        <s v="Zug"/>
        <s v="Saskatoon"/>
        <s v="Accra"/>
        <s v="Porto Alegre"/>
        <s v="Dakar"/>
        <s v="Hanoi"/>
        <s v="Indianapolis"/>
        <s v="Cape Town"/>
        <s v="Charleston" u="1"/>
      </sharedItems>
    </cacheField>
    <cacheField name="industry" numFmtId="0">
      <sharedItems count="31">
        <s v="Transportation"/>
        <s v="Healthcare"/>
        <s v="Marketing"/>
        <s v="Consumer"/>
        <s v="Retail"/>
        <s v="Crypto"/>
        <s v="Education"/>
        <s v="Energy"/>
        <s v="Sales"/>
        <s v="Food"/>
        <s v="Support"/>
        <s v="Media"/>
        <s v="Finance"/>
        <s v="Data"/>
        <s v="Travel"/>
        <s v="Logistics"/>
        <s v="Aerospace"/>
        <s v="Product"/>
        <s v="Infrastructure"/>
        <s v="HR"/>
        <s v="Other"/>
        <s v="Recruiting"/>
        <s v="Security"/>
        <s v="Real Estate"/>
        <s v="Manufacturing"/>
        <s v="NULL"/>
        <s v="Hardware"/>
        <s v="Construction"/>
        <s v="Fitness"/>
        <s v="Fin-Tech"/>
        <s v="Legal"/>
      </sharedItems>
    </cacheField>
    <cacheField name="total_laid_off" numFmtId="0">
      <sharedItems containsString="0" containsBlank="1" containsNumber="1" containsInteger="1" minValue="3" maxValue="12000"/>
    </cacheField>
    <cacheField name="percentage_laid_off" numFmtId="0">
      <sharedItems containsString="0" containsBlank="1" containsNumber="1" minValue="0" maxValue="1" count="74">
        <m/>
        <n v="0.06"/>
        <n v="0.09"/>
        <n v="0.17"/>
        <n v="0.08"/>
        <n v="0.12"/>
        <n v="0.15"/>
        <n v="0.2"/>
        <n v="0.3"/>
        <n v="0.25"/>
        <n v="0.1"/>
        <n v="7.0000000000000007E-2"/>
        <n v="0.02"/>
        <n v="0.05"/>
        <n v="0.16"/>
        <n v="0.23"/>
        <n v="0.03"/>
        <n v="0.21"/>
        <n v="0.01"/>
        <n v="0.19"/>
        <n v="1"/>
        <n v="0.31"/>
        <n v="0.7"/>
        <n v="0.14000000000000001"/>
        <n v="0.4"/>
        <n v="0.65"/>
        <n v="0.18"/>
        <n v="0.27"/>
        <n v="0.38"/>
        <n v="0.22"/>
        <n v="0.04"/>
        <n v="0.5"/>
        <n v="0.36"/>
        <n v="0.11"/>
        <n v="0.67"/>
        <n v="0.13"/>
        <n v="0.75"/>
        <n v="0.33"/>
        <n v="0.43"/>
        <n v="0.37"/>
        <n v="0.28000000000000003"/>
        <n v="0.34"/>
        <n v="0.55000000000000004"/>
        <n v="0.8"/>
        <n v="0.45"/>
        <n v="0.32"/>
        <n v="0.35"/>
        <n v="0.24"/>
        <n v="0.125"/>
        <n v="0.26"/>
        <n v="0.44"/>
        <n v="0.56999999999999995"/>
        <n v="0.82"/>
        <n v="0.98"/>
        <n v="3.5000000000000003E-2"/>
        <n v="0.42"/>
        <n v="0.6"/>
        <n v="0.28999999999999998"/>
        <n v="0.46"/>
        <n v="0.49"/>
        <n v="0.95"/>
        <n v="0.48"/>
        <n v="0.115"/>
        <n v="0.85"/>
        <n v="0.96"/>
        <n v="0.39"/>
        <n v="0.54"/>
        <n v="0.41"/>
        <n v="0.53"/>
        <n v="1.8499999999999999E-2"/>
        <n v="0.9"/>
        <n v="0"/>
        <n v="5.3999999999999999E-2"/>
        <n v="0.72"/>
      </sharedItems>
    </cacheField>
    <cacheField name="date" numFmtId="14">
      <sharedItems containsSemiMixedTypes="0" containsNonDate="0" containsDate="1" containsString="0" minDate="2020-03-11T00:00:00" maxDate="2023-03-07T00:00:00" count="483">
        <d v="2022-12-16T00:00:00"/>
        <d v="2022-07-25T00:00:00"/>
        <d v="2022-11-17T00:00:00"/>
        <d v="2023-01-27T00:00:00"/>
        <d v="2022-07-13T00:00:00"/>
        <d v="2023-01-10T00:00:00"/>
        <d v="2022-08-04T00:00:00"/>
        <d v="2020-04-02T00:00:00"/>
        <d v="2022-06-01T00:00:00"/>
        <d v="2022-09-01T00:00:00"/>
        <d v="2022-07-28T00:00:00"/>
        <d v="2022-08-29T00:00:00"/>
        <d v="2022-06-03T00:00:00"/>
        <d v="2022-10-12T00:00:00"/>
        <d v="2023-01-18T00:00:00"/>
        <d v="2022-10-04T00:00:00"/>
        <d v="2022-07-21T00:00:00"/>
        <d v="2022-09-20T00:00:00"/>
        <d v="2022-06-30T00:00:00"/>
        <d v="2022-08-09T00:00:00"/>
        <d v="2022-09-15T00:00:00"/>
        <d v="2023-03-03T00:00:00"/>
        <d v="2020-04-01T00:00:00"/>
        <d v="2020-05-26T00:00:00"/>
        <d v="2020-12-16T00:00:00"/>
        <d v="2022-10-03T00:00:00"/>
        <d v="2023-02-01T00:00:00"/>
        <d v="2022-10-17T00:00:00"/>
        <d v="2020-04-24T00:00:00"/>
        <d v="2022-03-08T00:00:00"/>
        <d v="2020-03-31T00:00:00"/>
        <d v="2022-06-14T00:00:00"/>
        <d v="2022-12-06T00:00:00"/>
        <d v="2022-10-28T00:00:00"/>
        <d v="2022-07-07T00:00:00"/>
        <d v="2022-11-03T00:00:00"/>
        <d v="2023-02-08T00:00:00"/>
        <d v="2020-05-18T00:00:00"/>
        <d v="2022-04-14T00:00:00"/>
        <d v="2020-09-16T00:00:00"/>
        <d v="2020-05-05T00:00:00"/>
        <d v="2022-05-25T00:00:00"/>
        <d v="2022-07-12T00:00:00"/>
        <d v="2020-04-30T00:00:00"/>
        <d v="2022-12-08T00:00:00"/>
        <d v="2022-06-15T00:00:00"/>
        <d v="2022-07-04T00:00:00"/>
        <d v="2022-05-23T00:00:00"/>
        <d v="2020-04-22T00:00:00"/>
        <d v="2020-05-07T00:00:00"/>
        <d v="2022-11-28T00:00:00"/>
        <d v="2022-05-27T00:00:00"/>
        <d v="2020-09-02T00:00:00"/>
        <d v="2023-01-12T00:00:00"/>
        <d v="2020-04-15T00:00:00"/>
        <d v="2022-08-16T00:00:00"/>
        <d v="2022-06-10T00:00:00"/>
        <d v="2020-04-03T00:00:00"/>
        <d v="2022-09-02T00:00:00"/>
        <d v="2023-03-06T00:00:00"/>
        <d v="2022-07-11T00:00:00"/>
        <d v="2022-12-09T00:00:00"/>
        <d v="2022-05-14T00:00:00"/>
        <d v="2022-08-13T00:00:00"/>
        <d v="2022-07-14T00:00:00"/>
        <d v="2020-09-29T00:00:00"/>
        <d v="2023-01-04T00:00:00"/>
        <d v="2022-11-16T00:00:00"/>
        <d v="2022-09-09T00:00:00"/>
        <d v="2023-03-02T00:00:00"/>
        <d v="2023-01-02T00:00:00"/>
        <d v="2023-01-17T00:00:00"/>
        <d v="2022-11-09T00:00:00"/>
        <d v="2022-06-27T00:00:00"/>
        <d v="2023-02-27T00:00:00"/>
        <d v="2022-08-20T00:00:00"/>
        <d v="2020-03-29T00:00:00"/>
        <d v="2022-07-06T00:00:00"/>
        <d v="2022-10-23T00:00:00"/>
        <d v="2020-03-19T00:00:00"/>
        <d v="2022-08-14T00:00:00"/>
        <d v="2022-08-31T00:00:00"/>
        <d v="2022-12-15T00:00:00"/>
        <d v="2022-11-15T00:00:00"/>
        <d v="2020-04-28T00:00:00"/>
        <d v="2022-06-20T00:00:00"/>
        <d v="2022-12-05T00:00:00"/>
        <d v="2022-07-20T00:00:00"/>
        <d v="2023-01-13T00:00:00"/>
        <d v="2023-02-22T00:00:00"/>
        <d v="2022-07-22T00:00:00"/>
        <d v="2020-06-29T00:00:00"/>
        <d v="2022-10-26T00:00:00"/>
        <d v="2022-11-01T00:00:00"/>
        <d v="2022-08-26T00:00:00"/>
        <d v="2022-10-20T00:00:00"/>
        <d v="2023-01-30T00:00:00"/>
        <d v="2023-02-02T00:00:00"/>
        <d v="2020-04-07T00:00:00"/>
        <d v="2022-07-15T00:00:00"/>
        <d v="2022-11-23T00:00:00"/>
        <d v="2022-11-08T00:00:00"/>
        <d v="2020-04-05T00:00:00"/>
        <d v="2020-06-18T00:00:00"/>
        <d v="2022-10-19T00:00:00"/>
        <d v="2022-10-06T00:00:00"/>
        <d v="2020-04-10T00:00:00"/>
        <d v="2023-01-05T00:00:00"/>
        <d v="2023-01-31T00:00:00"/>
        <d v="2022-06-23T00:00:00"/>
        <d v="2020-04-14T00:00:00"/>
        <d v="2021-01-11T00:00:00"/>
        <d v="2022-12-10T00:00:00"/>
        <d v="2020-05-01T00:00:00"/>
        <d v="2020-04-27T00:00:00"/>
        <d v="2022-06-13T00:00:00"/>
        <d v="2022-04-18T00:00:00"/>
        <d v="2023-01-20T00:00:00"/>
        <d v="2022-06-29T00:00:00"/>
        <d v="2022-11-10T00:00:00"/>
        <d v="2022-05-01T00:00:00"/>
        <d v="2023-01-06T00:00:00"/>
        <d v="2020-11-19T00:00:00"/>
        <d v="2020-03-26T00:00:00"/>
        <d v="2022-12-23T00:00:00"/>
        <d v="2022-06-22T00:00:00"/>
        <d v="2022-12-12T00:00:00"/>
        <d v="2022-07-01T00:00:00"/>
        <d v="2023-02-09T00:00:00"/>
        <d v="2020-03-27T00:00:00"/>
        <d v="2022-11-04T00:00:00"/>
        <d v="2022-06-24T00:00:00"/>
        <d v="2022-04-19T00:00:00"/>
        <d v="2021-12-01T00:00:00"/>
        <d v="2020-05-13T00:00:00"/>
        <d v="2022-08-11T00:00:00"/>
        <d v="2023-02-15T00:00:00"/>
        <d v="2022-08-03T00:00:00"/>
        <d v="2022-10-14T00:00:00"/>
        <d v="2023-01-15T00:00:00"/>
        <d v="2020-09-01T00:00:00"/>
        <d v="2022-09-08T00:00:00"/>
        <d v="2022-12-27T00:00:00"/>
        <d v="2022-10-07T00:00:00"/>
        <d v="2022-06-07T00:00:00"/>
        <d v="2020-04-06T00:00:00"/>
        <d v="2022-11-29T00:00:00"/>
        <d v="2020-04-17T00:00:00"/>
        <d v="2022-11-02T00:00:00"/>
        <d v="2022-04-04T00:00:00"/>
        <d v="2022-06-19T00:00:00"/>
        <d v="2022-09-14T00:00:00"/>
        <d v="2023-02-26T00:00:00"/>
        <d v="2022-05-26T00:00:00"/>
        <d v="2021-11-18T00:00:00"/>
        <d v="2020-07-10T00:00:00"/>
        <d v="2022-05-04T00:00:00"/>
        <d v="2022-12-01T00:00:00"/>
        <d v="2022-07-05T00:00:00"/>
        <d v="2020-09-11T00:00:00"/>
        <d v="2022-08-15T00:00:00"/>
        <d v="2020-03-30T00:00:00"/>
        <d v="2023-02-21T00:00:00"/>
        <d v="2023-01-24T00:00:00"/>
        <d v="2022-04-26T00:00:00"/>
        <d v="2022-05-31T00:00:00"/>
        <d v="2020-07-30T00:00:00"/>
        <d v="2020-05-28T00:00:00"/>
        <d v="2022-06-28T00:00:00"/>
        <d v="2023-01-23T00:00:00"/>
        <d v="2022-06-09T00:00:00"/>
        <d v="2020-11-02T00:00:00"/>
        <d v="2021-02-22T00:00:00"/>
        <d v="2022-11-06T00:00:00"/>
        <d v="2020-06-11T00:00:00"/>
        <d v="2022-09-06T00:00:00"/>
        <d v="2020-05-29T00:00:00"/>
        <d v="2022-10-11T00:00:00"/>
        <d v="2020-11-17T00:00:00"/>
        <d v="2020-04-21T00:00:00"/>
        <d v="2022-12-20T00:00:00"/>
        <d v="2020-06-04T00:00:00"/>
        <d v="2022-10-05T00:00:00"/>
        <d v="2022-07-08T00:00:00"/>
        <d v="2022-08-02T00:00:00"/>
        <d v="2020-04-08T00:00:00"/>
        <d v="2023-01-22T00:00:00"/>
        <d v="2022-12-03T00:00:00"/>
        <d v="2021-01-27T00:00:00"/>
        <d v="2023-01-03T00:00:00"/>
        <d v="2022-06-17T00:00:00"/>
        <d v="2021-08-05T00:00:00"/>
        <d v="2020-06-27T00:00:00"/>
        <d v="2023-02-06T00:00:00"/>
        <d v="2020-03-23T00:00:00"/>
        <d v="2020-05-11T00:00:00"/>
        <d v="2022-10-25T00:00:00"/>
        <d v="2022-09-21T00:00:00"/>
        <d v="2023-01-19T00:00:00"/>
        <d v="2022-11-18T00:00:00"/>
        <d v="2022-07-19T00:00:00"/>
        <d v="2022-06-02T00:00:00"/>
        <d v="2020-05-25T00:00:00"/>
        <d v="2022-11-14T00:00:00"/>
        <d v="2020-05-04T00:00:00"/>
        <d v="2023-01-25T00:00:00"/>
        <d v="2020-04-16T00:00:00"/>
        <d v="2022-05-19T00:00:00"/>
        <d v="2022-09-30T00:00:00"/>
        <d v="2023-01-11T00:00:00"/>
        <d v="2022-05-10T00:00:00"/>
        <d v="2022-11-25T00:00:00"/>
        <d v="2023-02-13T00:00:00"/>
        <d v="2021-09-14T00:00:00"/>
        <d v="2022-07-03T00:00:00"/>
        <d v="2023-01-09T00:00:00"/>
        <d v="2022-10-24T00:00:00"/>
        <d v="2022-11-27T00:00:00"/>
        <d v="2022-09-13T00:00:00"/>
        <d v="2020-07-23T00:00:00"/>
        <d v="2020-10-25T00:00:00"/>
        <d v="2020-10-08T00:00:00"/>
        <d v="2022-11-11T00:00:00"/>
        <d v="2023-02-17T00:00:00"/>
        <d v="2022-12-14T00:00:00"/>
        <d v="2020-04-09T00:00:00"/>
        <d v="2020-06-02T00:00:00"/>
        <d v="2022-12-07T00:00:00"/>
        <d v="2022-06-16T00:00:00"/>
        <d v="2022-08-01T00:00:00"/>
        <d v="2022-09-16T00:00:00"/>
        <d v="2020-04-13T00:00:00"/>
        <d v="2022-06-06T00:00:00"/>
        <d v="2022-07-29T00:00:00"/>
        <d v="2023-01-16T00:00:00"/>
        <d v="2020-03-25T00:00:00"/>
        <d v="2021-03-01T00:00:00"/>
        <d v="2022-04-25T00:00:00"/>
        <d v="2022-11-07T00:00:00"/>
        <d v="2020-10-23T00:00:00"/>
        <d v="2022-12-02T00:00:00"/>
        <d v="2022-07-27T00:00:00"/>
        <d v="2023-01-28T00:00:00"/>
        <d v="2023-03-01T00:00:00"/>
        <d v="2023-02-14T00:00:00"/>
        <d v="2022-05-13T00:00:00"/>
        <d v="2022-06-21T00:00:00"/>
        <d v="2022-09-12T00:00:00"/>
        <d v="2023-01-26T00:00:00"/>
        <d v="2020-06-15T00:00:00"/>
        <d v="2020-04-20T00:00:00"/>
        <d v="2023-02-16T00:00:00"/>
        <d v="2020-04-23T00:00:00"/>
        <d v="2022-08-12T00:00:00"/>
        <d v="2020-06-03T00:00:00"/>
        <d v="2020-06-01T00:00:00"/>
        <d v="2020-05-14T00:00:00"/>
        <d v="2020-03-20T00:00:00"/>
        <d v="2020-07-17T00:00:00"/>
        <d v="2022-03-16T00:00:00"/>
        <d v="2020-05-21T00:00:00"/>
        <d v="2022-08-08T00:00:00"/>
        <d v="2022-02-10T00:00:00"/>
        <d v="2023-02-23T00:00:00"/>
        <d v="2020-06-23T00:00:00"/>
        <d v="2022-08-23T00:00:00"/>
        <d v="2022-05-11T00:00:00"/>
        <d v="2020-05-12T00:00:00"/>
        <d v="2022-02-07T00:00:00"/>
        <d v="2021-12-22T00:00:00"/>
        <d v="2022-09-07T00:00:00"/>
        <d v="2022-11-21T00:00:00"/>
        <d v="2020-05-19T00:00:00"/>
        <d v="2022-09-27T00:00:00"/>
        <d v="2022-05-06T00:00:00"/>
        <d v="2021-02-24T00:00:00"/>
        <d v="2020-08-17T00:00:00"/>
        <d v="2020-08-19T00:00:00"/>
        <d v="2022-09-28T00:00:00"/>
        <d v="2022-04-28T00:00:00"/>
        <d v="2020-11-18T00:00:00"/>
        <d v="2022-11-30T00:00:00"/>
        <d v="2022-07-26T00:00:00"/>
        <d v="2021-01-13T00:00:00"/>
        <d v="2022-10-31T00:00:00"/>
        <d v="2023-02-28T00:00:00"/>
        <d v="2020-03-11T00:00:00"/>
        <d v="2023-02-24T00:00:00"/>
        <d v="2020-08-08T00:00:00"/>
        <d v="2020-05-27T00:00:00"/>
        <d v="2023-02-07T00:00:00"/>
        <d v="2022-12-13T00:00:00"/>
        <d v="2022-08-30T00:00:00"/>
        <d v="2022-12-25T00:00:00"/>
        <d v="2022-07-18T00:00:00"/>
        <d v="2022-10-21T00:00:00"/>
        <d v="2020-06-28T00:00:00"/>
        <d v="2022-06-04T00:00:00"/>
        <d v="2020-06-05T00:00:00"/>
        <d v="2022-10-13T00:00:00"/>
        <d v="2022-04-20T00:00:00"/>
        <d v="2022-10-18T00:00:00"/>
        <d v="2023-02-03T00:00:00"/>
        <d v="2022-04-05T00:00:00"/>
        <d v="2023-02-20T00:00:00"/>
        <d v="2022-11-22T00:00:00"/>
        <d v="2020-05-06T00:00:00"/>
        <d v="2022-10-16T00:00:00"/>
        <d v="2021-08-24T00:00:00"/>
        <d v="2020-03-24T00:00:00"/>
        <d v="2022-08-17T00:00:00"/>
        <d v="2020-03-18T00:00:00"/>
        <d v="2022-04-08T00:00:00"/>
        <d v="2022-09-23T00:00:00"/>
        <d v="2022-08-25T00:00:00"/>
        <d v="2020-07-08T00:00:00"/>
        <d v="2022-03-26T00:00:00"/>
        <d v="2020-06-30T00:00:00"/>
        <d v="2022-07-31T00:00:00"/>
        <d v="2021-09-15T00:00:00"/>
        <d v="2020-10-14T00:00:00"/>
        <d v="2022-01-26T00:00:00"/>
        <d v="2020-08-07T00:00:00"/>
        <d v="2020-06-24T00:00:00"/>
        <d v="2022-10-27T00:00:00"/>
        <d v="2022-04-07T00:00:00"/>
        <d v="2022-03-29T00:00:00"/>
        <d v="2022-05-24T00:00:00"/>
        <d v="2020-06-16T00:00:00"/>
        <d v="2022-03-19T00:00:00"/>
        <d v="2022-04-15T00:00:00"/>
        <d v="2020-07-01T00:00:00"/>
        <d v="2022-12-19T00:00:00"/>
        <d v="2022-10-10T00:00:00"/>
        <d v="2020-03-16T00:00:00"/>
        <d v="2020-06-10T00:00:00"/>
        <d v="2022-08-19T00:00:00"/>
        <d v="2022-08-10T00:00:00"/>
        <d v="2022-02-14T00:00:00"/>
        <d v="2020-08-12T00:00:00"/>
        <d v="2020-03-13T00:00:00"/>
        <d v="2023-01-29T00:00:00"/>
        <d v="2023-02-19T00:00:00"/>
        <d v="2021-02-01T00:00:00"/>
        <d v="2021-03-09T00:00:00"/>
        <d v="2020-09-25T00:00:00"/>
        <d v="2022-03-03T00:00:00"/>
        <d v="2021-12-08T00:00:00"/>
        <d v="2022-02-25T00:00:00"/>
        <d v="2020-04-04T00:00:00"/>
        <d v="2021-09-22T00:00:00"/>
        <d v="2021-02-09T00:00:00"/>
        <d v="2022-09-24T00:00:00"/>
        <d v="2021-01-21T00:00:00"/>
        <d v="2020-06-09T00:00:00"/>
        <d v="2020-05-20T00:00:00"/>
        <d v="2020-06-22T00:00:00"/>
        <d v="2020-08-14T00:00:00"/>
        <d v="2021-10-05T00:00:00"/>
        <d v="2022-06-08T00:00:00"/>
        <d v="2022-08-05T00:00:00"/>
        <d v="2021-06-01T00:00:00"/>
        <d v="2020-04-29T00:00:00"/>
        <d v="2022-09-22T00:00:00"/>
        <d v="2022-03-15T00:00:00"/>
        <d v="2020-10-29T00:00:00"/>
        <d v="2022-05-17T00:00:00"/>
        <d v="2020-08-26T00:00:00"/>
        <d v="2023-02-05T00:00:00"/>
        <d v="2021-04-29T00:00:00"/>
        <d v="2022-05-20T00:00:00"/>
        <d v="2020-05-15T00:00:00"/>
        <d v="2022-11-24T00:00:00"/>
        <d v="2022-12-21T00:00:00"/>
        <d v="2022-07-02T00:00:00"/>
        <d v="2022-02-21T00:00:00"/>
        <d v="2020-07-20T00:00:00"/>
        <d v="2022-03-31T00:00:00"/>
        <d v="2021-02-04T00:00:00"/>
        <d v="2020-07-21T00:00:00"/>
        <d v="2022-02-16T00:00:00"/>
        <d v="2020-11-01T00:00:00"/>
        <d v="2020-05-03T00:00:00"/>
        <d v="2022-08-24T00:00:00"/>
        <d v="2020-08-18T00:00:00"/>
        <d v="2020-05-17T00:00:00"/>
        <d v="2020-08-31T00:00:00"/>
        <d v="2021-03-24T00:00:00"/>
        <d v="2022-05-09T00:00:00"/>
        <d v="2022-04-11T00:00:00"/>
        <d v="2022-05-21T00:00:00"/>
        <d v="2023-01-08T00:00:00"/>
        <d v="2022-05-30T00:00:00"/>
        <d v="2023-02-12T00:00:00"/>
        <d v="2020-04-18T00:00:00"/>
        <d v="2020-08-11T00:00:00"/>
        <d v="2022-08-22T00:00:00"/>
        <d v="2022-05-05T00:00:00"/>
        <d v="2022-09-29T00:00:00"/>
        <d v="2020-05-08T00:00:00"/>
        <d v="2020-06-17T00:00:00"/>
        <d v="2022-08-18T00:00:00"/>
        <d v="2021-04-06T00:00:00"/>
        <d v="2022-07-09T00:00:00"/>
        <d v="2021-02-23T00:00:00"/>
        <d v="2022-04-29T00:00:00"/>
        <d v="2022-08-21T00:00:00"/>
        <d v="2022-02-24T00:00:00"/>
        <d v="2022-09-19T00:00:00"/>
        <d v="2020-10-10T00:00:00"/>
        <d v="2023-02-10T00:00:00"/>
        <d v="2020-07-15T00:00:00"/>
        <d v="2022-08-28T00:00:00"/>
        <d v="2020-09-08T00:00:00"/>
        <d v="2020-12-08T00:00:00"/>
        <d v="2020-04-25T00:00:00"/>
        <d v="2021-10-01T00:00:00"/>
        <d v="2021-07-26T00:00:00"/>
        <d v="2020-07-29T00:00:00"/>
        <d v="2021-04-26T00:00:00"/>
        <d v="2020-07-09T00:00:00"/>
        <d v="2022-12-26T00:00:00"/>
        <d v="2022-02-08T00:00:00"/>
        <d v="2020-07-27T00:00:00"/>
        <d v="2021-01-20T00:00:00"/>
        <d v="2021-01-23T00:00:00"/>
        <d v="2022-06-26T00:00:00"/>
        <d v="2020-07-28T00:00:00"/>
        <d v="2020-12-23T00:00:00"/>
        <d v="2022-12-22T00:00:00"/>
        <d v="2021-02-03T00:00:00"/>
        <d v="2020-10-21T00:00:00"/>
        <d v="2022-04-12T00:00:00"/>
        <d v="2022-03-30T00:00:00"/>
        <d v="2020-03-28T00:00:00"/>
        <d v="2022-02-03T00:00:00"/>
        <d v="2022-01-20T00:00:00"/>
        <d v="2020-11-05T00:00:00"/>
        <d v="2022-05-12T00:00:00"/>
        <d v="2022-03-10T00:00:00"/>
        <d v="2022-09-18T00:00:00"/>
        <d v="2021-01-25T00:00:00"/>
        <d v="2021-01-07T00:00:00"/>
        <d v="2020-07-14T00:00:00"/>
        <d v="2020-07-16T00:00:00"/>
        <d v="2022-07-24T00:00:00"/>
        <d v="2020-08-24T00:00:00"/>
        <d v="2022-01-08T00:00:00"/>
        <d v="2020-06-25T00:00:00"/>
        <d v="2022-03-17T00:00:00"/>
        <d v="2020-08-20T00:00:00"/>
        <d v="2021-03-03T00:00:00"/>
        <d v="2021-05-05T00:00:00"/>
        <d v="2020-09-05T00:00:00"/>
        <d v="2020-06-12T00:00:00"/>
        <d v="2020-03-12T00:00:00"/>
        <d v="2021-08-30T00:00:00"/>
        <d v="2020-05-22T00:00:00"/>
        <d v="2022-05-02T00:00:00"/>
        <d v="2020-08-06T00:00:00"/>
        <d v="2022-02-17T00:00:00"/>
        <d v="2023-02-25T00:00:00"/>
        <d v="2022-06-18T00:00:00"/>
        <d v="2022-05-18T00:00:00"/>
        <d v="2020-08-05T00:00:00"/>
        <d v="2022-04-27T00:00:00"/>
        <d v="2020-09-09T00:00:00"/>
        <d v="2022-10-02T00:00:00"/>
        <d v="2022-03-02T00:00:00"/>
        <d v="2020-06-19T00:00:00"/>
        <d v="2020-09-23T00:00:00"/>
        <d v="2021-01-06T00:00:00"/>
        <d v="2022-03-01T00:00:00"/>
        <d v="2020-11-09T00:00:00"/>
        <d v="2022-04-21T00:00:00"/>
        <d v="2020-07-13T00:00:00"/>
        <d v="2022-05-16T00:00:00"/>
        <d v="2022-11-26T00:00:00"/>
        <d v="2021-11-02T00:00:00"/>
        <d v="2020-11-25T00:00:00"/>
        <d v="2022-11-19T00:00:00"/>
        <d v="2020-10-20T00:00:00"/>
        <d v="2021-09-23T00:00:00"/>
      </sharedItems>
      <fieldGroup par="10"/>
    </cacheField>
    <cacheField name="Month_Year" numFmtId="14">
      <sharedItems count="37">
        <s v="2022-12"/>
        <s v="2022-07"/>
        <s v="2022-11"/>
        <s v="2023-01"/>
        <s v="2022-08"/>
        <s v="2020-04"/>
        <s v="2022-06"/>
        <s v="2022-09"/>
        <s v="2022-10"/>
        <s v="2023-03"/>
        <s v="2020-05"/>
        <s v="2020-12"/>
        <s v="2023-02"/>
        <s v="2022-03"/>
        <s v="2020-03"/>
        <s v="2022-04"/>
        <s v="2020-09"/>
        <s v="2022-05"/>
        <s v="2020-06"/>
        <s v="2021-01"/>
        <s v="2020-11"/>
        <s v="2021-12"/>
        <s v="2021-11"/>
        <s v="2020-07"/>
        <s v="2021-02"/>
        <s v="2021-08"/>
        <s v="2021-09"/>
        <s v="2020-10"/>
        <s v="2021-03"/>
        <s v="2022-02"/>
        <s v="2020-08"/>
        <s v="2022-01"/>
        <s v="2021-10"/>
        <s v="2021-06"/>
        <s v="2021-04"/>
        <s v="2021-07"/>
        <s v="2021-05"/>
      </sharedItems>
    </cacheField>
    <cacheField name="stage" numFmtId="0">
      <sharedItems count="17">
        <s v="Post-IPO"/>
        <s v="Series E"/>
        <s v="Series A"/>
        <s v="Series B"/>
        <s v="Series C"/>
        <s v="Series D"/>
        <s v="Unknown"/>
        <s v="Acquired"/>
        <s v="Series F"/>
        <s v="NULL"/>
        <s v="Private Equity"/>
        <s v="Seed"/>
        <s v="Series H"/>
        <s v="Series G"/>
        <s v="Series I"/>
        <s v="Subsidiary"/>
        <s v="Series J"/>
      </sharedItems>
    </cacheField>
    <cacheField name="country" numFmtId="0">
      <sharedItems count="59">
        <s v="Canada"/>
        <s v="United States"/>
        <s v="Ireland"/>
        <s v="Brazil"/>
        <s v="Australia"/>
        <s v="Sweden"/>
        <s v="India"/>
        <s v="Germany"/>
        <s v="Colombia"/>
        <s v="Singapore"/>
        <s v="Pakistan"/>
        <s v="Denmark"/>
        <s v="Indonesia"/>
        <s v="Finland"/>
        <s v="Nigeria"/>
        <s v="Russia"/>
        <s v="Hong Kong"/>
        <s v="Israel"/>
        <s v="United Kingdom"/>
        <s v="United Arab Emirates"/>
        <s v="France"/>
        <s v="Greece"/>
        <s v="Chile"/>
        <s v="China"/>
        <s v="Seychelles"/>
        <s v="Austria"/>
        <s v="Hungary"/>
        <s v="Mexico"/>
        <s v="Netherlands"/>
        <s v="Poland"/>
        <s v="Argentina"/>
        <s v="Egypt"/>
        <s v="Malaysia"/>
        <s v="Italy"/>
        <s v="Kenya"/>
        <s v="Belgium"/>
        <s v="Peru"/>
        <s v="Japan"/>
        <s v="Portugal"/>
        <s v="New Zealand"/>
        <s v="Myanmar"/>
        <s v="Romania"/>
        <s v="Turkey"/>
        <s v="Spain"/>
        <s v="South Korea"/>
        <s v="Czech Republic"/>
        <s v="Luxembourg"/>
        <s v="Switzerland"/>
        <s v="Norway"/>
        <s v="Estonia"/>
        <s v="Thailand"/>
        <s v="Vietnam"/>
        <s v="Bahrain"/>
        <s v="Bulgaria"/>
        <s v="Uruguay"/>
        <s v="Lithuania"/>
        <s v="Ghana"/>
        <s v="Senegal"/>
        <s v="South Africa"/>
      </sharedItems>
    </cacheField>
    <cacheField name="funds_raised_millions" numFmtId="0">
      <sharedItems containsString="0" containsBlank="1" containsNumber="1" containsInteger="1" minValue="0" maxValue="121900"/>
    </cacheField>
    <cacheField name="Years (date)" numFmtId="0" databaseField="0">
      <fieldGroup base="5">
        <rangePr groupBy="years" startDate="2020-03-11T00:00:00" endDate="2023-03-07T00:00:00"/>
        <groupItems count="6">
          <s v="&lt;11/03/2020"/>
          <s v="2020"/>
          <s v="2021"/>
          <s v="2022"/>
          <s v="2023"/>
          <s v="&gt;07/03/2023"/>
        </groupItems>
      </fieldGroup>
    </cacheField>
  </cacheFields>
  <extLst>
    <ext xmlns:x14="http://schemas.microsoft.com/office/spreadsheetml/2009/9/main" uri="{725AE2AE-9491-48be-B2B4-4EB974FC3084}">
      <x14:pivotCacheDefinition pivotCacheId="2030889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5">
  <r>
    <x v="0"/>
    <x v="0"/>
    <x v="0"/>
    <m/>
    <x v="0"/>
    <x v="0"/>
    <x v="0"/>
    <x v="0"/>
    <x v="0"/>
    <m/>
  </r>
  <r>
    <x v="1"/>
    <x v="1"/>
    <x v="1"/>
    <m/>
    <x v="1"/>
    <x v="1"/>
    <x v="1"/>
    <x v="1"/>
    <x v="1"/>
    <n v="272"/>
  </r>
  <r>
    <x v="2"/>
    <x v="2"/>
    <x v="2"/>
    <n v="9"/>
    <x v="2"/>
    <x v="2"/>
    <x v="2"/>
    <x v="2"/>
    <x v="2"/>
    <n v="35"/>
  </r>
  <r>
    <x v="3"/>
    <x v="0"/>
    <x v="2"/>
    <n v="19"/>
    <x v="3"/>
    <x v="3"/>
    <x v="3"/>
    <x v="3"/>
    <x v="0"/>
    <n v="21"/>
  </r>
  <r>
    <x v="4"/>
    <x v="3"/>
    <x v="3"/>
    <n v="12"/>
    <x v="0"/>
    <x v="4"/>
    <x v="1"/>
    <x v="4"/>
    <x v="1"/>
    <n v="120"/>
  </r>
  <r>
    <x v="4"/>
    <x v="3"/>
    <x v="4"/>
    <m/>
    <x v="0"/>
    <x v="5"/>
    <x v="3"/>
    <x v="4"/>
    <x v="1"/>
    <n v="120"/>
  </r>
  <r>
    <x v="5"/>
    <x v="1"/>
    <x v="1"/>
    <n v="100"/>
    <x v="4"/>
    <x v="6"/>
    <x v="4"/>
    <x v="0"/>
    <x v="1"/>
    <n v="242"/>
  </r>
  <r>
    <x v="6"/>
    <x v="4"/>
    <x v="4"/>
    <n v="70"/>
    <x v="3"/>
    <x v="7"/>
    <x v="5"/>
    <x v="5"/>
    <x v="1"/>
    <n v="253"/>
  </r>
  <r>
    <x v="7"/>
    <x v="5"/>
    <x v="5"/>
    <n v="90"/>
    <x v="5"/>
    <x v="8"/>
    <x v="6"/>
    <x v="6"/>
    <x v="3"/>
    <n v="250"/>
  </r>
  <r>
    <x v="7"/>
    <x v="5"/>
    <x v="5"/>
    <n v="100"/>
    <x v="6"/>
    <x v="9"/>
    <x v="7"/>
    <x v="6"/>
    <x v="3"/>
    <n v="250"/>
  </r>
  <r>
    <x v="8"/>
    <x v="6"/>
    <x v="6"/>
    <m/>
    <x v="7"/>
    <x v="10"/>
    <x v="1"/>
    <x v="0"/>
    <x v="1"/>
    <n v="426"/>
  </r>
  <r>
    <x v="9"/>
    <x v="6"/>
    <x v="1"/>
    <n v="95"/>
    <x v="8"/>
    <x v="11"/>
    <x v="4"/>
    <x v="3"/>
    <x v="1"/>
    <n v="44"/>
  </r>
  <r>
    <x v="10"/>
    <x v="7"/>
    <x v="7"/>
    <m/>
    <x v="9"/>
    <x v="12"/>
    <x v="6"/>
    <x v="2"/>
    <x v="4"/>
    <n v="12"/>
  </r>
  <r>
    <x v="11"/>
    <x v="1"/>
    <x v="8"/>
    <n v="150"/>
    <x v="10"/>
    <x v="13"/>
    <x v="8"/>
    <x v="1"/>
    <x v="1"/>
    <n v="426"/>
  </r>
  <r>
    <x v="12"/>
    <x v="8"/>
    <x v="9"/>
    <m/>
    <x v="10"/>
    <x v="14"/>
    <x v="3"/>
    <x v="6"/>
    <x v="1"/>
    <n v="275"/>
  </r>
  <r>
    <x v="13"/>
    <x v="1"/>
    <x v="10"/>
    <n v="155"/>
    <x v="11"/>
    <x v="14"/>
    <x v="3"/>
    <x v="0"/>
    <x v="1"/>
    <n v="253"/>
  </r>
  <r>
    <x v="13"/>
    <x v="1"/>
    <x v="10"/>
    <n v="200"/>
    <x v="2"/>
    <x v="15"/>
    <x v="8"/>
    <x v="0"/>
    <x v="1"/>
    <n v="253"/>
  </r>
  <r>
    <x v="14"/>
    <x v="9"/>
    <x v="1"/>
    <m/>
    <x v="10"/>
    <x v="16"/>
    <x v="1"/>
    <x v="1"/>
    <x v="1"/>
    <n v="247"/>
  </r>
  <r>
    <x v="15"/>
    <x v="5"/>
    <x v="0"/>
    <n v="75"/>
    <x v="12"/>
    <x v="17"/>
    <x v="7"/>
    <x v="7"/>
    <x v="3"/>
    <n v="244"/>
  </r>
  <r>
    <x v="16"/>
    <x v="1"/>
    <x v="5"/>
    <n v="12"/>
    <x v="13"/>
    <x v="18"/>
    <x v="6"/>
    <x v="4"/>
    <x v="1"/>
    <n v="106"/>
  </r>
  <r>
    <x v="17"/>
    <x v="10"/>
    <x v="1"/>
    <n v="40"/>
    <x v="0"/>
    <x v="19"/>
    <x v="4"/>
    <x v="0"/>
    <x v="1"/>
    <n v="237"/>
  </r>
  <r>
    <x v="18"/>
    <x v="11"/>
    <x v="11"/>
    <n v="70"/>
    <x v="6"/>
    <x v="20"/>
    <x v="7"/>
    <x v="0"/>
    <x v="5"/>
    <n v="126"/>
  </r>
  <r>
    <x v="19"/>
    <x v="9"/>
    <x v="1"/>
    <m/>
    <x v="0"/>
    <x v="21"/>
    <x v="9"/>
    <x v="0"/>
    <x v="1"/>
    <n v="458"/>
  </r>
  <r>
    <x v="20"/>
    <x v="12"/>
    <x v="12"/>
    <n v="45"/>
    <x v="2"/>
    <x v="22"/>
    <x v="5"/>
    <x v="6"/>
    <x v="6"/>
    <n v="143"/>
  </r>
  <r>
    <x v="21"/>
    <x v="13"/>
    <x v="12"/>
    <n v="50"/>
    <x v="0"/>
    <x v="23"/>
    <x v="10"/>
    <x v="6"/>
    <x v="1"/>
    <n v="207"/>
  </r>
  <r>
    <x v="22"/>
    <x v="14"/>
    <x v="13"/>
    <n v="54"/>
    <x v="0"/>
    <x v="24"/>
    <x v="11"/>
    <x v="7"/>
    <x v="1"/>
    <n v="352"/>
  </r>
  <r>
    <x v="23"/>
    <x v="15"/>
    <x v="2"/>
    <m/>
    <x v="6"/>
    <x v="25"/>
    <x v="8"/>
    <x v="4"/>
    <x v="1"/>
    <n v="360"/>
  </r>
  <r>
    <x v="24"/>
    <x v="0"/>
    <x v="10"/>
    <m/>
    <x v="0"/>
    <x v="26"/>
    <x v="12"/>
    <x v="4"/>
    <x v="0"/>
    <n v="190"/>
  </r>
  <r>
    <x v="24"/>
    <x v="0"/>
    <x v="10"/>
    <n v="78"/>
    <x v="14"/>
    <x v="17"/>
    <x v="7"/>
    <x v="4"/>
    <x v="0"/>
    <n v="190"/>
  </r>
  <r>
    <x v="25"/>
    <x v="16"/>
    <x v="1"/>
    <n v="50"/>
    <x v="0"/>
    <x v="27"/>
    <x v="8"/>
    <x v="3"/>
    <x v="7"/>
    <n v="189"/>
  </r>
  <r>
    <x v="26"/>
    <x v="0"/>
    <x v="10"/>
    <n v="36"/>
    <x v="15"/>
    <x v="28"/>
    <x v="5"/>
    <x v="3"/>
    <x v="0"/>
    <n v="60"/>
  </r>
  <r>
    <x v="27"/>
    <x v="9"/>
    <x v="1"/>
    <n v="100"/>
    <x v="5"/>
    <x v="29"/>
    <x v="13"/>
    <x v="0"/>
    <x v="1"/>
    <n v="406"/>
  </r>
  <r>
    <x v="28"/>
    <x v="1"/>
    <x v="14"/>
    <m/>
    <x v="0"/>
    <x v="30"/>
    <x v="14"/>
    <x v="4"/>
    <x v="1"/>
    <n v="67"/>
  </r>
  <r>
    <x v="29"/>
    <x v="1"/>
    <x v="12"/>
    <n v="20"/>
    <x v="16"/>
    <x v="14"/>
    <x v="3"/>
    <x v="8"/>
    <x v="1"/>
    <n v="491"/>
  </r>
  <r>
    <x v="30"/>
    <x v="17"/>
    <x v="12"/>
    <m/>
    <x v="0"/>
    <x v="31"/>
    <x v="6"/>
    <x v="4"/>
    <x v="8"/>
    <n v="376"/>
  </r>
  <r>
    <x v="31"/>
    <x v="1"/>
    <x v="2"/>
    <n v="100"/>
    <x v="0"/>
    <x v="32"/>
    <x v="0"/>
    <x v="0"/>
    <x v="1"/>
    <n v="2"/>
  </r>
  <r>
    <x v="32"/>
    <x v="18"/>
    <x v="2"/>
    <n v="210"/>
    <x v="8"/>
    <x v="30"/>
    <x v="14"/>
    <x v="4"/>
    <x v="1"/>
    <n v="89"/>
  </r>
  <r>
    <x v="33"/>
    <x v="9"/>
    <x v="1"/>
    <n v="32"/>
    <x v="17"/>
    <x v="33"/>
    <x v="8"/>
    <x v="9"/>
    <x v="1"/>
    <m/>
  </r>
  <r>
    <x v="34"/>
    <x v="19"/>
    <x v="2"/>
    <n v="40"/>
    <x v="0"/>
    <x v="34"/>
    <x v="1"/>
    <x v="6"/>
    <x v="1"/>
    <n v="20"/>
  </r>
  <r>
    <x v="35"/>
    <x v="1"/>
    <x v="12"/>
    <m/>
    <x v="18"/>
    <x v="35"/>
    <x v="2"/>
    <x v="0"/>
    <x v="1"/>
    <n v="1500"/>
  </r>
  <r>
    <x v="35"/>
    <x v="1"/>
    <x v="12"/>
    <n v="500"/>
    <x v="19"/>
    <x v="36"/>
    <x v="12"/>
    <x v="0"/>
    <x v="1"/>
    <n v="1500"/>
  </r>
  <r>
    <x v="36"/>
    <x v="20"/>
    <x v="3"/>
    <n v="60"/>
    <x v="7"/>
    <x v="12"/>
    <x v="6"/>
    <x v="6"/>
    <x v="3"/>
    <m/>
  </r>
  <r>
    <x v="37"/>
    <x v="21"/>
    <x v="14"/>
    <n v="1500"/>
    <x v="9"/>
    <x v="37"/>
    <x v="10"/>
    <x v="7"/>
    <x v="9"/>
    <m/>
  </r>
  <r>
    <x v="38"/>
    <x v="1"/>
    <x v="1"/>
    <n v="44"/>
    <x v="20"/>
    <x v="38"/>
    <x v="15"/>
    <x v="6"/>
    <x v="1"/>
    <n v="9"/>
  </r>
  <r>
    <x v="39"/>
    <x v="4"/>
    <x v="2"/>
    <m/>
    <x v="14"/>
    <x v="39"/>
    <x v="16"/>
    <x v="2"/>
    <x v="1"/>
    <n v="18"/>
  </r>
  <r>
    <x v="40"/>
    <x v="1"/>
    <x v="14"/>
    <n v="30"/>
    <x v="0"/>
    <x v="21"/>
    <x v="9"/>
    <x v="0"/>
    <x v="1"/>
    <n v="6400"/>
  </r>
  <r>
    <x v="40"/>
    <x v="1"/>
    <x v="14"/>
    <n v="1900"/>
    <x v="9"/>
    <x v="40"/>
    <x v="10"/>
    <x v="10"/>
    <x v="1"/>
    <n v="5400"/>
  </r>
  <r>
    <x v="41"/>
    <x v="22"/>
    <x v="15"/>
    <m/>
    <x v="21"/>
    <x v="41"/>
    <x v="17"/>
    <x v="3"/>
    <x v="10"/>
    <n v="109"/>
  </r>
  <r>
    <x v="41"/>
    <x v="22"/>
    <x v="15"/>
    <m/>
    <x v="20"/>
    <x v="42"/>
    <x v="1"/>
    <x v="3"/>
    <x v="10"/>
    <n v="109"/>
  </r>
  <r>
    <x v="42"/>
    <x v="3"/>
    <x v="16"/>
    <m/>
    <x v="0"/>
    <x v="43"/>
    <x v="5"/>
    <x v="6"/>
    <x v="1"/>
    <n v="75"/>
  </r>
  <r>
    <x v="43"/>
    <x v="1"/>
    <x v="17"/>
    <n v="254"/>
    <x v="7"/>
    <x v="44"/>
    <x v="0"/>
    <x v="8"/>
    <x v="1"/>
    <n v="1400"/>
  </r>
  <r>
    <x v="44"/>
    <x v="23"/>
    <x v="3"/>
    <n v="15"/>
    <x v="0"/>
    <x v="45"/>
    <x v="6"/>
    <x v="6"/>
    <x v="11"/>
    <n v="7"/>
  </r>
  <r>
    <x v="45"/>
    <x v="7"/>
    <x v="3"/>
    <m/>
    <x v="0"/>
    <x v="46"/>
    <x v="1"/>
    <x v="4"/>
    <x v="4"/>
    <n v="26"/>
  </r>
  <r>
    <x v="46"/>
    <x v="4"/>
    <x v="3"/>
    <n v="30"/>
    <x v="7"/>
    <x v="47"/>
    <x v="17"/>
    <x v="3"/>
    <x v="1"/>
    <n v="33"/>
  </r>
  <r>
    <x v="47"/>
    <x v="24"/>
    <x v="14"/>
    <m/>
    <x v="22"/>
    <x v="48"/>
    <x v="5"/>
    <x v="6"/>
    <x v="12"/>
    <m/>
  </r>
  <r>
    <x v="47"/>
    <x v="24"/>
    <x v="14"/>
    <m/>
    <x v="20"/>
    <x v="49"/>
    <x v="10"/>
    <x v="6"/>
    <x v="12"/>
    <m/>
  </r>
  <r>
    <x v="48"/>
    <x v="25"/>
    <x v="18"/>
    <m/>
    <x v="7"/>
    <x v="14"/>
    <x v="3"/>
    <x v="5"/>
    <x v="13"/>
    <n v="420"/>
  </r>
  <r>
    <x v="49"/>
    <x v="24"/>
    <x v="12"/>
    <n v="67"/>
    <x v="4"/>
    <x v="50"/>
    <x v="2"/>
    <x v="6"/>
    <x v="12"/>
    <n v="245"/>
  </r>
  <r>
    <x v="50"/>
    <x v="26"/>
    <x v="15"/>
    <m/>
    <x v="0"/>
    <x v="51"/>
    <x v="17"/>
    <x v="6"/>
    <x v="1"/>
    <n v="46"/>
  </r>
  <r>
    <x v="50"/>
    <x v="26"/>
    <x v="15"/>
    <m/>
    <x v="0"/>
    <x v="52"/>
    <x v="16"/>
    <x v="0"/>
    <x v="1"/>
    <m/>
  </r>
  <r>
    <x v="51"/>
    <x v="27"/>
    <x v="1"/>
    <n v="46"/>
    <x v="8"/>
    <x v="53"/>
    <x v="3"/>
    <x v="11"/>
    <x v="1"/>
    <m/>
  </r>
  <r>
    <x v="52"/>
    <x v="24"/>
    <x v="12"/>
    <n v="100"/>
    <x v="0"/>
    <x v="54"/>
    <x v="5"/>
    <x v="5"/>
    <x v="12"/>
    <n v="160"/>
  </r>
  <r>
    <x v="53"/>
    <x v="28"/>
    <x v="1"/>
    <n v="80"/>
    <x v="23"/>
    <x v="55"/>
    <x v="4"/>
    <x v="5"/>
    <x v="0"/>
    <n v="293"/>
  </r>
  <r>
    <x v="54"/>
    <x v="3"/>
    <x v="12"/>
    <n v="20"/>
    <x v="4"/>
    <x v="56"/>
    <x v="6"/>
    <x v="4"/>
    <x v="1"/>
    <n v="175"/>
  </r>
  <r>
    <x v="55"/>
    <x v="29"/>
    <x v="13"/>
    <m/>
    <x v="0"/>
    <x v="57"/>
    <x v="5"/>
    <x v="2"/>
    <x v="1"/>
    <n v="16"/>
  </r>
  <r>
    <x v="56"/>
    <x v="30"/>
    <x v="4"/>
    <m/>
    <x v="0"/>
    <x v="58"/>
    <x v="7"/>
    <x v="3"/>
    <x v="14"/>
    <n v="16"/>
  </r>
  <r>
    <x v="56"/>
    <x v="30"/>
    <x v="4"/>
    <n v="400"/>
    <x v="0"/>
    <x v="59"/>
    <x v="9"/>
    <x v="3"/>
    <x v="14"/>
    <n v="16"/>
  </r>
  <r>
    <x v="57"/>
    <x v="5"/>
    <x v="1"/>
    <n v="63"/>
    <x v="0"/>
    <x v="60"/>
    <x v="1"/>
    <x v="4"/>
    <x v="3"/>
    <n v="174"/>
  </r>
  <r>
    <x v="57"/>
    <x v="5"/>
    <x v="1"/>
    <n v="113"/>
    <x v="14"/>
    <x v="61"/>
    <x v="0"/>
    <x v="4"/>
    <x v="3"/>
    <n v="174"/>
  </r>
  <r>
    <x v="58"/>
    <x v="31"/>
    <x v="4"/>
    <n v="400"/>
    <x v="24"/>
    <x v="62"/>
    <x v="17"/>
    <x v="7"/>
    <x v="15"/>
    <n v="60"/>
  </r>
  <r>
    <x v="59"/>
    <x v="1"/>
    <x v="4"/>
    <n v="23"/>
    <x v="0"/>
    <x v="10"/>
    <x v="1"/>
    <x v="0"/>
    <x v="1"/>
    <n v="202"/>
  </r>
  <r>
    <x v="60"/>
    <x v="1"/>
    <x v="19"/>
    <m/>
    <x v="0"/>
    <x v="57"/>
    <x v="5"/>
    <x v="3"/>
    <x v="1"/>
    <n v="64"/>
  </r>
  <r>
    <x v="61"/>
    <x v="1"/>
    <x v="20"/>
    <m/>
    <x v="0"/>
    <x v="63"/>
    <x v="4"/>
    <x v="2"/>
    <x v="1"/>
    <n v="45"/>
  </r>
  <r>
    <x v="62"/>
    <x v="1"/>
    <x v="1"/>
    <m/>
    <x v="0"/>
    <x v="64"/>
    <x v="1"/>
    <x v="1"/>
    <x v="1"/>
    <n v="560"/>
  </r>
  <r>
    <x v="62"/>
    <x v="1"/>
    <x v="1"/>
    <n v="47"/>
    <x v="1"/>
    <x v="65"/>
    <x v="16"/>
    <x v="5"/>
    <x v="1"/>
    <n v="356"/>
  </r>
  <r>
    <x v="63"/>
    <x v="9"/>
    <x v="4"/>
    <n v="150"/>
    <x v="0"/>
    <x v="33"/>
    <x v="8"/>
    <x v="0"/>
    <x v="1"/>
    <n v="108"/>
  </r>
  <r>
    <x v="63"/>
    <x v="9"/>
    <x v="4"/>
    <n v="8000"/>
    <x v="12"/>
    <x v="66"/>
    <x v="3"/>
    <x v="0"/>
    <x v="1"/>
    <n v="108"/>
  </r>
  <r>
    <x v="63"/>
    <x v="9"/>
    <x v="4"/>
    <n v="10000"/>
    <x v="16"/>
    <x v="67"/>
    <x v="2"/>
    <x v="0"/>
    <x v="1"/>
    <n v="108"/>
  </r>
  <r>
    <x v="64"/>
    <x v="32"/>
    <x v="5"/>
    <m/>
    <x v="10"/>
    <x v="68"/>
    <x v="7"/>
    <x v="3"/>
    <x v="16"/>
    <n v="328"/>
  </r>
  <r>
    <x v="65"/>
    <x v="33"/>
    <x v="9"/>
    <n v="50"/>
    <x v="0"/>
    <x v="69"/>
    <x v="9"/>
    <x v="7"/>
    <x v="3"/>
    <m/>
  </r>
  <r>
    <x v="66"/>
    <x v="34"/>
    <x v="10"/>
    <n v="700"/>
    <x v="16"/>
    <x v="70"/>
    <x v="3"/>
    <x v="0"/>
    <x v="1"/>
    <m/>
  </r>
  <r>
    <x v="67"/>
    <x v="14"/>
    <x v="20"/>
    <n v="50"/>
    <x v="25"/>
    <x v="71"/>
    <x v="3"/>
    <x v="7"/>
    <x v="1"/>
    <n v="92"/>
  </r>
  <r>
    <x v="68"/>
    <x v="1"/>
    <x v="2"/>
    <m/>
    <x v="0"/>
    <x v="72"/>
    <x v="2"/>
    <x v="7"/>
    <x v="1"/>
    <n v="72"/>
  </r>
  <r>
    <x v="69"/>
    <x v="15"/>
    <x v="12"/>
    <m/>
    <x v="26"/>
    <x v="73"/>
    <x v="6"/>
    <x v="6"/>
    <x v="1"/>
    <n v="283"/>
  </r>
  <r>
    <x v="69"/>
    <x v="15"/>
    <x v="12"/>
    <n v="130"/>
    <x v="9"/>
    <x v="74"/>
    <x v="12"/>
    <x v="6"/>
    <x v="1"/>
    <n v="283"/>
  </r>
  <r>
    <x v="70"/>
    <x v="9"/>
    <x v="2"/>
    <n v="13"/>
    <x v="16"/>
    <x v="75"/>
    <x v="4"/>
    <x v="5"/>
    <x v="1"/>
    <n v="187"/>
  </r>
  <r>
    <x v="71"/>
    <x v="9"/>
    <x v="2"/>
    <n v="17"/>
    <x v="20"/>
    <x v="76"/>
    <x v="14"/>
    <x v="3"/>
    <x v="1"/>
    <n v="25"/>
  </r>
  <r>
    <x v="72"/>
    <x v="3"/>
    <x v="1"/>
    <n v="17"/>
    <x v="0"/>
    <x v="57"/>
    <x v="5"/>
    <x v="2"/>
    <x v="1"/>
    <n v="14"/>
  </r>
  <r>
    <x v="73"/>
    <x v="4"/>
    <x v="21"/>
    <n v="135"/>
    <x v="10"/>
    <x v="40"/>
    <x v="10"/>
    <x v="5"/>
    <x v="1"/>
    <n v="181"/>
  </r>
  <r>
    <x v="74"/>
    <x v="1"/>
    <x v="21"/>
    <n v="20"/>
    <x v="0"/>
    <x v="30"/>
    <x v="14"/>
    <x v="3"/>
    <x v="1"/>
    <n v="26"/>
  </r>
  <r>
    <x v="75"/>
    <x v="35"/>
    <x v="13"/>
    <n v="35"/>
    <x v="27"/>
    <x v="77"/>
    <x v="1"/>
    <x v="4"/>
    <x v="1"/>
    <n v="64"/>
  </r>
  <r>
    <x v="76"/>
    <x v="35"/>
    <x v="1"/>
    <n v="23"/>
    <x v="28"/>
    <x v="78"/>
    <x v="8"/>
    <x v="6"/>
    <x v="17"/>
    <n v="36"/>
  </r>
  <r>
    <x v="77"/>
    <x v="35"/>
    <x v="22"/>
    <m/>
    <x v="0"/>
    <x v="79"/>
    <x v="14"/>
    <x v="2"/>
    <x v="17"/>
    <n v="74"/>
  </r>
  <r>
    <x v="78"/>
    <x v="35"/>
    <x v="23"/>
    <n v="11"/>
    <x v="0"/>
    <x v="80"/>
    <x v="4"/>
    <x v="2"/>
    <x v="17"/>
    <n v="15"/>
  </r>
  <r>
    <x v="79"/>
    <x v="1"/>
    <x v="23"/>
    <n v="29"/>
    <x v="10"/>
    <x v="81"/>
    <x v="4"/>
    <x v="5"/>
    <x v="1"/>
    <n v="169"/>
  </r>
  <r>
    <x v="80"/>
    <x v="36"/>
    <x v="9"/>
    <m/>
    <x v="0"/>
    <x v="60"/>
    <x v="1"/>
    <x v="1"/>
    <x v="1"/>
    <n v="640"/>
  </r>
  <r>
    <x v="81"/>
    <x v="1"/>
    <x v="17"/>
    <m/>
    <x v="6"/>
    <x v="82"/>
    <x v="0"/>
    <x v="5"/>
    <x v="1"/>
    <n v="183"/>
  </r>
  <r>
    <x v="82"/>
    <x v="10"/>
    <x v="12"/>
    <m/>
    <x v="9"/>
    <x v="83"/>
    <x v="2"/>
    <x v="3"/>
    <x v="0"/>
    <n v="11"/>
  </r>
  <r>
    <x v="83"/>
    <x v="1"/>
    <x v="13"/>
    <n v="80"/>
    <x v="26"/>
    <x v="84"/>
    <x v="5"/>
    <x v="6"/>
    <x v="1"/>
    <n v="156"/>
  </r>
  <r>
    <x v="84"/>
    <x v="37"/>
    <x v="22"/>
    <n v="34"/>
    <x v="4"/>
    <x v="26"/>
    <x v="12"/>
    <x v="0"/>
    <x v="1"/>
    <m/>
  </r>
  <r>
    <x v="84"/>
    <x v="37"/>
    <x v="22"/>
    <n v="130"/>
    <x v="29"/>
    <x v="16"/>
    <x v="1"/>
    <x v="0"/>
    <x v="1"/>
    <m/>
  </r>
  <r>
    <x v="85"/>
    <x v="1"/>
    <x v="2"/>
    <n v="300"/>
    <x v="5"/>
    <x v="73"/>
    <x v="6"/>
    <x v="0"/>
    <x v="1"/>
    <n v="1600"/>
  </r>
  <r>
    <x v="86"/>
    <x v="38"/>
    <x v="6"/>
    <n v="90"/>
    <x v="1"/>
    <x v="50"/>
    <x v="2"/>
    <x v="5"/>
    <x v="0"/>
    <n v="483"/>
  </r>
  <r>
    <x v="87"/>
    <x v="39"/>
    <x v="9"/>
    <n v="80"/>
    <x v="8"/>
    <x v="85"/>
    <x v="6"/>
    <x v="6"/>
    <x v="6"/>
    <n v="12"/>
  </r>
  <r>
    <x v="88"/>
    <x v="14"/>
    <x v="22"/>
    <n v="65"/>
    <x v="10"/>
    <x v="86"/>
    <x v="0"/>
    <x v="1"/>
    <x v="1"/>
    <n v="265"/>
  </r>
  <r>
    <x v="88"/>
    <x v="35"/>
    <x v="22"/>
    <n v="24"/>
    <x v="2"/>
    <x v="22"/>
    <x v="5"/>
    <x v="4"/>
    <x v="17"/>
    <n v="100"/>
  </r>
  <r>
    <x v="89"/>
    <x v="1"/>
    <x v="19"/>
    <n v="13"/>
    <x v="0"/>
    <x v="87"/>
    <x v="1"/>
    <x v="11"/>
    <x v="1"/>
    <n v="1"/>
  </r>
  <r>
    <x v="90"/>
    <x v="40"/>
    <x v="1"/>
    <m/>
    <x v="20"/>
    <x v="88"/>
    <x v="3"/>
    <x v="4"/>
    <x v="1"/>
    <n v="155"/>
  </r>
  <r>
    <x v="90"/>
    <x v="34"/>
    <x v="1"/>
    <m/>
    <x v="0"/>
    <x v="89"/>
    <x v="12"/>
    <x v="4"/>
    <x v="1"/>
    <n v="155"/>
  </r>
  <r>
    <x v="91"/>
    <x v="37"/>
    <x v="22"/>
    <m/>
    <x v="0"/>
    <x v="90"/>
    <x v="1"/>
    <x v="6"/>
    <x v="1"/>
    <m/>
  </r>
  <r>
    <x v="92"/>
    <x v="41"/>
    <x v="0"/>
    <n v="100"/>
    <x v="0"/>
    <x v="91"/>
    <x v="18"/>
    <x v="6"/>
    <x v="7"/>
    <n v="3600"/>
  </r>
  <r>
    <x v="92"/>
    <x v="42"/>
    <x v="0"/>
    <n v="150"/>
    <x v="13"/>
    <x v="34"/>
    <x v="1"/>
    <x v="6"/>
    <x v="1"/>
    <n v="3600"/>
  </r>
  <r>
    <x v="92"/>
    <x v="42"/>
    <x v="0"/>
    <n v="173"/>
    <x v="0"/>
    <x v="92"/>
    <x v="8"/>
    <x v="6"/>
    <x v="1"/>
    <n v="3600"/>
  </r>
  <r>
    <x v="92"/>
    <x v="1"/>
    <x v="0"/>
    <n v="259"/>
    <x v="0"/>
    <x v="93"/>
    <x v="2"/>
    <x v="6"/>
    <x v="1"/>
    <n v="3600"/>
  </r>
  <r>
    <x v="93"/>
    <x v="4"/>
    <x v="12"/>
    <n v="20"/>
    <x v="11"/>
    <x v="94"/>
    <x v="4"/>
    <x v="3"/>
    <x v="1"/>
    <n v="78"/>
  </r>
  <r>
    <x v="94"/>
    <x v="1"/>
    <x v="22"/>
    <n v="25"/>
    <x v="30"/>
    <x v="44"/>
    <x v="0"/>
    <x v="10"/>
    <x v="1"/>
    <n v="537"/>
  </r>
  <r>
    <x v="95"/>
    <x v="43"/>
    <x v="0"/>
    <m/>
    <x v="0"/>
    <x v="95"/>
    <x v="8"/>
    <x v="0"/>
    <x v="18"/>
    <n v="629"/>
  </r>
  <r>
    <x v="95"/>
    <x v="43"/>
    <x v="0"/>
    <m/>
    <x v="8"/>
    <x v="4"/>
    <x v="1"/>
    <x v="0"/>
    <x v="18"/>
    <n v="629"/>
  </r>
  <r>
    <x v="95"/>
    <x v="43"/>
    <x v="0"/>
    <n v="800"/>
    <x v="31"/>
    <x v="96"/>
    <x v="3"/>
    <x v="0"/>
    <x v="18"/>
    <n v="629"/>
  </r>
  <r>
    <x v="96"/>
    <x v="29"/>
    <x v="15"/>
    <n v="75"/>
    <x v="11"/>
    <x v="57"/>
    <x v="5"/>
    <x v="3"/>
    <x v="1"/>
    <n v="35"/>
  </r>
  <r>
    <x v="97"/>
    <x v="10"/>
    <x v="4"/>
    <n v="216"/>
    <x v="3"/>
    <x v="6"/>
    <x v="4"/>
    <x v="3"/>
    <x v="0"/>
    <m/>
  </r>
  <r>
    <x v="98"/>
    <x v="4"/>
    <x v="6"/>
    <n v="38"/>
    <x v="0"/>
    <x v="97"/>
    <x v="12"/>
    <x v="2"/>
    <x v="1"/>
    <n v="1500"/>
  </r>
  <r>
    <x v="99"/>
    <x v="16"/>
    <x v="4"/>
    <n v="26"/>
    <x v="32"/>
    <x v="81"/>
    <x v="4"/>
    <x v="6"/>
    <x v="7"/>
    <m/>
  </r>
  <r>
    <x v="100"/>
    <x v="1"/>
    <x v="20"/>
    <n v="180"/>
    <x v="2"/>
    <x v="83"/>
    <x v="2"/>
    <x v="0"/>
    <x v="1"/>
    <n v="453"/>
  </r>
  <r>
    <x v="101"/>
    <x v="13"/>
    <x v="10"/>
    <m/>
    <x v="0"/>
    <x v="98"/>
    <x v="5"/>
    <x v="2"/>
    <x v="1"/>
    <n v="15"/>
  </r>
  <r>
    <x v="102"/>
    <x v="1"/>
    <x v="2"/>
    <n v="23"/>
    <x v="0"/>
    <x v="99"/>
    <x v="1"/>
    <x v="2"/>
    <x v="1"/>
    <n v="27"/>
  </r>
  <r>
    <x v="103"/>
    <x v="18"/>
    <x v="12"/>
    <m/>
    <x v="20"/>
    <x v="100"/>
    <x v="2"/>
    <x v="11"/>
    <x v="1"/>
    <n v="2"/>
  </r>
  <r>
    <x v="104"/>
    <x v="1"/>
    <x v="16"/>
    <m/>
    <x v="14"/>
    <x v="101"/>
    <x v="2"/>
    <x v="0"/>
    <x v="1"/>
    <n v="300"/>
  </r>
  <r>
    <x v="104"/>
    <x v="1"/>
    <x v="16"/>
    <n v="40"/>
    <x v="9"/>
    <x v="102"/>
    <x v="5"/>
    <x v="6"/>
    <x v="1"/>
    <n v="100"/>
  </r>
  <r>
    <x v="105"/>
    <x v="8"/>
    <x v="13"/>
    <n v="76"/>
    <x v="7"/>
    <x v="66"/>
    <x v="3"/>
    <x v="4"/>
    <x v="1"/>
    <n v="282"/>
  </r>
  <r>
    <x v="106"/>
    <x v="44"/>
    <x v="23"/>
    <m/>
    <x v="31"/>
    <x v="7"/>
    <x v="5"/>
    <x v="6"/>
    <x v="1"/>
    <m/>
  </r>
  <r>
    <x v="107"/>
    <x v="4"/>
    <x v="11"/>
    <n v="15"/>
    <x v="0"/>
    <x v="103"/>
    <x v="18"/>
    <x v="3"/>
    <x v="1"/>
    <n v="32"/>
  </r>
  <r>
    <x v="108"/>
    <x v="7"/>
    <x v="20"/>
    <n v="500"/>
    <x v="13"/>
    <x v="59"/>
    <x v="9"/>
    <x v="0"/>
    <x v="4"/>
    <n v="210"/>
  </r>
  <r>
    <x v="109"/>
    <x v="1"/>
    <x v="12"/>
    <n v="32"/>
    <x v="8"/>
    <x v="104"/>
    <x v="8"/>
    <x v="3"/>
    <x v="1"/>
    <n v="177"/>
  </r>
  <r>
    <x v="110"/>
    <x v="21"/>
    <x v="12"/>
    <m/>
    <x v="0"/>
    <x v="105"/>
    <x v="8"/>
    <x v="6"/>
    <x v="9"/>
    <n v="645"/>
  </r>
  <r>
    <x v="111"/>
    <x v="9"/>
    <x v="18"/>
    <n v="6"/>
    <x v="20"/>
    <x v="106"/>
    <x v="5"/>
    <x v="6"/>
    <x v="1"/>
    <n v="1"/>
  </r>
  <r>
    <x v="112"/>
    <x v="4"/>
    <x v="2"/>
    <m/>
    <x v="6"/>
    <x v="107"/>
    <x v="3"/>
    <x v="1"/>
    <x v="1"/>
    <n v="863"/>
  </r>
  <r>
    <x v="113"/>
    <x v="35"/>
    <x v="22"/>
    <n v="19"/>
    <x v="2"/>
    <x v="108"/>
    <x v="3"/>
    <x v="6"/>
    <x v="17"/>
    <n v="80"/>
  </r>
  <r>
    <x v="114"/>
    <x v="4"/>
    <x v="24"/>
    <n v="20"/>
    <x v="13"/>
    <x v="66"/>
    <x v="3"/>
    <x v="1"/>
    <x v="1"/>
    <n v="274"/>
  </r>
  <r>
    <x v="115"/>
    <x v="14"/>
    <x v="22"/>
    <n v="70"/>
    <x v="2"/>
    <x v="109"/>
    <x v="6"/>
    <x v="8"/>
    <x v="1"/>
    <n v="500"/>
  </r>
  <r>
    <x v="116"/>
    <x v="1"/>
    <x v="12"/>
    <m/>
    <x v="0"/>
    <x v="110"/>
    <x v="5"/>
    <x v="6"/>
    <x v="1"/>
    <n v="584"/>
  </r>
  <r>
    <x v="116"/>
    <x v="1"/>
    <x v="12"/>
    <m/>
    <x v="20"/>
    <x v="111"/>
    <x v="19"/>
    <x v="6"/>
    <x v="1"/>
    <n v="584"/>
  </r>
  <r>
    <x v="117"/>
    <x v="45"/>
    <x v="12"/>
    <m/>
    <x v="0"/>
    <x v="112"/>
    <x v="0"/>
    <x v="4"/>
    <x v="1"/>
    <n v="97"/>
  </r>
  <r>
    <x v="118"/>
    <x v="1"/>
    <x v="20"/>
    <n v="250"/>
    <x v="12"/>
    <x v="97"/>
    <x v="12"/>
    <x v="0"/>
    <x v="1"/>
    <m/>
  </r>
  <r>
    <x v="119"/>
    <x v="3"/>
    <x v="5"/>
    <m/>
    <x v="0"/>
    <x v="0"/>
    <x v="0"/>
    <x v="3"/>
    <x v="1"/>
    <n v="205"/>
  </r>
  <r>
    <x v="120"/>
    <x v="1"/>
    <x v="0"/>
    <m/>
    <x v="20"/>
    <x v="113"/>
    <x v="10"/>
    <x v="7"/>
    <x v="1"/>
    <n v="24"/>
  </r>
  <r>
    <x v="121"/>
    <x v="1"/>
    <x v="20"/>
    <n v="260"/>
    <x v="10"/>
    <x v="114"/>
    <x v="5"/>
    <x v="3"/>
    <x v="1"/>
    <n v="840"/>
  </r>
  <r>
    <x v="122"/>
    <x v="46"/>
    <x v="18"/>
    <m/>
    <x v="0"/>
    <x v="115"/>
    <x v="6"/>
    <x v="4"/>
    <x v="1"/>
    <n v="152"/>
  </r>
  <r>
    <x v="122"/>
    <x v="46"/>
    <x v="18"/>
    <m/>
    <x v="33"/>
    <x v="116"/>
    <x v="15"/>
    <x v="4"/>
    <x v="1"/>
    <n v="152"/>
  </r>
  <r>
    <x v="123"/>
    <x v="9"/>
    <x v="12"/>
    <m/>
    <x v="0"/>
    <x v="117"/>
    <x v="3"/>
    <x v="7"/>
    <x v="1"/>
    <n v="341"/>
  </r>
  <r>
    <x v="124"/>
    <x v="47"/>
    <x v="11"/>
    <n v="5"/>
    <x v="7"/>
    <x v="57"/>
    <x v="5"/>
    <x v="6"/>
    <x v="1"/>
    <m/>
  </r>
  <r>
    <x v="125"/>
    <x v="3"/>
    <x v="14"/>
    <n v="80"/>
    <x v="0"/>
    <x v="118"/>
    <x v="6"/>
    <x v="6"/>
    <x v="1"/>
    <n v="811"/>
  </r>
  <r>
    <x v="125"/>
    <x v="3"/>
    <x v="14"/>
    <n v="144"/>
    <x v="29"/>
    <x v="72"/>
    <x v="2"/>
    <x v="10"/>
    <x v="1"/>
    <n v="686"/>
  </r>
  <r>
    <x v="126"/>
    <x v="48"/>
    <x v="22"/>
    <m/>
    <x v="9"/>
    <x v="119"/>
    <x v="2"/>
    <x v="6"/>
    <x v="1"/>
    <m/>
  </r>
  <r>
    <x v="127"/>
    <x v="35"/>
    <x v="9"/>
    <n v="500"/>
    <x v="34"/>
    <x v="120"/>
    <x v="17"/>
    <x v="3"/>
    <x v="17"/>
    <n v="45"/>
  </r>
  <r>
    <x v="128"/>
    <x v="49"/>
    <x v="22"/>
    <m/>
    <x v="0"/>
    <x v="121"/>
    <x v="3"/>
    <x v="4"/>
    <x v="1"/>
    <n v="88"/>
  </r>
  <r>
    <x v="129"/>
    <x v="4"/>
    <x v="4"/>
    <n v="60"/>
    <x v="10"/>
    <x v="98"/>
    <x v="5"/>
    <x v="5"/>
    <x v="1"/>
    <n v="181"/>
  </r>
  <r>
    <x v="130"/>
    <x v="50"/>
    <x v="4"/>
    <m/>
    <x v="20"/>
    <x v="52"/>
    <x v="16"/>
    <x v="2"/>
    <x v="19"/>
    <n v="30"/>
  </r>
  <r>
    <x v="131"/>
    <x v="0"/>
    <x v="12"/>
    <n v="5"/>
    <x v="9"/>
    <x v="122"/>
    <x v="20"/>
    <x v="11"/>
    <x v="1"/>
    <n v="3"/>
  </r>
  <r>
    <x v="132"/>
    <x v="1"/>
    <x v="4"/>
    <n v="250"/>
    <x v="31"/>
    <x v="123"/>
    <x v="14"/>
    <x v="4"/>
    <x v="1"/>
    <n v="88"/>
  </r>
  <r>
    <x v="133"/>
    <x v="43"/>
    <x v="1"/>
    <n v="100"/>
    <x v="0"/>
    <x v="42"/>
    <x v="1"/>
    <x v="0"/>
    <x v="18"/>
    <n v="1100"/>
  </r>
  <r>
    <x v="134"/>
    <x v="51"/>
    <x v="4"/>
    <n v="93"/>
    <x v="35"/>
    <x v="124"/>
    <x v="0"/>
    <x v="1"/>
    <x v="20"/>
    <n v="1000"/>
  </r>
  <r>
    <x v="135"/>
    <x v="44"/>
    <x v="5"/>
    <m/>
    <x v="6"/>
    <x v="44"/>
    <x v="0"/>
    <x v="0"/>
    <x v="1"/>
    <n v="932"/>
  </r>
  <r>
    <x v="136"/>
    <x v="52"/>
    <x v="25"/>
    <m/>
    <x v="6"/>
    <x v="14"/>
    <x v="3"/>
    <x v="0"/>
    <x v="1"/>
    <n v="946"/>
  </r>
  <r>
    <x v="137"/>
    <x v="34"/>
    <x v="8"/>
    <n v="30"/>
    <x v="0"/>
    <x v="125"/>
    <x v="6"/>
    <x v="3"/>
    <x v="1"/>
    <n v="51"/>
  </r>
  <r>
    <x v="137"/>
    <x v="34"/>
    <x v="8"/>
    <n v="35"/>
    <x v="0"/>
    <x v="126"/>
    <x v="0"/>
    <x v="3"/>
    <x v="1"/>
    <n v="51"/>
  </r>
  <r>
    <x v="138"/>
    <x v="53"/>
    <x v="1"/>
    <n v="52"/>
    <x v="0"/>
    <x v="127"/>
    <x v="1"/>
    <x v="6"/>
    <x v="1"/>
    <m/>
  </r>
  <r>
    <x v="139"/>
    <x v="54"/>
    <x v="5"/>
    <n v="70"/>
    <x v="8"/>
    <x v="73"/>
    <x v="6"/>
    <x v="0"/>
    <x v="4"/>
    <n v="13"/>
  </r>
  <r>
    <x v="140"/>
    <x v="7"/>
    <x v="0"/>
    <m/>
    <x v="36"/>
    <x v="36"/>
    <x v="12"/>
    <x v="6"/>
    <x v="4"/>
    <n v="63"/>
  </r>
  <r>
    <x v="141"/>
    <x v="4"/>
    <x v="4"/>
    <n v="126"/>
    <x v="5"/>
    <x v="128"/>
    <x v="12"/>
    <x v="0"/>
    <x v="1"/>
    <m/>
  </r>
  <r>
    <x v="142"/>
    <x v="1"/>
    <x v="0"/>
    <n v="16"/>
    <x v="9"/>
    <x v="118"/>
    <x v="6"/>
    <x v="2"/>
    <x v="1"/>
    <n v="13"/>
  </r>
  <r>
    <x v="143"/>
    <x v="55"/>
    <x v="12"/>
    <m/>
    <x v="0"/>
    <x v="129"/>
    <x v="14"/>
    <x v="2"/>
    <x v="3"/>
    <m/>
  </r>
  <r>
    <x v="144"/>
    <x v="49"/>
    <x v="1"/>
    <n v="31"/>
    <x v="4"/>
    <x v="36"/>
    <x v="12"/>
    <x v="1"/>
    <x v="1"/>
    <n v="168"/>
  </r>
  <r>
    <x v="145"/>
    <x v="43"/>
    <x v="19"/>
    <m/>
    <x v="5"/>
    <x v="5"/>
    <x v="3"/>
    <x v="5"/>
    <x v="1"/>
    <n v="223"/>
  </r>
  <r>
    <x v="146"/>
    <x v="56"/>
    <x v="0"/>
    <m/>
    <x v="0"/>
    <x v="101"/>
    <x v="2"/>
    <x v="3"/>
    <x v="21"/>
    <n v="6"/>
  </r>
  <r>
    <x v="147"/>
    <x v="5"/>
    <x v="12"/>
    <n v="30"/>
    <x v="0"/>
    <x v="106"/>
    <x v="5"/>
    <x v="3"/>
    <x v="3"/>
    <n v="14"/>
  </r>
  <r>
    <x v="148"/>
    <x v="10"/>
    <x v="12"/>
    <n v="47"/>
    <x v="10"/>
    <x v="129"/>
    <x v="14"/>
    <x v="3"/>
    <x v="0"/>
    <n v="49"/>
  </r>
  <r>
    <x v="149"/>
    <x v="57"/>
    <x v="20"/>
    <n v="137"/>
    <x v="23"/>
    <x v="14"/>
    <x v="3"/>
    <x v="6"/>
    <x v="0"/>
    <n v="69"/>
  </r>
  <r>
    <x v="150"/>
    <x v="4"/>
    <x v="4"/>
    <m/>
    <x v="23"/>
    <x v="130"/>
    <x v="2"/>
    <x v="2"/>
    <x v="1"/>
    <n v="380"/>
  </r>
  <r>
    <x v="151"/>
    <x v="1"/>
    <x v="1"/>
    <m/>
    <x v="5"/>
    <x v="19"/>
    <x v="4"/>
    <x v="0"/>
    <x v="1"/>
    <n v="272"/>
  </r>
  <r>
    <x v="152"/>
    <x v="16"/>
    <x v="4"/>
    <n v="100"/>
    <x v="10"/>
    <x v="56"/>
    <x v="6"/>
    <x v="6"/>
    <x v="7"/>
    <n v="1000"/>
  </r>
  <r>
    <x v="153"/>
    <x v="58"/>
    <x v="12"/>
    <n v="41"/>
    <x v="23"/>
    <x v="131"/>
    <x v="6"/>
    <x v="4"/>
    <x v="1"/>
    <n v="137"/>
  </r>
  <r>
    <x v="154"/>
    <x v="4"/>
    <x v="23"/>
    <m/>
    <x v="0"/>
    <x v="132"/>
    <x v="15"/>
    <x v="6"/>
    <x v="1"/>
    <n v="905"/>
  </r>
  <r>
    <x v="154"/>
    <x v="4"/>
    <x v="23"/>
    <m/>
    <x v="0"/>
    <x v="94"/>
    <x v="4"/>
    <x v="6"/>
    <x v="1"/>
    <n v="905"/>
  </r>
  <r>
    <x v="154"/>
    <x v="4"/>
    <x v="23"/>
    <n v="900"/>
    <x v="2"/>
    <x v="133"/>
    <x v="21"/>
    <x v="6"/>
    <x v="1"/>
    <n v="905"/>
  </r>
  <r>
    <x v="154"/>
    <x v="4"/>
    <x v="23"/>
    <n v="3000"/>
    <x v="37"/>
    <x v="29"/>
    <x v="13"/>
    <x v="6"/>
    <x v="1"/>
    <n v="905"/>
  </r>
  <r>
    <x v="155"/>
    <x v="4"/>
    <x v="22"/>
    <m/>
    <x v="0"/>
    <x v="134"/>
    <x v="10"/>
    <x v="1"/>
    <x v="1"/>
    <n v="111"/>
  </r>
  <r>
    <x v="156"/>
    <x v="59"/>
    <x v="1"/>
    <m/>
    <x v="8"/>
    <x v="14"/>
    <x v="3"/>
    <x v="4"/>
    <x v="22"/>
    <n v="204"/>
  </r>
  <r>
    <x v="156"/>
    <x v="59"/>
    <x v="1"/>
    <n v="30"/>
    <x v="0"/>
    <x v="135"/>
    <x v="4"/>
    <x v="4"/>
    <x v="22"/>
    <n v="204"/>
  </r>
  <r>
    <x v="157"/>
    <x v="4"/>
    <x v="12"/>
    <n v="28"/>
    <x v="0"/>
    <x v="136"/>
    <x v="12"/>
    <x v="8"/>
    <x v="1"/>
    <n v="435"/>
  </r>
  <r>
    <x v="158"/>
    <x v="14"/>
    <x v="9"/>
    <n v="30"/>
    <x v="7"/>
    <x v="129"/>
    <x v="14"/>
    <x v="4"/>
    <x v="1"/>
    <n v="60"/>
  </r>
  <r>
    <x v="159"/>
    <x v="3"/>
    <x v="9"/>
    <n v="40"/>
    <x v="0"/>
    <x v="137"/>
    <x v="4"/>
    <x v="0"/>
    <x v="1"/>
    <n v="122"/>
  </r>
  <r>
    <x v="159"/>
    <x v="3"/>
    <x v="9"/>
    <n v="200"/>
    <x v="19"/>
    <x v="138"/>
    <x v="8"/>
    <x v="0"/>
    <x v="1"/>
    <n v="122"/>
  </r>
  <r>
    <x v="160"/>
    <x v="35"/>
    <x v="13"/>
    <n v="65"/>
    <x v="20"/>
    <x v="47"/>
    <x v="17"/>
    <x v="2"/>
    <x v="17"/>
    <n v="16"/>
  </r>
  <r>
    <x v="161"/>
    <x v="12"/>
    <x v="9"/>
    <n v="40"/>
    <x v="38"/>
    <x v="139"/>
    <x v="3"/>
    <x v="2"/>
    <x v="6"/>
    <n v="21"/>
  </r>
  <r>
    <x v="162"/>
    <x v="9"/>
    <x v="11"/>
    <n v="250"/>
    <x v="0"/>
    <x v="140"/>
    <x v="16"/>
    <x v="7"/>
    <x v="1"/>
    <n v="95"/>
  </r>
  <r>
    <x v="163"/>
    <x v="27"/>
    <x v="13"/>
    <m/>
    <x v="11"/>
    <x v="141"/>
    <x v="7"/>
    <x v="0"/>
    <x v="1"/>
    <n v="200"/>
  </r>
  <r>
    <x v="164"/>
    <x v="29"/>
    <x v="4"/>
    <n v="180"/>
    <x v="35"/>
    <x v="82"/>
    <x v="0"/>
    <x v="0"/>
    <x v="1"/>
    <n v="224"/>
  </r>
  <r>
    <x v="165"/>
    <x v="60"/>
    <x v="4"/>
    <m/>
    <x v="0"/>
    <x v="10"/>
    <x v="1"/>
    <x v="2"/>
    <x v="6"/>
    <n v="12"/>
  </r>
  <r>
    <x v="166"/>
    <x v="61"/>
    <x v="11"/>
    <m/>
    <x v="8"/>
    <x v="142"/>
    <x v="0"/>
    <x v="0"/>
    <x v="23"/>
    <n v="3700"/>
  </r>
  <r>
    <x v="167"/>
    <x v="1"/>
    <x v="1"/>
    <n v="120"/>
    <x v="30"/>
    <x v="143"/>
    <x v="8"/>
    <x v="0"/>
    <x v="1"/>
    <n v="585"/>
  </r>
  <r>
    <x v="168"/>
    <x v="3"/>
    <x v="0"/>
    <n v="138"/>
    <x v="15"/>
    <x v="144"/>
    <x v="6"/>
    <x v="0"/>
    <x v="1"/>
    <n v="783"/>
  </r>
  <r>
    <x v="168"/>
    <x v="3"/>
    <x v="0"/>
    <n v="406"/>
    <x v="8"/>
    <x v="129"/>
    <x v="14"/>
    <x v="5"/>
    <x v="1"/>
    <n v="623"/>
  </r>
  <r>
    <x v="169"/>
    <x v="62"/>
    <x v="5"/>
    <m/>
    <x v="0"/>
    <x v="145"/>
    <x v="5"/>
    <x v="0"/>
    <x v="0"/>
    <n v="25"/>
  </r>
  <r>
    <x v="170"/>
    <x v="1"/>
    <x v="5"/>
    <m/>
    <x v="20"/>
    <x v="146"/>
    <x v="2"/>
    <x v="6"/>
    <x v="1"/>
    <m/>
  </r>
  <r>
    <x v="171"/>
    <x v="1"/>
    <x v="5"/>
    <m/>
    <x v="5"/>
    <x v="147"/>
    <x v="5"/>
    <x v="3"/>
    <x v="1"/>
    <n v="69"/>
  </r>
  <r>
    <x v="172"/>
    <x v="63"/>
    <x v="5"/>
    <m/>
    <x v="8"/>
    <x v="148"/>
    <x v="2"/>
    <x v="11"/>
    <x v="24"/>
    <n v="0"/>
  </r>
  <r>
    <x v="172"/>
    <x v="63"/>
    <x v="5"/>
    <n v="75"/>
    <x v="9"/>
    <x v="149"/>
    <x v="15"/>
    <x v="11"/>
    <x v="24"/>
    <n v="0"/>
  </r>
  <r>
    <x v="173"/>
    <x v="50"/>
    <x v="5"/>
    <n v="9"/>
    <x v="13"/>
    <x v="150"/>
    <x v="6"/>
    <x v="3"/>
    <x v="19"/>
    <n v="30"/>
  </r>
  <r>
    <x v="174"/>
    <x v="64"/>
    <x v="5"/>
    <n v="270"/>
    <x v="27"/>
    <x v="131"/>
    <x v="6"/>
    <x v="4"/>
    <x v="25"/>
    <n v="546"/>
  </r>
  <r>
    <x v="175"/>
    <x v="65"/>
    <x v="18"/>
    <m/>
    <x v="23"/>
    <x v="151"/>
    <x v="7"/>
    <x v="4"/>
    <x v="26"/>
    <n v="83"/>
  </r>
  <r>
    <x v="176"/>
    <x v="35"/>
    <x v="22"/>
    <n v="40"/>
    <x v="0"/>
    <x v="152"/>
    <x v="12"/>
    <x v="6"/>
    <x v="17"/>
    <n v="401"/>
  </r>
  <r>
    <x v="177"/>
    <x v="66"/>
    <x v="5"/>
    <n v="80"/>
    <x v="33"/>
    <x v="153"/>
    <x v="17"/>
    <x v="4"/>
    <x v="27"/>
    <n v="378"/>
  </r>
  <r>
    <x v="177"/>
    <x v="66"/>
    <x v="5"/>
    <n v="100"/>
    <x v="0"/>
    <x v="146"/>
    <x v="2"/>
    <x v="4"/>
    <x v="27"/>
    <n v="378"/>
  </r>
  <r>
    <x v="178"/>
    <x v="9"/>
    <x v="13"/>
    <n v="70"/>
    <x v="27"/>
    <x v="154"/>
    <x v="22"/>
    <x v="7"/>
    <x v="1"/>
    <n v="46"/>
  </r>
  <r>
    <x v="179"/>
    <x v="1"/>
    <x v="18"/>
    <n v="92"/>
    <x v="0"/>
    <x v="117"/>
    <x v="3"/>
    <x v="7"/>
    <x v="1"/>
    <m/>
  </r>
  <r>
    <x v="180"/>
    <x v="9"/>
    <x v="5"/>
    <n v="80"/>
    <x v="0"/>
    <x v="97"/>
    <x v="12"/>
    <x v="6"/>
    <x v="1"/>
    <m/>
  </r>
  <r>
    <x v="181"/>
    <x v="12"/>
    <x v="15"/>
    <n v="140"/>
    <x v="0"/>
    <x v="155"/>
    <x v="23"/>
    <x v="4"/>
    <x v="6"/>
    <n v="70"/>
  </r>
  <r>
    <x v="182"/>
    <x v="7"/>
    <x v="12"/>
    <m/>
    <x v="8"/>
    <x v="156"/>
    <x v="17"/>
    <x v="6"/>
    <x v="4"/>
    <n v="45"/>
  </r>
  <r>
    <x v="183"/>
    <x v="4"/>
    <x v="2"/>
    <n v="100"/>
    <x v="39"/>
    <x v="157"/>
    <x v="0"/>
    <x v="1"/>
    <x v="1"/>
    <n v="194"/>
  </r>
  <r>
    <x v="183"/>
    <x v="4"/>
    <x v="2"/>
    <n v="120"/>
    <x v="8"/>
    <x v="158"/>
    <x v="1"/>
    <x v="1"/>
    <x v="1"/>
    <n v="194"/>
  </r>
  <r>
    <x v="184"/>
    <x v="67"/>
    <x v="26"/>
    <n v="900"/>
    <x v="0"/>
    <x v="88"/>
    <x v="3"/>
    <x v="6"/>
    <x v="23"/>
    <m/>
  </r>
  <r>
    <x v="185"/>
    <x v="60"/>
    <x v="15"/>
    <n v="200"/>
    <x v="0"/>
    <x v="147"/>
    <x v="5"/>
    <x v="5"/>
    <x v="6"/>
    <n v="293"/>
  </r>
  <r>
    <x v="186"/>
    <x v="3"/>
    <x v="12"/>
    <n v="95"/>
    <x v="13"/>
    <x v="44"/>
    <x v="0"/>
    <x v="10"/>
    <x v="1"/>
    <n v="220"/>
  </r>
  <r>
    <x v="187"/>
    <x v="43"/>
    <x v="11"/>
    <n v="20"/>
    <x v="0"/>
    <x v="159"/>
    <x v="16"/>
    <x v="7"/>
    <x v="18"/>
    <n v="41"/>
  </r>
  <r>
    <x v="188"/>
    <x v="1"/>
    <x v="12"/>
    <n v="100"/>
    <x v="1"/>
    <x v="119"/>
    <x v="2"/>
    <x v="0"/>
    <x v="1"/>
    <n v="665"/>
  </r>
  <r>
    <x v="188"/>
    <x v="1"/>
    <x v="12"/>
    <n v="200"/>
    <x v="10"/>
    <x v="132"/>
    <x v="15"/>
    <x v="0"/>
    <x v="1"/>
    <n v="665"/>
  </r>
  <r>
    <x v="188"/>
    <x v="1"/>
    <x v="12"/>
    <n v="220"/>
    <x v="5"/>
    <x v="160"/>
    <x v="4"/>
    <x v="0"/>
    <x v="1"/>
    <n v="665"/>
  </r>
  <r>
    <x v="188"/>
    <x v="1"/>
    <x v="12"/>
    <n v="340"/>
    <x v="40"/>
    <x v="5"/>
    <x v="3"/>
    <x v="0"/>
    <x v="1"/>
    <n v="665"/>
  </r>
  <r>
    <x v="189"/>
    <x v="43"/>
    <x v="5"/>
    <n v="110"/>
    <x v="40"/>
    <x v="53"/>
    <x v="3"/>
    <x v="5"/>
    <x v="18"/>
    <n v="490"/>
  </r>
  <r>
    <x v="189"/>
    <x v="43"/>
    <x v="5"/>
    <n v="150"/>
    <x v="9"/>
    <x v="16"/>
    <x v="1"/>
    <x v="5"/>
    <x v="18"/>
    <n v="490"/>
  </r>
  <r>
    <x v="190"/>
    <x v="4"/>
    <x v="5"/>
    <m/>
    <x v="20"/>
    <x v="50"/>
    <x v="2"/>
    <x v="1"/>
    <x v="1"/>
    <n v="1000"/>
  </r>
  <r>
    <x v="190"/>
    <x v="4"/>
    <x v="5"/>
    <n v="250"/>
    <x v="7"/>
    <x v="115"/>
    <x v="6"/>
    <x v="1"/>
    <x v="1"/>
    <n v="1000"/>
  </r>
  <r>
    <x v="191"/>
    <x v="1"/>
    <x v="6"/>
    <n v="88"/>
    <x v="31"/>
    <x v="157"/>
    <x v="0"/>
    <x v="6"/>
    <x v="1"/>
    <m/>
  </r>
  <r>
    <x v="192"/>
    <x v="4"/>
    <x v="9"/>
    <m/>
    <x v="10"/>
    <x v="44"/>
    <x v="0"/>
    <x v="0"/>
    <x v="1"/>
    <n v="352"/>
  </r>
  <r>
    <x v="193"/>
    <x v="4"/>
    <x v="23"/>
    <n v="130"/>
    <x v="9"/>
    <x v="129"/>
    <x v="14"/>
    <x v="3"/>
    <x v="1"/>
    <n v="77"/>
  </r>
  <r>
    <x v="194"/>
    <x v="1"/>
    <x v="20"/>
    <n v="60"/>
    <x v="0"/>
    <x v="87"/>
    <x v="1"/>
    <x v="4"/>
    <x v="1"/>
    <n v="48"/>
  </r>
  <r>
    <x v="195"/>
    <x v="1"/>
    <x v="15"/>
    <n v="30"/>
    <x v="10"/>
    <x v="161"/>
    <x v="14"/>
    <x v="6"/>
    <x v="1"/>
    <m/>
  </r>
  <r>
    <x v="196"/>
    <x v="26"/>
    <x v="6"/>
    <n v="137"/>
    <x v="20"/>
    <x v="23"/>
    <x v="10"/>
    <x v="7"/>
    <x v="1"/>
    <n v="108"/>
  </r>
  <r>
    <x v="197"/>
    <x v="68"/>
    <x v="12"/>
    <m/>
    <x v="9"/>
    <x v="96"/>
    <x v="3"/>
    <x v="0"/>
    <x v="1"/>
    <m/>
  </r>
  <r>
    <x v="198"/>
    <x v="69"/>
    <x v="0"/>
    <n v="17"/>
    <x v="0"/>
    <x v="162"/>
    <x v="12"/>
    <x v="8"/>
    <x v="14"/>
    <m/>
  </r>
  <r>
    <x v="198"/>
    <x v="1"/>
    <x v="12"/>
    <n v="50"/>
    <x v="10"/>
    <x v="163"/>
    <x v="3"/>
    <x v="1"/>
    <x v="1"/>
    <n v="1300"/>
  </r>
  <r>
    <x v="198"/>
    <x v="1"/>
    <x v="12"/>
    <n v="240"/>
    <x v="27"/>
    <x v="41"/>
    <x v="17"/>
    <x v="1"/>
    <x v="1"/>
    <n v="1300"/>
  </r>
  <r>
    <x v="199"/>
    <x v="1"/>
    <x v="12"/>
    <m/>
    <x v="0"/>
    <x v="144"/>
    <x v="6"/>
    <x v="2"/>
    <x v="1"/>
    <n v="42"/>
  </r>
  <r>
    <x v="200"/>
    <x v="0"/>
    <x v="4"/>
    <n v="29"/>
    <x v="41"/>
    <x v="164"/>
    <x v="15"/>
    <x v="2"/>
    <x v="0"/>
    <n v="27"/>
  </r>
  <r>
    <x v="200"/>
    <x v="0"/>
    <x v="4"/>
    <n v="30"/>
    <x v="42"/>
    <x v="85"/>
    <x v="6"/>
    <x v="2"/>
    <x v="0"/>
    <n v="27"/>
  </r>
  <r>
    <x v="201"/>
    <x v="29"/>
    <x v="20"/>
    <n v="140"/>
    <x v="10"/>
    <x v="88"/>
    <x v="3"/>
    <x v="6"/>
    <x v="1"/>
    <m/>
  </r>
  <r>
    <x v="202"/>
    <x v="18"/>
    <x v="6"/>
    <n v="12"/>
    <x v="9"/>
    <x v="165"/>
    <x v="17"/>
    <x v="2"/>
    <x v="1"/>
    <n v="26"/>
  </r>
  <r>
    <x v="203"/>
    <x v="70"/>
    <x v="14"/>
    <n v="4375"/>
    <x v="9"/>
    <x v="166"/>
    <x v="23"/>
    <x v="7"/>
    <x v="28"/>
    <m/>
  </r>
  <r>
    <x v="203"/>
    <x v="71"/>
    <x v="14"/>
    <n v="226"/>
    <x v="0"/>
    <x v="93"/>
    <x v="2"/>
    <x v="7"/>
    <x v="1"/>
    <m/>
  </r>
  <r>
    <x v="204"/>
    <x v="12"/>
    <x v="3"/>
    <n v="270"/>
    <x v="26"/>
    <x v="167"/>
    <x v="10"/>
    <x v="6"/>
    <x v="6"/>
    <n v="224"/>
  </r>
  <r>
    <x v="205"/>
    <x v="1"/>
    <x v="3"/>
    <n v="200"/>
    <x v="0"/>
    <x v="22"/>
    <x v="5"/>
    <x v="3"/>
    <x v="1"/>
    <n v="48"/>
  </r>
  <r>
    <x v="206"/>
    <x v="7"/>
    <x v="4"/>
    <m/>
    <x v="0"/>
    <x v="168"/>
    <x v="6"/>
    <x v="2"/>
    <x v="4"/>
    <n v="23"/>
  </r>
  <r>
    <x v="206"/>
    <x v="7"/>
    <x v="4"/>
    <n v="30"/>
    <x v="0"/>
    <x v="169"/>
    <x v="3"/>
    <x v="2"/>
    <x v="4"/>
    <n v="23"/>
  </r>
  <r>
    <x v="207"/>
    <x v="3"/>
    <x v="4"/>
    <m/>
    <x v="13"/>
    <x v="90"/>
    <x v="1"/>
    <x v="3"/>
    <x v="1"/>
    <n v="137"/>
  </r>
  <r>
    <x v="208"/>
    <x v="72"/>
    <x v="4"/>
    <n v="70"/>
    <x v="13"/>
    <x v="170"/>
    <x v="6"/>
    <x v="0"/>
    <x v="5"/>
    <n v="56"/>
  </r>
  <r>
    <x v="209"/>
    <x v="0"/>
    <x v="12"/>
    <n v="15"/>
    <x v="7"/>
    <x v="145"/>
    <x v="5"/>
    <x v="3"/>
    <x v="0"/>
    <n v="72"/>
  </r>
  <r>
    <x v="210"/>
    <x v="1"/>
    <x v="4"/>
    <m/>
    <x v="31"/>
    <x v="171"/>
    <x v="20"/>
    <x v="6"/>
    <x v="1"/>
    <n v="102"/>
  </r>
  <r>
    <x v="210"/>
    <x v="1"/>
    <x v="4"/>
    <n v="61"/>
    <x v="0"/>
    <x v="91"/>
    <x v="18"/>
    <x v="6"/>
    <x v="1"/>
    <n v="102"/>
  </r>
  <r>
    <x v="211"/>
    <x v="60"/>
    <x v="0"/>
    <n v="40"/>
    <x v="13"/>
    <x v="121"/>
    <x v="3"/>
    <x v="5"/>
    <x v="6"/>
    <n v="214"/>
  </r>
  <r>
    <x v="211"/>
    <x v="60"/>
    <x v="0"/>
    <n v="120"/>
    <x v="0"/>
    <x v="79"/>
    <x v="14"/>
    <x v="5"/>
    <x v="6"/>
    <n v="214"/>
  </r>
  <r>
    <x v="211"/>
    <x v="60"/>
    <x v="0"/>
    <n v="130"/>
    <x v="29"/>
    <x v="91"/>
    <x v="18"/>
    <x v="5"/>
    <x v="6"/>
    <n v="214"/>
  </r>
  <r>
    <x v="211"/>
    <x v="60"/>
    <x v="0"/>
    <n v="200"/>
    <x v="24"/>
    <x v="172"/>
    <x v="24"/>
    <x v="5"/>
    <x v="6"/>
    <n v="214"/>
  </r>
  <r>
    <x v="212"/>
    <x v="4"/>
    <x v="2"/>
    <n v="77"/>
    <x v="7"/>
    <x v="145"/>
    <x v="5"/>
    <x v="3"/>
    <x v="1"/>
    <n v="75"/>
  </r>
  <r>
    <x v="213"/>
    <x v="3"/>
    <x v="8"/>
    <m/>
    <x v="0"/>
    <x v="10"/>
    <x v="1"/>
    <x v="2"/>
    <x v="1"/>
    <n v="12"/>
  </r>
  <r>
    <x v="214"/>
    <x v="73"/>
    <x v="6"/>
    <n v="25"/>
    <x v="0"/>
    <x v="173"/>
    <x v="2"/>
    <x v="5"/>
    <x v="29"/>
    <n v="148"/>
  </r>
  <r>
    <x v="215"/>
    <x v="4"/>
    <x v="4"/>
    <n v="3"/>
    <x v="27"/>
    <x v="174"/>
    <x v="18"/>
    <x v="11"/>
    <x v="1"/>
    <n v="2"/>
  </r>
  <r>
    <x v="216"/>
    <x v="1"/>
    <x v="2"/>
    <n v="100"/>
    <x v="7"/>
    <x v="98"/>
    <x v="5"/>
    <x v="1"/>
    <x v="1"/>
    <n v="367"/>
  </r>
  <r>
    <x v="217"/>
    <x v="13"/>
    <x v="1"/>
    <n v="40"/>
    <x v="37"/>
    <x v="175"/>
    <x v="7"/>
    <x v="3"/>
    <x v="1"/>
    <n v="42"/>
  </r>
  <r>
    <x v="218"/>
    <x v="74"/>
    <x v="1"/>
    <n v="50"/>
    <x v="37"/>
    <x v="31"/>
    <x v="6"/>
    <x v="2"/>
    <x v="6"/>
    <n v="6"/>
  </r>
  <r>
    <x v="219"/>
    <x v="28"/>
    <x v="23"/>
    <n v="120"/>
    <x v="43"/>
    <x v="24"/>
    <x v="11"/>
    <x v="5"/>
    <x v="0"/>
    <n v="131"/>
  </r>
  <r>
    <x v="220"/>
    <x v="1"/>
    <x v="12"/>
    <n v="62"/>
    <x v="6"/>
    <x v="176"/>
    <x v="10"/>
    <x v="4"/>
    <x v="1"/>
    <n v="732"/>
  </r>
  <r>
    <x v="220"/>
    <x v="1"/>
    <x v="12"/>
    <n v="136"/>
    <x v="33"/>
    <x v="177"/>
    <x v="8"/>
    <x v="5"/>
    <x v="1"/>
    <n v="1500"/>
  </r>
  <r>
    <x v="221"/>
    <x v="75"/>
    <x v="1"/>
    <n v="154"/>
    <x v="20"/>
    <x v="178"/>
    <x v="20"/>
    <x v="3"/>
    <x v="1"/>
    <n v="45"/>
  </r>
  <r>
    <x v="222"/>
    <x v="38"/>
    <x v="27"/>
    <n v="13"/>
    <x v="35"/>
    <x v="32"/>
    <x v="0"/>
    <x v="3"/>
    <x v="0"/>
    <n v="36"/>
  </r>
  <r>
    <x v="223"/>
    <x v="1"/>
    <x v="13"/>
    <n v="30"/>
    <x v="4"/>
    <x v="168"/>
    <x v="6"/>
    <x v="6"/>
    <x v="17"/>
    <n v="250"/>
  </r>
  <r>
    <x v="224"/>
    <x v="60"/>
    <x v="12"/>
    <n v="100"/>
    <x v="31"/>
    <x v="99"/>
    <x v="1"/>
    <x v="2"/>
    <x v="6"/>
    <n v="31"/>
  </r>
  <r>
    <x v="225"/>
    <x v="7"/>
    <x v="7"/>
    <n v="30"/>
    <x v="6"/>
    <x v="85"/>
    <x v="6"/>
    <x v="4"/>
    <x v="4"/>
    <n v="145"/>
  </r>
  <r>
    <x v="225"/>
    <x v="7"/>
    <x v="7"/>
    <n v="58"/>
    <x v="0"/>
    <x v="68"/>
    <x v="7"/>
    <x v="4"/>
    <x v="4"/>
    <n v="145"/>
  </r>
  <r>
    <x v="226"/>
    <x v="1"/>
    <x v="1"/>
    <m/>
    <x v="7"/>
    <x v="93"/>
    <x v="2"/>
    <x v="4"/>
    <x v="1"/>
    <n v="212"/>
  </r>
  <r>
    <x v="227"/>
    <x v="35"/>
    <x v="15"/>
    <n v="10"/>
    <x v="10"/>
    <x v="179"/>
    <x v="5"/>
    <x v="5"/>
    <x v="17"/>
    <n v="84"/>
  </r>
  <r>
    <x v="228"/>
    <x v="43"/>
    <x v="0"/>
    <n v="206"/>
    <x v="20"/>
    <x v="71"/>
    <x v="3"/>
    <x v="6"/>
    <x v="18"/>
    <n v="2400"/>
  </r>
  <r>
    <x v="229"/>
    <x v="0"/>
    <x v="12"/>
    <n v="26"/>
    <x v="24"/>
    <x v="180"/>
    <x v="0"/>
    <x v="2"/>
    <x v="0"/>
    <n v="10"/>
  </r>
  <r>
    <x v="230"/>
    <x v="35"/>
    <x v="20"/>
    <m/>
    <x v="20"/>
    <x v="61"/>
    <x v="0"/>
    <x v="2"/>
    <x v="17"/>
    <n v="25"/>
  </r>
  <r>
    <x v="231"/>
    <x v="16"/>
    <x v="17"/>
    <n v="100"/>
    <x v="8"/>
    <x v="4"/>
    <x v="1"/>
    <x v="3"/>
    <x v="7"/>
    <n v="89"/>
  </r>
  <r>
    <x v="232"/>
    <x v="76"/>
    <x v="5"/>
    <n v="80"/>
    <x v="44"/>
    <x v="47"/>
    <x v="17"/>
    <x v="2"/>
    <x v="30"/>
    <n v="11"/>
  </r>
  <r>
    <x v="233"/>
    <x v="3"/>
    <x v="17"/>
    <n v="39"/>
    <x v="23"/>
    <x v="181"/>
    <x v="18"/>
    <x v="2"/>
    <x v="1"/>
    <n v="29"/>
  </r>
  <r>
    <x v="234"/>
    <x v="15"/>
    <x v="21"/>
    <n v="28"/>
    <x v="0"/>
    <x v="106"/>
    <x v="5"/>
    <x v="4"/>
    <x v="1"/>
    <n v="29"/>
  </r>
  <r>
    <x v="234"/>
    <x v="15"/>
    <x v="21"/>
    <n v="50"/>
    <x v="9"/>
    <x v="182"/>
    <x v="8"/>
    <x v="4"/>
    <x v="1"/>
    <n v="29"/>
  </r>
  <r>
    <x v="235"/>
    <x v="14"/>
    <x v="8"/>
    <n v="100"/>
    <x v="0"/>
    <x v="43"/>
    <x v="5"/>
    <x v="7"/>
    <x v="1"/>
    <n v="32"/>
  </r>
  <r>
    <x v="236"/>
    <x v="32"/>
    <x v="5"/>
    <n v="30"/>
    <x v="4"/>
    <x v="158"/>
    <x v="1"/>
    <x v="6"/>
    <x v="16"/>
    <n v="300"/>
  </r>
  <r>
    <x v="237"/>
    <x v="1"/>
    <x v="23"/>
    <n v="70"/>
    <x v="0"/>
    <x v="125"/>
    <x v="6"/>
    <x v="4"/>
    <x v="1"/>
    <n v="171"/>
  </r>
  <r>
    <x v="238"/>
    <x v="28"/>
    <x v="0"/>
    <n v="23"/>
    <x v="45"/>
    <x v="145"/>
    <x v="5"/>
    <x v="3"/>
    <x v="0"/>
    <n v="21"/>
  </r>
  <r>
    <x v="239"/>
    <x v="5"/>
    <x v="0"/>
    <n v="160"/>
    <x v="8"/>
    <x v="44"/>
    <x v="0"/>
    <x v="4"/>
    <x v="3"/>
    <n v="138"/>
  </r>
  <r>
    <x v="240"/>
    <x v="4"/>
    <x v="11"/>
    <m/>
    <x v="4"/>
    <x v="26"/>
    <x v="12"/>
    <x v="1"/>
    <x v="1"/>
    <n v="80"/>
  </r>
  <r>
    <x v="240"/>
    <x v="4"/>
    <x v="11"/>
    <n v="19"/>
    <x v="0"/>
    <x v="57"/>
    <x v="5"/>
    <x v="1"/>
    <x v="1"/>
    <n v="80"/>
  </r>
  <r>
    <x v="240"/>
    <x v="4"/>
    <x v="11"/>
    <n v="24"/>
    <x v="4"/>
    <x v="57"/>
    <x v="5"/>
    <x v="1"/>
    <x v="1"/>
    <n v="80"/>
  </r>
  <r>
    <x v="241"/>
    <x v="4"/>
    <x v="9"/>
    <n v="1000"/>
    <x v="20"/>
    <x v="183"/>
    <x v="1"/>
    <x v="3"/>
    <x v="1"/>
    <n v="50"/>
  </r>
  <r>
    <x v="242"/>
    <x v="14"/>
    <x v="1"/>
    <m/>
    <x v="9"/>
    <x v="66"/>
    <x v="3"/>
    <x v="0"/>
    <x v="1"/>
    <n v="530"/>
  </r>
  <r>
    <x v="242"/>
    <x v="77"/>
    <x v="1"/>
    <m/>
    <x v="10"/>
    <x v="184"/>
    <x v="4"/>
    <x v="0"/>
    <x v="1"/>
    <n v="530"/>
  </r>
  <r>
    <x v="243"/>
    <x v="4"/>
    <x v="2"/>
    <n v="48"/>
    <x v="46"/>
    <x v="185"/>
    <x v="5"/>
    <x v="4"/>
    <x v="1"/>
    <n v="64"/>
  </r>
  <r>
    <x v="244"/>
    <x v="70"/>
    <x v="12"/>
    <m/>
    <x v="0"/>
    <x v="186"/>
    <x v="3"/>
    <x v="4"/>
    <x v="28"/>
    <n v="115"/>
  </r>
  <r>
    <x v="245"/>
    <x v="1"/>
    <x v="4"/>
    <n v="87"/>
    <x v="20"/>
    <x v="166"/>
    <x v="23"/>
    <x v="7"/>
    <x v="1"/>
    <n v="42"/>
  </r>
  <r>
    <x v="246"/>
    <x v="4"/>
    <x v="11"/>
    <m/>
    <x v="7"/>
    <x v="85"/>
    <x v="6"/>
    <x v="6"/>
    <x v="1"/>
    <n v="32"/>
  </r>
  <r>
    <x v="247"/>
    <x v="4"/>
    <x v="11"/>
    <n v="180"/>
    <x v="5"/>
    <x v="32"/>
    <x v="0"/>
    <x v="0"/>
    <x v="1"/>
    <n v="696"/>
  </r>
  <r>
    <x v="248"/>
    <x v="78"/>
    <x v="2"/>
    <n v="25"/>
    <x v="9"/>
    <x v="185"/>
    <x v="5"/>
    <x v="6"/>
    <x v="1"/>
    <m/>
  </r>
  <r>
    <x v="249"/>
    <x v="21"/>
    <x v="5"/>
    <m/>
    <x v="0"/>
    <x v="85"/>
    <x v="6"/>
    <x v="6"/>
    <x v="9"/>
    <m/>
  </r>
  <r>
    <x v="249"/>
    <x v="21"/>
    <x v="5"/>
    <m/>
    <x v="8"/>
    <x v="187"/>
    <x v="0"/>
    <x v="6"/>
    <x v="9"/>
    <m/>
  </r>
  <r>
    <x v="249"/>
    <x v="21"/>
    <x v="5"/>
    <n v="600"/>
    <x v="8"/>
    <x v="85"/>
    <x v="6"/>
    <x v="6"/>
    <x v="9"/>
    <m/>
  </r>
  <r>
    <x v="250"/>
    <x v="60"/>
    <x v="6"/>
    <n v="1500"/>
    <x v="0"/>
    <x v="97"/>
    <x v="12"/>
    <x v="10"/>
    <x v="6"/>
    <n v="5500"/>
  </r>
  <r>
    <x v="250"/>
    <x v="60"/>
    <x v="6"/>
    <n v="2500"/>
    <x v="13"/>
    <x v="13"/>
    <x v="8"/>
    <x v="10"/>
    <x v="6"/>
    <n v="5500"/>
  </r>
  <r>
    <x v="251"/>
    <x v="12"/>
    <x v="3"/>
    <n v="1800"/>
    <x v="0"/>
    <x v="188"/>
    <x v="19"/>
    <x v="6"/>
    <x v="6"/>
    <n v="7400"/>
  </r>
  <r>
    <x v="251"/>
    <x v="61"/>
    <x v="3"/>
    <m/>
    <x v="10"/>
    <x v="189"/>
    <x v="3"/>
    <x v="6"/>
    <x v="23"/>
    <n v="9400"/>
  </r>
  <r>
    <x v="251"/>
    <x v="61"/>
    <x v="3"/>
    <n v="150"/>
    <x v="0"/>
    <x v="190"/>
    <x v="6"/>
    <x v="6"/>
    <x v="23"/>
    <n v="9400"/>
  </r>
  <r>
    <x v="251"/>
    <x v="61"/>
    <x v="3"/>
    <n v="1800"/>
    <x v="0"/>
    <x v="191"/>
    <x v="25"/>
    <x v="6"/>
    <x v="23"/>
    <n v="9400"/>
  </r>
  <r>
    <x v="252"/>
    <x v="1"/>
    <x v="0"/>
    <m/>
    <x v="0"/>
    <x v="192"/>
    <x v="18"/>
    <x v="4"/>
    <x v="1"/>
    <n v="1200"/>
  </r>
  <r>
    <x v="253"/>
    <x v="79"/>
    <x v="12"/>
    <n v="20"/>
    <x v="12"/>
    <x v="61"/>
    <x v="0"/>
    <x v="12"/>
    <x v="1"/>
    <n v="537"/>
  </r>
  <r>
    <x v="254"/>
    <x v="5"/>
    <x v="12"/>
    <m/>
    <x v="0"/>
    <x v="193"/>
    <x v="12"/>
    <x v="6"/>
    <x v="3"/>
    <n v="2300"/>
  </r>
  <r>
    <x v="254"/>
    <x v="5"/>
    <x v="12"/>
    <n v="60"/>
    <x v="1"/>
    <x v="145"/>
    <x v="5"/>
    <x v="6"/>
    <x v="3"/>
    <m/>
  </r>
  <r>
    <x v="255"/>
    <x v="1"/>
    <x v="14"/>
    <m/>
    <x v="7"/>
    <x v="194"/>
    <x v="14"/>
    <x v="11"/>
    <x v="1"/>
    <n v="3"/>
  </r>
  <r>
    <x v="256"/>
    <x v="4"/>
    <x v="23"/>
    <n v="28"/>
    <x v="9"/>
    <x v="195"/>
    <x v="10"/>
    <x v="4"/>
    <x v="1"/>
    <n v="133"/>
  </r>
  <r>
    <x v="257"/>
    <x v="4"/>
    <x v="1"/>
    <n v="156"/>
    <x v="47"/>
    <x v="183"/>
    <x v="1"/>
    <x v="3"/>
    <x v="1"/>
    <n v="127"/>
  </r>
  <r>
    <x v="258"/>
    <x v="1"/>
    <x v="4"/>
    <n v="20"/>
    <x v="0"/>
    <x v="161"/>
    <x v="14"/>
    <x v="2"/>
    <x v="1"/>
    <n v="75"/>
  </r>
  <r>
    <x v="259"/>
    <x v="1"/>
    <x v="11"/>
    <m/>
    <x v="46"/>
    <x v="196"/>
    <x v="8"/>
    <x v="5"/>
    <x v="1"/>
    <m/>
  </r>
  <r>
    <x v="259"/>
    <x v="1"/>
    <x v="11"/>
    <n v="140"/>
    <x v="46"/>
    <x v="16"/>
    <x v="1"/>
    <x v="5"/>
    <x v="1"/>
    <m/>
  </r>
  <r>
    <x v="260"/>
    <x v="1"/>
    <x v="1"/>
    <n v="90"/>
    <x v="7"/>
    <x v="135"/>
    <x v="4"/>
    <x v="4"/>
    <x v="1"/>
    <n v="218"/>
  </r>
  <r>
    <x v="261"/>
    <x v="15"/>
    <x v="3"/>
    <n v="80"/>
    <x v="0"/>
    <x v="72"/>
    <x v="2"/>
    <x v="6"/>
    <x v="1"/>
    <n v="165"/>
  </r>
  <r>
    <x v="261"/>
    <x v="15"/>
    <x v="3"/>
    <n v="87"/>
    <x v="9"/>
    <x v="156"/>
    <x v="17"/>
    <x v="6"/>
    <x v="1"/>
    <n v="165"/>
  </r>
  <r>
    <x v="262"/>
    <x v="80"/>
    <x v="6"/>
    <m/>
    <x v="22"/>
    <x v="169"/>
    <x v="3"/>
    <x v="2"/>
    <x v="6"/>
    <n v="16"/>
  </r>
  <r>
    <x v="263"/>
    <x v="1"/>
    <x v="19"/>
    <m/>
    <x v="0"/>
    <x v="197"/>
    <x v="7"/>
    <x v="11"/>
    <x v="1"/>
    <n v="5"/>
  </r>
  <r>
    <x v="264"/>
    <x v="4"/>
    <x v="5"/>
    <n v="33"/>
    <x v="37"/>
    <x v="50"/>
    <x v="2"/>
    <x v="2"/>
    <x v="1"/>
    <n v="100"/>
  </r>
  <r>
    <x v="265"/>
    <x v="3"/>
    <x v="0"/>
    <n v="58"/>
    <x v="1"/>
    <x v="127"/>
    <x v="1"/>
    <x v="0"/>
    <x v="1"/>
    <n v="300"/>
  </r>
  <r>
    <x v="266"/>
    <x v="60"/>
    <x v="4"/>
    <m/>
    <x v="0"/>
    <x v="7"/>
    <x v="5"/>
    <x v="10"/>
    <x v="6"/>
    <n v="102"/>
  </r>
  <r>
    <x v="267"/>
    <x v="6"/>
    <x v="12"/>
    <n v="1100"/>
    <x v="0"/>
    <x v="198"/>
    <x v="3"/>
    <x v="0"/>
    <x v="1"/>
    <m/>
  </r>
  <r>
    <x v="268"/>
    <x v="81"/>
    <x v="12"/>
    <m/>
    <x v="0"/>
    <x v="68"/>
    <x v="7"/>
    <x v="2"/>
    <x v="31"/>
    <n v="33"/>
  </r>
  <r>
    <x v="269"/>
    <x v="4"/>
    <x v="12"/>
    <m/>
    <x v="9"/>
    <x v="199"/>
    <x v="2"/>
    <x v="5"/>
    <x v="1"/>
    <n v="281"/>
  </r>
  <r>
    <x v="269"/>
    <x v="4"/>
    <x v="12"/>
    <n v="37"/>
    <x v="9"/>
    <x v="2"/>
    <x v="2"/>
    <x v="5"/>
    <x v="1"/>
    <n v="281"/>
  </r>
  <r>
    <x v="270"/>
    <x v="4"/>
    <x v="1"/>
    <m/>
    <x v="35"/>
    <x v="200"/>
    <x v="1"/>
    <x v="5"/>
    <x v="1"/>
    <n v="570"/>
  </r>
  <r>
    <x v="271"/>
    <x v="60"/>
    <x v="9"/>
    <n v="120"/>
    <x v="0"/>
    <x v="139"/>
    <x v="3"/>
    <x v="4"/>
    <x v="6"/>
    <n v="126"/>
  </r>
  <r>
    <x v="272"/>
    <x v="1"/>
    <x v="8"/>
    <n v="31"/>
    <x v="10"/>
    <x v="83"/>
    <x v="2"/>
    <x v="4"/>
    <x v="1"/>
    <n v="164"/>
  </r>
  <r>
    <x v="273"/>
    <x v="1"/>
    <x v="26"/>
    <m/>
    <x v="0"/>
    <x v="92"/>
    <x v="8"/>
    <x v="1"/>
    <x v="1"/>
    <n v="683"/>
  </r>
  <r>
    <x v="274"/>
    <x v="1"/>
    <x v="1"/>
    <n v="200"/>
    <x v="0"/>
    <x v="121"/>
    <x v="3"/>
    <x v="5"/>
    <x v="1"/>
    <n v="522"/>
  </r>
  <r>
    <x v="274"/>
    <x v="1"/>
    <x v="1"/>
    <n v="250"/>
    <x v="4"/>
    <x v="201"/>
    <x v="6"/>
    <x v="5"/>
    <x v="1"/>
    <n v="522"/>
  </r>
  <r>
    <x v="275"/>
    <x v="80"/>
    <x v="0"/>
    <m/>
    <x v="0"/>
    <x v="137"/>
    <x v="4"/>
    <x v="1"/>
    <x v="6"/>
    <n v="497"/>
  </r>
  <r>
    <x v="275"/>
    <x v="80"/>
    <x v="0"/>
    <n v="200"/>
    <x v="0"/>
    <x v="202"/>
    <x v="10"/>
    <x v="5"/>
    <x v="6"/>
    <n v="247"/>
  </r>
  <r>
    <x v="276"/>
    <x v="44"/>
    <x v="2"/>
    <n v="51"/>
    <x v="0"/>
    <x v="203"/>
    <x v="2"/>
    <x v="0"/>
    <x v="1"/>
    <n v="212"/>
  </r>
  <r>
    <x v="277"/>
    <x v="14"/>
    <x v="3"/>
    <n v="81"/>
    <x v="0"/>
    <x v="43"/>
    <x v="5"/>
    <x v="7"/>
    <x v="1"/>
    <n v="156"/>
  </r>
  <r>
    <x v="278"/>
    <x v="50"/>
    <x v="0"/>
    <n v="536"/>
    <x v="21"/>
    <x v="204"/>
    <x v="10"/>
    <x v="7"/>
    <x v="19"/>
    <n v="771"/>
  </r>
  <r>
    <x v="279"/>
    <x v="1"/>
    <x v="6"/>
    <n v="22"/>
    <x v="0"/>
    <x v="53"/>
    <x v="3"/>
    <x v="3"/>
    <x v="1"/>
    <n v="51"/>
  </r>
  <r>
    <x v="279"/>
    <x v="1"/>
    <x v="6"/>
    <n v="60"/>
    <x v="37"/>
    <x v="10"/>
    <x v="1"/>
    <x v="3"/>
    <x v="1"/>
    <n v="51"/>
  </r>
  <r>
    <x v="280"/>
    <x v="3"/>
    <x v="19"/>
    <m/>
    <x v="0"/>
    <x v="121"/>
    <x v="3"/>
    <x v="10"/>
    <x v="1"/>
    <n v="30"/>
  </r>
  <r>
    <x v="281"/>
    <x v="3"/>
    <x v="4"/>
    <m/>
    <x v="0"/>
    <x v="205"/>
    <x v="3"/>
    <x v="2"/>
    <x v="1"/>
    <n v="51"/>
  </r>
  <r>
    <x v="282"/>
    <x v="14"/>
    <x v="0"/>
    <n v="130"/>
    <x v="35"/>
    <x v="206"/>
    <x v="5"/>
    <x v="0"/>
    <x v="1"/>
    <n v="1"/>
  </r>
  <r>
    <x v="283"/>
    <x v="6"/>
    <x v="12"/>
    <m/>
    <x v="0"/>
    <x v="126"/>
    <x v="0"/>
    <x v="4"/>
    <x v="1"/>
    <n v="189"/>
  </r>
  <r>
    <x v="284"/>
    <x v="21"/>
    <x v="4"/>
    <n v="110"/>
    <x v="10"/>
    <x v="157"/>
    <x v="0"/>
    <x v="10"/>
    <x v="9"/>
    <n v="372"/>
  </r>
  <r>
    <x v="285"/>
    <x v="80"/>
    <x v="0"/>
    <n v="600"/>
    <x v="1"/>
    <x v="207"/>
    <x v="17"/>
    <x v="13"/>
    <x v="6"/>
    <n v="1300"/>
  </r>
  <r>
    <x v="286"/>
    <x v="82"/>
    <x v="0"/>
    <m/>
    <x v="10"/>
    <x v="208"/>
    <x v="7"/>
    <x v="1"/>
    <x v="32"/>
    <n v="607"/>
  </r>
  <r>
    <x v="287"/>
    <x v="29"/>
    <x v="4"/>
    <m/>
    <x v="0"/>
    <x v="5"/>
    <x v="3"/>
    <x v="6"/>
    <x v="1"/>
    <n v="383"/>
  </r>
  <r>
    <x v="288"/>
    <x v="1"/>
    <x v="12"/>
    <n v="161"/>
    <x v="14"/>
    <x v="54"/>
    <x v="5"/>
    <x v="1"/>
    <x v="1"/>
    <n v="447"/>
  </r>
  <r>
    <x v="288"/>
    <x v="1"/>
    <x v="19"/>
    <m/>
    <x v="10"/>
    <x v="209"/>
    <x v="3"/>
    <x v="13"/>
    <x v="1"/>
    <n v="1100"/>
  </r>
  <r>
    <x v="289"/>
    <x v="48"/>
    <x v="0"/>
    <n v="2500"/>
    <x v="5"/>
    <x v="210"/>
    <x v="17"/>
    <x v="0"/>
    <x v="1"/>
    <n v="1600"/>
  </r>
  <r>
    <x v="289"/>
    <x v="48"/>
    <x v="0"/>
    <m/>
    <x v="0"/>
    <x v="88"/>
    <x v="3"/>
    <x v="0"/>
    <x v="1"/>
    <n v="1600"/>
  </r>
  <r>
    <x v="289"/>
    <x v="48"/>
    <x v="0"/>
    <n v="1500"/>
    <x v="4"/>
    <x v="199"/>
    <x v="2"/>
    <x v="0"/>
    <x v="1"/>
    <n v="1600"/>
  </r>
  <r>
    <x v="290"/>
    <x v="43"/>
    <x v="0"/>
    <n v="70"/>
    <x v="7"/>
    <x v="211"/>
    <x v="2"/>
    <x v="6"/>
    <x v="18"/>
    <n v="157"/>
  </r>
  <r>
    <x v="291"/>
    <x v="83"/>
    <x v="23"/>
    <m/>
    <x v="8"/>
    <x v="212"/>
    <x v="12"/>
    <x v="6"/>
    <x v="33"/>
    <n v="708"/>
  </r>
  <r>
    <x v="292"/>
    <x v="60"/>
    <x v="12"/>
    <n v="100"/>
    <x v="0"/>
    <x v="53"/>
    <x v="3"/>
    <x v="3"/>
    <x v="6"/>
    <n v="41"/>
  </r>
  <r>
    <x v="293"/>
    <x v="4"/>
    <x v="4"/>
    <m/>
    <x v="0"/>
    <x v="213"/>
    <x v="26"/>
    <x v="0"/>
    <x v="1"/>
    <n v="339"/>
  </r>
  <r>
    <x v="293"/>
    <x v="4"/>
    <x v="4"/>
    <n v="78"/>
    <x v="17"/>
    <x v="179"/>
    <x v="5"/>
    <x v="0"/>
    <x v="1"/>
    <n v="339"/>
  </r>
  <r>
    <x v="294"/>
    <x v="1"/>
    <x v="1"/>
    <m/>
    <x v="35"/>
    <x v="204"/>
    <x v="10"/>
    <x v="0"/>
    <x v="1"/>
    <n v="184"/>
  </r>
  <r>
    <x v="295"/>
    <x v="14"/>
    <x v="20"/>
    <n v="30"/>
    <x v="0"/>
    <x v="161"/>
    <x v="14"/>
    <x v="1"/>
    <x v="1"/>
    <n v="110"/>
  </r>
  <r>
    <x v="296"/>
    <x v="4"/>
    <x v="10"/>
    <m/>
    <x v="0"/>
    <x v="16"/>
    <x v="1"/>
    <x v="3"/>
    <x v="1"/>
    <n v="45"/>
  </r>
  <r>
    <x v="297"/>
    <x v="54"/>
    <x v="4"/>
    <n v="100"/>
    <x v="0"/>
    <x v="193"/>
    <x v="12"/>
    <x v="7"/>
    <x v="4"/>
    <n v="80"/>
  </r>
  <r>
    <x v="298"/>
    <x v="43"/>
    <x v="0"/>
    <m/>
    <x v="0"/>
    <x v="14"/>
    <x v="3"/>
    <x v="0"/>
    <x v="18"/>
    <n v="2000"/>
  </r>
  <r>
    <x v="298"/>
    <x v="43"/>
    <x v="0"/>
    <n v="750"/>
    <x v="6"/>
    <x v="144"/>
    <x v="6"/>
    <x v="0"/>
    <x v="18"/>
    <n v="2000"/>
  </r>
  <r>
    <x v="299"/>
    <x v="4"/>
    <x v="1"/>
    <m/>
    <x v="47"/>
    <x v="34"/>
    <x v="1"/>
    <x v="5"/>
    <x v="1"/>
    <n v="351"/>
  </r>
  <r>
    <x v="300"/>
    <x v="4"/>
    <x v="5"/>
    <n v="150"/>
    <x v="9"/>
    <x v="214"/>
    <x v="1"/>
    <x v="3"/>
    <x v="1"/>
    <n v="864"/>
  </r>
  <r>
    <x v="301"/>
    <x v="68"/>
    <x v="1"/>
    <m/>
    <x v="0"/>
    <x v="215"/>
    <x v="3"/>
    <x v="0"/>
    <x v="1"/>
    <n v="560"/>
  </r>
  <r>
    <x v="302"/>
    <x v="1"/>
    <x v="1"/>
    <m/>
    <x v="0"/>
    <x v="165"/>
    <x v="17"/>
    <x v="4"/>
    <x v="1"/>
    <n v="462"/>
  </r>
  <r>
    <x v="302"/>
    <x v="1"/>
    <x v="1"/>
    <n v="285"/>
    <x v="6"/>
    <x v="74"/>
    <x v="12"/>
    <x v="4"/>
    <x v="1"/>
    <n v="462"/>
  </r>
  <r>
    <x v="302"/>
    <x v="1"/>
    <x v="1"/>
    <n v="400"/>
    <x v="7"/>
    <x v="216"/>
    <x v="8"/>
    <x v="4"/>
    <x v="1"/>
    <n v="462"/>
  </r>
  <r>
    <x v="303"/>
    <x v="4"/>
    <x v="5"/>
    <n v="44"/>
    <x v="13"/>
    <x v="26"/>
    <x v="12"/>
    <x v="8"/>
    <x v="1"/>
    <n v="536"/>
  </r>
  <r>
    <x v="304"/>
    <x v="70"/>
    <x v="12"/>
    <m/>
    <x v="47"/>
    <x v="217"/>
    <x v="2"/>
    <x v="6"/>
    <x v="28"/>
    <n v="22"/>
  </r>
  <r>
    <x v="305"/>
    <x v="1"/>
    <x v="20"/>
    <m/>
    <x v="19"/>
    <x v="10"/>
    <x v="1"/>
    <x v="5"/>
    <x v="1"/>
    <n v="72"/>
  </r>
  <r>
    <x v="306"/>
    <x v="1"/>
    <x v="12"/>
    <n v="142"/>
    <x v="10"/>
    <x v="148"/>
    <x v="2"/>
    <x v="12"/>
    <x v="1"/>
    <n v="468"/>
  </r>
  <r>
    <x v="307"/>
    <x v="35"/>
    <x v="22"/>
    <m/>
    <x v="0"/>
    <x v="37"/>
    <x v="10"/>
    <x v="7"/>
    <x v="17"/>
    <n v="92"/>
  </r>
  <r>
    <x v="307"/>
    <x v="35"/>
    <x v="22"/>
    <n v="100"/>
    <x v="10"/>
    <x v="148"/>
    <x v="2"/>
    <x v="4"/>
    <x v="17"/>
    <n v="92"/>
  </r>
  <r>
    <x v="308"/>
    <x v="43"/>
    <x v="12"/>
    <n v="100"/>
    <x v="13"/>
    <x v="218"/>
    <x v="7"/>
    <x v="5"/>
    <x v="18"/>
    <n v="1800"/>
  </r>
  <r>
    <x v="309"/>
    <x v="1"/>
    <x v="19"/>
    <n v="64"/>
    <x v="5"/>
    <x v="219"/>
    <x v="23"/>
    <x v="5"/>
    <x v="1"/>
    <n v="309"/>
  </r>
  <r>
    <x v="310"/>
    <x v="4"/>
    <x v="11"/>
    <m/>
    <x v="0"/>
    <x v="28"/>
    <x v="5"/>
    <x v="7"/>
    <x v="1"/>
    <n v="54"/>
  </r>
  <r>
    <x v="311"/>
    <x v="1"/>
    <x v="9"/>
    <m/>
    <x v="0"/>
    <x v="220"/>
    <x v="27"/>
    <x v="3"/>
    <x v="1"/>
    <n v="67"/>
  </r>
  <r>
    <x v="312"/>
    <x v="9"/>
    <x v="18"/>
    <m/>
    <x v="0"/>
    <x v="221"/>
    <x v="27"/>
    <x v="7"/>
    <x v="1"/>
    <n v="105"/>
  </r>
  <r>
    <x v="313"/>
    <x v="43"/>
    <x v="3"/>
    <n v="29"/>
    <x v="0"/>
    <x v="46"/>
    <x v="1"/>
    <x v="7"/>
    <x v="18"/>
    <n v="0"/>
  </r>
  <r>
    <x v="314"/>
    <x v="4"/>
    <x v="8"/>
    <n v="58"/>
    <x v="0"/>
    <x v="2"/>
    <x v="2"/>
    <x v="3"/>
    <x v="1"/>
    <n v="54"/>
  </r>
  <r>
    <x v="315"/>
    <x v="1"/>
    <x v="12"/>
    <n v="156"/>
    <x v="5"/>
    <x v="148"/>
    <x v="2"/>
    <x v="13"/>
    <x v="1"/>
    <n v="2300"/>
  </r>
  <r>
    <x v="316"/>
    <x v="59"/>
    <x v="12"/>
    <m/>
    <x v="0"/>
    <x v="222"/>
    <x v="2"/>
    <x v="11"/>
    <x v="22"/>
    <n v="2"/>
  </r>
  <r>
    <x v="317"/>
    <x v="1"/>
    <x v="12"/>
    <n v="50"/>
    <x v="48"/>
    <x v="32"/>
    <x v="0"/>
    <x v="4"/>
    <x v="1"/>
    <n v="302"/>
  </r>
  <r>
    <x v="317"/>
    <x v="1"/>
    <x v="12"/>
    <n v="100"/>
    <x v="37"/>
    <x v="223"/>
    <x v="12"/>
    <x v="4"/>
    <x v="1"/>
    <n v="302"/>
  </r>
  <r>
    <x v="318"/>
    <x v="21"/>
    <x v="9"/>
    <n v="65"/>
    <x v="47"/>
    <x v="180"/>
    <x v="0"/>
    <x v="1"/>
    <x v="9"/>
    <n v="50"/>
  </r>
  <r>
    <x v="319"/>
    <x v="3"/>
    <x v="9"/>
    <n v="40"/>
    <x v="10"/>
    <x v="224"/>
    <x v="0"/>
    <x v="4"/>
    <x v="1"/>
    <n v="64"/>
  </r>
  <r>
    <x v="319"/>
    <x v="3"/>
    <x v="9"/>
    <n v="100"/>
    <x v="7"/>
    <x v="4"/>
    <x v="1"/>
    <x v="4"/>
    <x v="1"/>
    <n v="64"/>
  </r>
  <r>
    <x v="320"/>
    <x v="84"/>
    <x v="4"/>
    <n v="65"/>
    <x v="35"/>
    <x v="96"/>
    <x v="3"/>
    <x v="4"/>
    <x v="7"/>
    <n v="205"/>
  </r>
  <r>
    <x v="320"/>
    <x v="84"/>
    <x v="4"/>
    <n v="80"/>
    <x v="0"/>
    <x v="44"/>
    <x v="0"/>
    <x v="4"/>
    <x v="7"/>
    <n v="205"/>
  </r>
  <r>
    <x v="321"/>
    <x v="1"/>
    <x v="5"/>
    <m/>
    <x v="0"/>
    <x v="225"/>
    <x v="5"/>
    <x v="6"/>
    <x v="1"/>
    <n v="18"/>
  </r>
  <r>
    <x v="322"/>
    <x v="16"/>
    <x v="0"/>
    <n v="100"/>
    <x v="0"/>
    <x v="226"/>
    <x v="18"/>
    <x v="7"/>
    <x v="7"/>
    <n v="55"/>
  </r>
  <r>
    <x v="323"/>
    <x v="1"/>
    <x v="17"/>
    <m/>
    <x v="3"/>
    <x v="227"/>
    <x v="0"/>
    <x v="8"/>
    <x v="1"/>
    <n v="315"/>
  </r>
  <r>
    <x v="324"/>
    <x v="1"/>
    <x v="12"/>
    <m/>
    <x v="0"/>
    <x v="4"/>
    <x v="1"/>
    <x v="4"/>
    <x v="1"/>
    <n v="53"/>
  </r>
  <r>
    <x v="325"/>
    <x v="49"/>
    <x v="1"/>
    <m/>
    <x v="31"/>
    <x v="228"/>
    <x v="6"/>
    <x v="2"/>
    <x v="1"/>
    <n v="50"/>
  </r>
  <r>
    <x v="326"/>
    <x v="1"/>
    <x v="18"/>
    <n v="4100"/>
    <x v="13"/>
    <x v="67"/>
    <x v="2"/>
    <x v="0"/>
    <x v="1"/>
    <n v="2"/>
  </r>
  <r>
    <x v="327"/>
    <x v="4"/>
    <x v="3"/>
    <n v="33"/>
    <x v="0"/>
    <x v="209"/>
    <x v="3"/>
    <x v="4"/>
    <x v="1"/>
    <n v="133"/>
  </r>
  <r>
    <x v="328"/>
    <x v="1"/>
    <x v="13"/>
    <n v="22"/>
    <x v="27"/>
    <x v="117"/>
    <x v="3"/>
    <x v="4"/>
    <x v="1"/>
    <n v="64"/>
  </r>
  <r>
    <x v="329"/>
    <x v="37"/>
    <x v="18"/>
    <m/>
    <x v="6"/>
    <x v="5"/>
    <x v="3"/>
    <x v="7"/>
    <x v="1"/>
    <n v="20"/>
  </r>
  <r>
    <x v="330"/>
    <x v="80"/>
    <x v="4"/>
    <n v="191"/>
    <x v="8"/>
    <x v="150"/>
    <x v="6"/>
    <x v="4"/>
    <x v="6"/>
    <n v="112"/>
  </r>
  <r>
    <x v="331"/>
    <x v="18"/>
    <x v="2"/>
    <m/>
    <x v="0"/>
    <x v="30"/>
    <x v="14"/>
    <x v="11"/>
    <x v="1"/>
    <n v="4"/>
  </r>
  <r>
    <x v="332"/>
    <x v="1"/>
    <x v="8"/>
    <n v="20"/>
    <x v="0"/>
    <x v="193"/>
    <x v="12"/>
    <x v="8"/>
    <x v="1"/>
    <n v="496"/>
  </r>
  <r>
    <x v="332"/>
    <x v="1"/>
    <x v="8"/>
    <n v="45"/>
    <x v="0"/>
    <x v="81"/>
    <x v="4"/>
    <x v="8"/>
    <x v="1"/>
    <n v="496"/>
  </r>
  <r>
    <x v="333"/>
    <x v="1"/>
    <x v="1"/>
    <n v="15"/>
    <x v="13"/>
    <x v="90"/>
    <x v="1"/>
    <x v="5"/>
    <x v="1"/>
    <n v="328"/>
  </r>
  <r>
    <x v="334"/>
    <x v="15"/>
    <x v="6"/>
    <m/>
    <x v="0"/>
    <x v="229"/>
    <x v="4"/>
    <x v="11"/>
    <x v="1"/>
    <n v="1"/>
  </r>
  <r>
    <x v="335"/>
    <x v="4"/>
    <x v="28"/>
    <n v="154"/>
    <x v="29"/>
    <x v="7"/>
    <x v="5"/>
    <x v="1"/>
    <x v="1"/>
    <n v="549"/>
  </r>
  <r>
    <x v="336"/>
    <x v="60"/>
    <x v="12"/>
    <n v="190"/>
    <x v="7"/>
    <x v="230"/>
    <x v="7"/>
    <x v="4"/>
    <x v="6"/>
    <n v="140"/>
  </r>
  <r>
    <x v="337"/>
    <x v="85"/>
    <x v="23"/>
    <n v="250"/>
    <x v="9"/>
    <x v="205"/>
    <x v="3"/>
    <x v="6"/>
    <x v="1"/>
    <m/>
  </r>
  <r>
    <x v="337"/>
    <x v="85"/>
    <x v="23"/>
    <n v="378"/>
    <x v="27"/>
    <x v="138"/>
    <x v="8"/>
    <x v="6"/>
    <x v="1"/>
    <m/>
  </r>
  <r>
    <x v="338"/>
    <x v="0"/>
    <x v="12"/>
    <n v="17"/>
    <x v="4"/>
    <x v="231"/>
    <x v="5"/>
    <x v="3"/>
    <x v="0"/>
    <n v="119"/>
  </r>
  <r>
    <x v="339"/>
    <x v="1"/>
    <x v="13"/>
    <m/>
    <x v="0"/>
    <x v="48"/>
    <x v="5"/>
    <x v="2"/>
    <x v="1"/>
    <n v="17"/>
  </r>
  <r>
    <x v="340"/>
    <x v="2"/>
    <x v="12"/>
    <m/>
    <x v="0"/>
    <x v="232"/>
    <x v="6"/>
    <x v="4"/>
    <x v="2"/>
    <n v="681"/>
  </r>
  <r>
    <x v="340"/>
    <x v="0"/>
    <x v="29"/>
    <n v="125"/>
    <x v="9"/>
    <x v="233"/>
    <x v="1"/>
    <x v="4"/>
    <x v="0"/>
    <n v="681"/>
  </r>
  <r>
    <x v="340"/>
    <x v="0"/>
    <x v="12"/>
    <n v="50"/>
    <x v="8"/>
    <x v="234"/>
    <x v="3"/>
    <x v="4"/>
    <x v="0"/>
    <n v="698"/>
  </r>
  <r>
    <x v="340"/>
    <x v="0"/>
    <x v="12"/>
    <n v="60"/>
    <x v="0"/>
    <x v="232"/>
    <x v="6"/>
    <x v="4"/>
    <x v="0"/>
    <n v="681"/>
  </r>
  <r>
    <x v="341"/>
    <x v="34"/>
    <x v="23"/>
    <m/>
    <x v="0"/>
    <x v="104"/>
    <x v="8"/>
    <x v="3"/>
    <x v="1"/>
    <n v="13"/>
  </r>
  <r>
    <x v="341"/>
    <x v="34"/>
    <x v="23"/>
    <m/>
    <x v="0"/>
    <x v="235"/>
    <x v="14"/>
    <x v="2"/>
    <x v="1"/>
    <n v="5"/>
  </r>
  <r>
    <x v="342"/>
    <x v="12"/>
    <x v="2"/>
    <n v="60"/>
    <x v="7"/>
    <x v="206"/>
    <x v="5"/>
    <x v="4"/>
    <x v="6"/>
    <n v="76"/>
  </r>
  <r>
    <x v="343"/>
    <x v="78"/>
    <x v="20"/>
    <n v="60"/>
    <x v="11"/>
    <x v="47"/>
    <x v="17"/>
    <x v="4"/>
    <x v="1"/>
    <n v="537"/>
  </r>
  <r>
    <x v="344"/>
    <x v="86"/>
    <x v="10"/>
    <n v="40"/>
    <x v="45"/>
    <x v="225"/>
    <x v="5"/>
    <x v="3"/>
    <x v="1"/>
    <n v="59"/>
  </r>
  <r>
    <x v="345"/>
    <x v="1"/>
    <x v="18"/>
    <m/>
    <x v="0"/>
    <x v="40"/>
    <x v="10"/>
    <x v="0"/>
    <x v="1"/>
    <n v="1000"/>
  </r>
  <r>
    <x v="346"/>
    <x v="87"/>
    <x v="13"/>
    <m/>
    <x v="5"/>
    <x v="72"/>
    <x v="2"/>
    <x v="10"/>
    <x v="34"/>
    <n v="78"/>
  </r>
  <r>
    <x v="347"/>
    <x v="1"/>
    <x v="11"/>
    <n v="40"/>
    <x v="4"/>
    <x v="203"/>
    <x v="2"/>
    <x v="6"/>
    <x v="1"/>
    <n v="100"/>
  </r>
  <r>
    <x v="348"/>
    <x v="3"/>
    <x v="23"/>
    <m/>
    <x v="0"/>
    <x v="35"/>
    <x v="2"/>
    <x v="6"/>
    <x v="1"/>
    <n v="1300"/>
  </r>
  <r>
    <x v="349"/>
    <x v="1"/>
    <x v="3"/>
    <m/>
    <x v="0"/>
    <x v="12"/>
    <x v="6"/>
    <x v="4"/>
    <x v="1"/>
    <n v="110"/>
  </r>
  <r>
    <x v="350"/>
    <x v="16"/>
    <x v="1"/>
    <n v="31"/>
    <x v="21"/>
    <x v="14"/>
    <x v="3"/>
    <x v="6"/>
    <x v="7"/>
    <n v="47"/>
  </r>
  <r>
    <x v="351"/>
    <x v="1"/>
    <x v="13"/>
    <m/>
    <x v="0"/>
    <x v="236"/>
    <x v="28"/>
    <x v="4"/>
    <x v="1"/>
    <n v="186"/>
  </r>
  <r>
    <x v="352"/>
    <x v="0"/>
    <x v="0"/>
    <n v="76"/>
    <x v="29"/>
    <x v="118"/>
    <x v="6"/>
    <x v="3"/>
    <x v="0"/>
    <n v="153"/>
  </r>
  <r>
    <x v="352"/>
    <x v="0"/>
    <x v="0"/>
    <n v="150"/>
    <x v="0"/>
    <x v="71"/>
    <x v="3"/>
    <x v="6"/>
    <x v="0"/>
    <n v="253"/>
  </r>
  <r>
    <x v="353"/>
    <x v="3"/>
    <x v="3"/>
    <m/>
    <x v="8"/>
    <x v="235"/>
    <x v="14"/>
    <x v="5"/>
    <x v="1"/>
    <n v="296"/>
  </r>
  <r>
    <x v="354"/>
    <x v="4"/>
    <x v="2"/>
    <n v="22"/>
    <x v="0"/>
    <x v="237"/>
    <x v="15"/>
    <x v="3"/>
    <x v="1"/>
    <n v="58"/>
  </r>
  <r>
    <x v="355"/>
    <x v="1"/>
    <x v="11"/>
    <n v="12"/>
    <x v="10"/>
    <x v="69"/>
    <x v="9"/>
    <x v="7"/>
    <x v="1"/>
    <n v="20"/>
  </r>
  <r>
    <x v="356"/>
    <x v="16"/>
    <x v="19"/>
    <m/>
    <x v="10"/>
    <x v="163"/>
    <x v="3"/>
    <x v="4"/>
    <x v="7"/>
    <n v="332"/>
  </r>
  <r>
    <x v="357"/>
    <x v="1"/>
    <x v="20"/>
    <m/>
    <x v="0"/>
    <x v="14"/>
    <x v="3"/>
    <x v="5"/>
    <x v="1"/>
    <n v="240"/>
  </r>
  <r>
    <x v="358"/>
    <x v="47"/>
    <x v="13"/>
    <n v="25"/>
    <x v="13"/>
    <x v="225"/>
    <x v="5"/>
    <x v="3"/>
    <x v="1"/>
    <n v="138"/>
  </r>
  <r>
    <x v="358"/>
    <x v="47"/>
    <x v="22"/>
    <m/>
    <x v="6"/>
    <x v="238"/>
    <x v="2"/>
    <x v="6"/>
    <x v="1"/>
    <n v="137"/>
  </r>
  <r>
    <x v="359"/>
    <x v="1"/>
    <x v="6"/>
    <n v="8"/>
    <x v="0"/>
    <x v="239"/>
    <x v="27"/>
    <x v="2"/>
    <x v="1"/>
    <n v="8"/>
  </r>
  <r>
    <x v="360"/>
    <x v="1"/>
    <x v="1"/>
    <m/>
    <x v="26"/>
    <x v="146"/>
    <x v="2"/>
    <x v="0"/>
    <x v="1"/>
    <n v="162"/>
  </r>
  <r>
    <x v="361"/>
    <x v="9"/>
    <x v="6"/>
    <n v="7"/>
    <x v="11"/>
    <x v="7"/>
    <x v="5"/>
    <x v="6"/>
    <x v="1"/>
    <n v="2"/>
  </r>
  <r>
    <x v="362"/>
    <x v="14"/>
    <x v="10"/>
    <n v="24"/>
    <x v="23"/>
    <x v="145"/>
    <x v="5"/>
    <x v="4"/>
    <x v="1"/>
    <n v="92"/>
  </r>
  <r>
    <x v="363"/>
    <x v="35"/>
    <x v="22"/>
    <n v="100"/>
    <x v="13"/>
    <x v="240"/>
    <x v="0"/>
    <x v="6"/>
    <x v="17"/>
    <m/>
  </r>
  <r>
    <x v="364"/>
    <x v="1"/>
    <x v="13"/>
    <m/>
    <x v="0"/>
    <x v="43"/>
    <x v="5"/>
    <x v="1"/>
    <x v="1"/>
    <n v="660"/>
  </r>
  <r>
    <x v="365"/>
    <x v="1"/>
    <x v="5"/>
    <n v="60"/>
    <x v="0"/>
    <x v="119"/>
    <x v="2"/>
    <x v="0"/>
    <x v="1"/>
    <n v="549"/>
  </r>
  <r>
    <x v="365"/>
    <x v="1"/>
    <x v="5"/>
    <n v="950"/>
    <x v="7"/>
    <x v="5"/>
    <x v="3"/>
    <x v="0"/>
    <x v="1"/>
    <n v="549"/>
  </r>
  <r>
    <x v="365"/>
    <x v="1"/>
    <x v="5"/>
    <n v="1100"/>
    <x v="26"/>
    <x v="31"/>
    <x v="6"/>
    <x v="0"/>
    <x v="1"/>
    <n v="549"/>
  </r>
  <r>
    <x v="366"/>
    <x v="12"/>
    <x v="5"/>
    <n v="80"/>
    <x v="0"/>
    <x v="209"/>
    <x v="3"/>
    <x v="5"/>
    <x v="6"/>
    <n v="244"/>
  </r>
  <r>
    <x v="367"/>
    <x v="88"/>
    <x v="5"/>
    <m/>
    <x v="0"/>
    <x v="233"/>
    <x v="1"/>
    <x v="6"/>
    <x v="24"/>
    <n v="11"/>
  </r>
  <r>
    <x v="368"/>
    <x v="54"/>
    <x v="5"/>
    <n v="10"/>
    <x v="7"/>
    <x v="146"/>
    <x v="2"/>
    <x v="6"/>
    <x v="4"/>
    <n v="1"/>
  </r>
  <r>
    <x v="369"/>
    <x v="0"/>
    <x v="5"/>
    <n v="30"/>
    <x v="47"/>
    <x v="241"/>
    <x v="1"/>
    <x v="6"/>
    <x v="0"/>
    <n v="98"/>
  </r>
  <r>
    <x v="370"/>
    <x v="1"/>
    <x v="5"/>
    <n v="19"/>
    <x v="0"/>
    <x v="242"/>
    <x v="3"/>
    <x v="2"/>
    <x v="1"/>
    <n v="101"/>
  </r>
  <r>
    <x v="371"/>
    <x v="1"/>
    <x v="1"/>
    <n v="54"/>
    <x v="0"/>
    <x v="212"/>
    <x v="12"/>
    <x v="8"/>
    <x v="1"/>
    <n v="719"/>
  </r>
  <r>
    <x v="372"/>
    <x v="89"/>
    <x v="13"/>
    <m/>
    <x v="0"/>
    <x v="104"/>
    <x v="8"/>
    <x v="13"/>
    <x v="35"/>
    <n v="596"/>
  </r>
  <r>
    <x v="373"/>
    <x v="1"/>
    <x v="1"/>
    <n v="300"/>
    <x v="0"/>
    <x v="243"/>
    <x v="9"/>
    <x v="1"/>
    <x v="1"/>
    <n v="482"/>
  </r>
  <r>
    <x v="374"/>
    <x v="14"/>
    <x v="7"/>
    <n v="97"/>
    <x v="0"/>
    <x v="156"/>
    <x v="17"/>
    <x v="2"/>
    <x v="1"/>
    <n v="41"/>
  </r>
  <r>
    <x v="375"/>
    <x v="90"/>
    <x v="4"/>
    <m/>
    <x v="0"/>
    <x v="118"/>
    <x v="6"/>
    <x v="6"/>
    <x v="1"/>
    <m/>
  </r>
  <r>
    <x v="376"/>
    <x v="91"/>
    <x v="4"/>
    <n v="371"/>
    <x v="21"/>
    <x v="244"/>
    <x v="12"/>
    <x v="7"/>
    <x v="1"/>
    <m/>
  </r>
  <r>
    <x v="377"/>
    <x v="4"/>
    <x v="12"/>
    <m/>
    <x v="20"/>
    <x v="68"/>
    <x v="7"/>
    <x v="5"/>
    <x v="1"/>
    <n v="125"/>
  </r>
  <r>
    <x v="377"/>
    <x v="4"/>
    <x v="12"/>
    <n v="22"/>
    <x v="0"/>
    <x v="245"/>
    <x v="17"/>
    <x v="5"/>
    <x v="1"/>
    <n v="130"/>
  </r>
  <r>
    <x v="378"/>
    <x v="3"/>
    <x v="2"/>
    <n v="40"/>
    <x v="8"/>
    <x v="246"/>
    <x v="6"/>
    <x v="6"/>
    <x v="1"/>
    <n v="40"/>
  </r>
  <r>
    <x v="379"/>
    <x v="4"/>
    <x v="23"/>
    <m/>
    <x v="0"/>
    <x v="107"/>
    <x v="3"/>
    <x v="0"/>
    <x v="1"/>
    <n v="1600"/>
  </r>
  <r>
    <x v="379"/>
    <x v="4"/>
    <x v="23"/>
    <n v="271"/>
    <x v="0"/>
    <x v="17"/>
    <x v="7"/>
    <x v="0"/>
    <x v="1"/>
    <n v="1600"/>
  </r>
  <r>
    <x v="379"/>
    <x v="4"/>
    <x v="23"/>
    <n v="375"/>
    <x v="6"/>
    <x v="194"/>
    <x v="14"/>
    <x v="13"/>
    <x v="1"/>
    <n v="1600"/>
  </r>
  <r>
    <x v="379"/>
    <x v="4"/>
    <x v="23"/>
    <n v="450"/>
    <x v="10"/>
    <x v="31"/>
    <x v="6"/>
    <x v="0"/>
    <x v="1"/>
    <n v="1600"/>
  </r>
  <r>
    <x v="380"/>
    <x v="35"/>
    <x v="19"/>
    <n v="11"/>
    <x v="40"/>
    <x v="247"/>
    <x v="7"/>
    <x v="2"/>
    <x v="17"/>
    <n v="17"/>
  </r>
  <r>
    <x v="381"/>
    <x v="1"/>
    <x v="13"/>
    <n v="221"/>
    <x v="4"/>
    <x v="248"/>
    <x v="3"/>
    <x v="0"/>
    <x v="1"/>
    <n v="455"/>
  </r>
  <r>
    <x v="382"/>
    <x v="26"/>
    <x v="13"/>
    <m/>
    <x v="33"/>
    <x v="249"/>
    <x v="18"/>
    <x v="7"/>
    <x v="1"/>
    <n v="117"/>
  </r>
  <r>
    <x v="383"/>
    <x v="0"/>
    <x v="17"/>
    <n v="17"/>
    <x v="10"/>
    <x v="185"/>
    <x v="5"/>
    <x v="6"/>
    <x v="0"/>
    <m/>
  </r>
  <r>
    <x v="384"/>
    <x v="4"/>
    <x v="5"/>
    <n v="91"/>
    <x v="23"/>
    <x v="250"/>
    <x v="5"/>
    <x v="6"/>
    <x v="1"/>
    <n v="10"/>
  </r>
  <r>
    <x v="384"/>
    <x v="4"/>
    <x v="5"/>
    <n v="100"/>
    <x v="33"/>
    <x v="5"/>
    <x v="3"/>
    <x v="5"/>
    <x v="1"/>
    <n v="726"/>
  </r>
  <r>
    <x v="385"/>
    <x v="1"/>
    <x v="20"/>
    <n v="13"/>
    <x v="20"/>
    <x v="123"/>
    <x v="14"/>
    <x v="11"/>
    <x v="1"/>
    <n v="5"/>
  </r>
  <r>
    <x v="386"/>
    <x v="92"/>
    <x v="6"/>
    <n v="140"/>
    <x v="46"/>
    <x v="147"/>
    <x v="5"/>
    <x v="5"/>
    <x v="3"/>
    <n v="37"/>
  </r>
  <r>
    <x v="387"/>
    <x v="4"/>
    <x v="1"/>
    <n v="16"/>
    <x v="39"/>
    <x v="160"/>
    <x v="4"/>
    <x v="0"/>
    <x v="1"/>
    <n v="380"/>
  </r>
  <r>
    <x v="388"/>
    <x v="4"/>
    <x v="23"/>
    <m/>
    <x v="0"/>
    <x v="112"/>
    <x v="0"/>
    <x v="6"/>
    <x v="1"/>
    <n v="281"/>
  </r>
  <r>
    <x v="388"/>
    <x v="4"/>
    <x v="23"/>
    <n v="150"/>
    <x v="26"/>
    <x v="194"/>
    <x v="14"/>
    <x v="5"/>
    <x v="1"/>
    <n v="280"/>
  </r>
  <r>
    <x v="389"/>
    <x v="44"/>
    <x v="15"/>
    <m/>
    <x v="0"/>
    <x v="251"/>
    <x v="12"/>
    <x v="1"/>
    <x v="1"/>
    <n v="1100"/>
  </r>
  <r>
    <x v="389"/>
    <x v="9"/>
    <x v="15"/>
    <m/>
    <x v="0"/>
    <x v="196"/>
    <x v="8"/>
    <x v="1"/>
    <x v="1"/>
    <n v="1100"/>
  </r>
  <r>
    <x v="389"/>
    <x v="9"/>
    <x v="15"/>
    <m/>
    <x v="18"/>
    <x v="252"/>
    <x v="5"/>
    <x v="5"/>
    <x v="1"/>
    <n v="665"/>
  </r>
  <r>
    <x v="389"/>
    <x v="9"/>
    <x v="15"/>
    <n v="90"/>
    <x v="11"/>
    <x v="170"/>
    <x v="6"/>
    <x v="1"/>
    <x v="1"/>
    <n v="1100"/>
  </r>
  <r>
    <x v="390"/>
    <x v="1"/>
    <x v="2"/>
    <n v="35"/>
    <x v="0"/>
    <x v="7"/>
    <x v="5"/>
    <x v="4"/>
    <x v="1"/>
    <n v="102"/>
  </r>
  <r>
    <x v="391"/>
    <x v="29"/>
    <x v="5"/>
    <m/>
    <x v="10"/>
    <x v="253"/>
    <x v="4"/>
    <x v="0"/>
    <x v="1"/>
    <n v="169"/>
  </r>
  <r>
    <x v="392"/>
    <x v="14"/>
    <x v="12"/>
    <m/>
    <x v="23"/>
    <x v="163"/>
    <x v="3"/>
    <x v="4"/>
    <x v="1"/>
    <n v="160"/>
  </r>
  <r>
    <x v="393"/>
    <x v="93"/>
    <x v="2"/>
    <m/>
    <x v="0"/>
    <x v="88"/>
    <x v="3"/>
    <x v="6"/>
    <x v="1"/>
    <n v="2"/>
  </r>
  <r>
    <x v="394"/>
    <x v="16"/>
    <x v="27"/>
    <m/>
    <x v="0"/>
    <x v="64"/>
    <x v="1"/>
    <x v="3"/>
    <x v="7"/>
    <n v="45"/>
  </r>
  <r>
    <x v="395"/>
    <x v="8"/>
    <x v="12"/>
    <n v="30"/>
    <x v="7"/>
    <x v="41"/>
    <x v="17"/>
    <x v="3"/>
    <x v="1"/>
    <n v="70"/>
  </r>
  <r>
    <x v="396"/>
    <x v="1"/>
    <x v="6"/>
    <m/>
    <x v="0"/>
    <x v="72"/>
    <x v="2"/>
    <x v="0"/>
    <x v="1"/>
    <n v="458"/>
  </r>
  <r>
    <x v="397"/>
    <x v="14"/>
    <x v="2"/>
    <n v="20"/>
    <x v="7"/>
    <x v="22"/>
    <x v="5"/>
    <x v="2"/>
    <x v="1"/>
    <n v="16"/>
  </r>
  <r>
    <x v="398"/>
    <x v="1"/>
    <x v="24"/>
    <m/>
    <x v="0"/>
    <x v="121"/>
    <x v="3"/>
    <x v="6"/>
    <x v="1"/>
    <m/>
  </r>
  <r>
    <x v="399"/>
    <x v="1"/>
    <x v="12"/>
    <n v="22"/>
    <x v="23"/>
    <x v="254"/>
    <x v="18"/>
    <x v="8"/>
    <x v="1"/>
    <n v="120"/>
  </r>
  <r>
    <x v="400"/>
    <x v="5"/>
    <x v="12"/>
    <m/>
    <x v="1"/>
    <x v="185"/>
    <x v="5"/>
    <x v="5"/>
    <x v="3"/>
    <n v="314"/>
  </r>
  <r>
    <x v="401"/>
    <x v="94"/>
    <x v="6"/>
    <m/>
    <x v="0"/>
    <x v="45"/>
    <x v="6"/>
    <x v="3"/>
    <x v="36"/>
    <n v="93"/>
  </r>
  <r>
    <x v="402"/>
    <x v="60"/>
    <x v="6"/>
    <n v="170"/>
    <x v="20"/>
    <x v="18"/>
    <x v="6"/>
    <x v="11"/>
    <x v="6"/>
    <n v="3"/>
  </r>
  <r>
    <x v="403"/>
    <x v="51"/>
    <x v="2"/>
    <m/>
    <x v="0"/>
    <x v="162"/>
    <x v="12"/>
    <x v="0"/>
    <x v="20"/>
    <n v="61"/>
  </r>
  <r>
    <x v="404"/>
    <x v="0"/>
    <x v="2"/>
    <m/>
    <x v="0"/>
    <x v="206"/>
    <x v="5"/>
    <x v="2"/>
    <x v="0"/>
    <n v="11"/>
  </r>
  <r>
    <x v="405"/>
    <x v="13"/>
    <x v="23"/>
    <n v="24"/>
    <x v="29"/>
    <x v="255"/>
    <x v="18"/>
    <x v="4"/>
    <x v="1"/>
    <n v="24"/>
  </r>
  <r>
    <x v="406"/>
    <x v="1"/>
    <x v="0"/>
    <n v="150"/>
    <x v="4"/>
    <x v="256"/>
    <x v="10"/>
    <x v="7"/>
    <x v="1"/>
    <n v="5300"/>
  </r>
  <r>
    <x v="407"/>
    <x v="95"/>
    <x v="11"/>
    <n v="85"/>
    <x v="0"/>
    <x v="162"/>
    <x v="12"/>
    <x v="6"/>
    <x v="37"/>
    <n v="26"/>
  </r>
  <r>
    <x v="408"/>
    <x v="21"/>
    <x v="5"/>
    <m/>
    <x v="0"/>
    <x v="55"/>
    <x v="4"/>
    <x v="6"/>
    <x v="9"/>
    <n v="156"/>
  </r>
  <r>
    <x v="408"/>
    <x v="21"/>
    <x v="5"/>
    <m/>
    <x v="7"/>
    <x v="53"/>
    <x v="3"/>
    <x v="6"/>
    <x v="1"/>
    <m/>
  </r>
  <r>
    <x v="408"/>
    <x v="21"/>
    <x v="5"/>
    <n v="260"/>
    <x v="13"/>
    <x v="56"/>
    <x v="6"/>
    <x v="6"/>
    <x v="9"/>
    <n v="156"/>
  </r>
  <r>
    <x v="408"/>
    <x v="21"/>
    <x v="5"/>
    <n v="2000"/>
    <x v="8"/>
    <x v="105"/>
    <x v="8"/>
    <x v="6"/>
    <x v="9"/>
    <n v="156"/>
  </r>
  <r>
    <x v="409"/>
    <x v="29"/>
    <x v="30"/>
    <n v="62"/>
    <x v="2"/>
    <x v="198"/>
    <x v="3"/>
    <x v="0"/>
    <x v="1"/>
    <n v="233"/>
  </r>
  <r>
    <x v="410"/>
    <x v="10"/>
    <x v="18"/>
    <n v="30"/>
    <x v="31"/>
    <x v="257"/>
    <x v="14"/>
    <x v="11"/>
    <x v="0"/>
    <n v="7"/>
  </r>
  <r>
    <x v="411"/>
    <x v="78"/>
    <x v="1"/>
    <n v="170"/>
    <x v="0"/>
    <x v="73"/>
    <x v="6"/>
    <x v="0"/>
    <x v="1"/>
    <n v="999"/>
  </r>
  <r>
    <x v="411"/>
    <x v="78"/>
    <x v="1"/>
    <n v="388"/>
    <x v="0"/>
    <x v="107"/>
    <x v="3"/>
    <x v="0"/>
    <x v="1"/>
    <n v="999"/>
  </r>
  <r>
    <x v="412"/>
    <x v="54"/>
    <x v="19"/>
    <n v="36"/>
    <x v="4"/>
    <x v="167"/>
    <x v="10"/>
    <x v="1"/>
    <x v="4"/>
    <n v="157"/>
  </r>
  <r>
    <x v="413"/>
    <x v="43"/>
    <x v="11"/>
    <n v="95"/>
    <x v="45"/>
    <x v="113"/>
    <x v="10"/>
    <x v="3"/>
    <x v="18"/>
    <n v="102"/>
  </r>
  <r>
    <x v="414"/>
    <x v="3"/>
    <x v="1"/>
    <n v="109"/>
    <x v="0"/>
    <x v="17"/>
    <x v="7"/>
    <x v="11"/>
    <x v="1"/>
    <n v="8"/>
  </r>
  <r>
    <x v="415"/>
    <x v="60"/>
    <x v="28"/>
    <n v="120"/>
    <x v="0"/>
    <x v="258"/>
    <x v="23"/>
    <x v="5"/>
    <x v="6"/>
    <n v="405"/>
  </r>
  <r>
    <x v="415"/>
    <x v="60"/>
    <x v="28"/>
    <n v="800"/>
    <x v="14"/>
    <x v="204"/>
    <x v="10"/>
    <x v="5"/>
    <x v="6"/>
    <n v="404"/>
  </r>
  <r>
    <x v="416"/>
    <x v="1"/>
    <x v="1"/>
    <n v="150"/>
    <x v="0"/>
    <x v="259"/>
    <x v="13"/>
    <x v="5"/>
    <x v="1"/>
    <n v="19"/>
  </r>
  <r>
    <x v="417"/>
    <x v="3"/>
    <x v="12"/>
    <m/>
    <x v="0"/>
    <x v="22"/>
    <x v="5"/>
    <x v="6"/>
    <x v="1"/>
    <m/>
  </r>
  <r>
    <x v="418"/>
    <x v="43"/>
    <x v="12"/>
    <n v="65"/>
    <x v="10"/>
    <x v="8"/>
    <x v="6"/>
    <x v="4"/>
    <x v="18"/>
    <n v="182"/>
  </r>
  <r>
    <x v="419"/>
    <x v="1"/>
    <x v="4"/>
    <m/>
    <x v="0"/>
    <x v="161"/>
    <x v="14"/>
    <x v="4"/>
    <x v="1"/>
    <n v="31"/>
  </r>
  <r>
    <x v="420"/>
    <x v="6"/>
    <x v="2"/>
    <n v="400"/>
    <x v="10"/>
    <x v="260"/>
    <x v="10"/>
    <x v="7"/>
    <x v="1"/>
    <n v="146"/>
  </r>
  <r>
    <x v="421"/>
    <x v="1"/>
    <x v="12"/>
    <m/>
    <x v="0"/>
    <x v="144"/>
    <x v="6"/>
    <x v="3"/>
    <x v="1"/>
    <n v="35"/>
  </r>
  <r>
    <x v="422"/>
    <x v="14"/>
    <x v="22"/>
    <n v="100"/>
    <x v="1"/>
    <x v="8"/>
    <x v="6"/>
    <x v="8"/>
    <x v="1"/>
    <n v="750"/>
  </r>
  <r>
    <x v="422"/>
    <x v="14"/>
    <x v="22"/>
    <n v="200"/>
    <x v="3"/>
    <x v="92"/>
    <x v="8"/>
    <x v="8"/>
    <x v="1"/>
    <n v="750"/>
  </r>
  <r>
    <x v="423"/>
    <x v="1"/>
    <x v="22"/>
    <n v="30"/>
    <x v="6"/>
    <x v="44"/>
    <x v="0"/>
    <x v="4"/>
    <x v="1"/>
    <n v="153"/>
  </r>
  <r>
    <x v="424"/>
    <x v="44"/>
    <x v="17"/>
    <m/>
    <x v="0"/>
    <x v="14"/>
    <x v="3"/>
    <x v="3"/>
    <x v="1"/>
    <n v="54"/>
  </r>
  <r>
    <x v="425"/>
    <x v="6"/>
    <x v="22"/>
    <n v="121"/>
    <x v="0"/>
    <x v="26"/>
    <x v="12"/>
    <x v="0"/>
    <x v="1"/>
    <n v="161"/>
  </r>
  <r>
    <x v="426"/>
    <x v="14"/>
    <x v="1"/>
    <m/>
    <x v="22"/>
    <x v="117"/>
    <x v="3"/>
    <x v="4"/>
    <x v="1"/>
    <n v="156"/>
  </r>
  <r>
    <x v="427"/>
    <x v="1"/>
    <x v="18"/>
    <n v="34"/>
    <x v="35"/>
    <x v="57"/>
    <x v="5"/>
    <x v="5"/>
    <x v="1"/>
    <n v="247"/>
  </r>
  <r>
    <x v="428"/>
    <x v="38"/>
    <x v="6"/>
    <m/>
    <x v="13"/>
    <x v="67"/>
    <x v="2"/>
    <x v="0"/>
    <x v="0"/>
    <n v="168"/>
  </r>
  <r>
    <x v="429"/>
    <x v="4"/>
    <x v="9"/>
    <m/>
    <x v="6"/>
    <x v="261"/>
    <x v="4"/>
    <x v="5"/>
    <x v="1"/>
    <n v="120"/>
  </r>
  <r>
    <x v="429"/>
    <x v="4"/>
    <x v="9"/>
    <n v="60"/>
    <x v="7"/>
    <x v="262"/>
    <x v="29"/>
    <x v="5"/>
    <x v="1"/>
    <n v="120"/>
  </r>
  <r>
    <x v="430"/>
    <x v="4"/>
    <x v="12"/>
    <m/>
    <x v="6"/>
    <x v="19"/>
    <x v="4"/>
    <x v="6"/>
    <x v="1"/>
    <n v="814"/>
  </r>
  <r>
    <x v="431"/>
    <x v="74"/>
    <x v="13"/>
    <n v="40"/>
    <x v="0"/>
    <x v="51"/>
    <x v="17"/>
    <x v="2"/>
    <x v="6"/>
    <n v="23"/>
  </r>
  <r>
    <x v="432"/>
    <x v="16"/>
    <x v="0"/>
    <m/>
    <x v="14"/>
    <x v="67"/>
    <x v="2"/>
    <x v="6"/>
    <x v="7"/>
    <n v="63"/>
  </r>
  <r>
    <x v="433"/>
    <x v="11"/>
    <x v="4"/>
    <n v="200"/>
    <x v="6"/>
    <x v="170"/>
    <x v="6"/>
    <x v="6"/>
    <x v="5"/>
    <m/>
  </r>
  <r>
    <x v="434"/>
    <x v="10"/>
    <x v="5"/>
    <m/>
    <x v="7"/>
    <x v="263"/>
    <x v="12"/>
    <x v="5"/>
    <x v="1"/>
    <n v="607"/>
  </r>
  <r>
    <x v="434"/>
    <x v="10"/>
    <x v="5"/>
    <n v="134"/>
    <x v="29"/>
    <x v="148"/>
    <x v="2"/>
    <x v="5"/>
    <x v="1"/>
    <n v="607"/>
  </r>
  <r>
    <x v="435"/>
    <x v="21"/>
    <x v="4"/>
    <m/>
    <x v="33"/>
    <x v="193"/>
    <x v="12"/>
    <x v="6"/>
    <x v="9"/>
    <m/>
  </r>
  <r>
    <x v="436"/>
    <x v="1"/>
    <x v="17"/>
    <n v="6"/>
    <x v="20"/>
    <x v="264"/>
    <x v="18"/>
    <x v="11"/>
    <x v="1"/>
    <n v="3"/>
  </r>
  <r>
    <x v="437"/>
    <x v="35"/>
    <x v="12"/>
    <n v="30"/>
    <x v="26"/>
    <x v="86"/>
    <x v="0"/>
    <x v="3"/>
    <x v="17"/>
    <n v="103"/>
  </r>
  <r>
    <x v="438"/>
    <x v="14"/>
    <x v="13"/>
    <m/>
    <x v="0"/>
    <x v="261"/>
    <x v="4"/>
    <x v="13"/>
    <x v="1"/>
    <n v="1000"/>
  </r>
  <r>
    <x v="438"/>
    <x v="14"/>
    <x v="13"/>
    <m/>
    <x v="49"/>
    <x v="265"/>
    <x v="4"/>
    <x v="13"/>
    <x v="1"/>
    <n v="1000"/>
  </r>
  <r>
    <x v="438"/>
    <x v="14"/>
    <x v="13"/>
    <n v="70"/>
    <x v="11"/>
    <x v="266"/>
    <x v="17"/>
    <x v="13"/>
    <x v="1"/>
    <n v="1000"/>
  </r>
  <r>
    <x v="438"/>
    <x v="14"/>
    <x v="13"/>
    <n v="200"/>
    <x v="0"/>
    <x v="129"/>
    <x v="14"/>
    <x v="1"/>
    <x v="1"/>
    <n v="430"/>
  </r>
  <r>
    <x v="439"/>
    <x v="1"/>
    <x v="13"/>
    <n v="15"/>
    <x v="0"/>
    <x v="110"/>
    <x v="5"/>
    <x v="1"/>
    <x v="1"/>
    <n v="190"/>
  </r>
  <r>
    <x v="440"/>
    <x v="1"/>
    <x v="18"/>
    <m/>
    <x v="10"/>
    <x v="37"/>
    <x v="10"/>
    <x v="4"/>
    <x v="1"/>
    <n v="63"/>
  </r>
  <r>
    <x v="441"/>
    <x v="96"/>
    <x v="18"/>
    <m/>
    <x v="0"/>
    <x v="267"/>
    <x v="10"/>
    <x v="7"/>
    <x v="1"/>
    <n v="100"/>
  </r>
  <r>
    <x v="442"/>
    <x v="1"/>
    <x v="1"/>
    <m/>
    <x v="0"/>
    <x v="20"/>
    <x v="7"/>
    <x v="3"/>
    <x v="1"/>
    <n v="90"/>
  </r>
  <r>
    <x v="443"/>
    <x v="43"/>
    <x v="3"/>
    <n v="50"/>
    <x v="12"/>
    <x v="153"/>
    <x v="17"/>
    <x v="6"/>
    <x v="18"/>
    <m/>
  </r>
  <r>
    <x v="444"/>
    <x v="60"/>
    <x v="4"/>
    <n v="100"/>
    <x v="1"/>
    <x v="3"/>
    <x v="3"/>
    <x v="1"/>
    <x v="6"/>
    <n v="390"/>
  </r>
  <r>
    <x v="445"/>
    <x v="1"/>
    <x v="1"/>
    <m/>
    <x v="0"/>
    <x v="3"/>
    <x v="3"/>
    <x v="2"/>
    <x v="1"/>
    <n v="18"/>
  </r>
  <r>
    <x v="446"/>
    <x v="4"/>
    <x v="22"/>
    <m/>
    <x v="10"/>
    <x v="232"/>
    <x v="6"/>
    <x v="5"/>
    <x v="1"/>
    <n v="259"/>
  </r>
  <r>
    <x v="447"/>
    <x v="9"/>
    <x v="13"/>
    <m/>
    <x v="0"/>
    <x v="268"/>
    <x v="29"/>
    <x v="3"/>
    <x v="1"/>
    <n v="78"/>
  </r>
  <r>
    <x v="448"/>
    <x v="14"/>
    <x v="1"/>
    <n v="55"/>
    <x v="1"/>
    <x v="53"/>
    <x v="3"/>
    <x v="0"/>
    <x v="1"/>
    <m/>
  </r>
  <r>
    <x v="449"/>
    <x v="1"/>
    <x v="6"/>
    <m/>
    <x v="6"/>
    <x v="118"/>
    <x v="6"/>
    <x v="5"/>
    <x v="1"/>
    <n v="411"/>
  </r>
  <r>
    <x v="450"/>
    <x v="80"/>
    <x v="9"/>
    <m/>
    <x v="0"/>
    <x v="229"/>
    <x v="4"/>
    <x v="5"/>
    <x v="6"/>
    <n v="194"/>
  </r>
  <r>
    <x v="450"/>
    <x v="97"/>
    <x v="9"/>
    <m/>
    <x v="13"/>
    <x v="139"/>
    <x v="3"/>
    <x v="1"/>
    <x v="6"/>
    <n v="254"/>
  </r>
  <r>
    <x v="451"/>
    <x v="1"/>
    <x v="4"/>
    <n v="669"/>
    <x v="20"/>
    <x v="134"/>
    <x v="10"/>
    <x v="4"/>
    <x v="1"/>
    <n v="80"/>
  </r>
  <r>
    <x v="452"/>
    <x v="43"/>
    <x v="9"/>
    <n v="350"/>
    <x v="2"/>
    <x v="128"/>
    <x v="12"/>
    <x v="0"/>
    <x v="18"/>
    <n v="1700"/>
  </r>
  <r>
    <x v="452"/>
    <x v="43"/>
    <x v="9"/>
    <n v="367"/>
    <x v="6"/>
    <x v="84"/>
    <x v="5"/>
    <x v="13"/>
    <x v="18"/>
    <n v="1500"/>
  </r>
  <r>
    <x v="453"/>
    <x v="54"/>
    <x v="9"/>
    <n v="120"/>
    <x v="20"/>
    <x v="83"/>
    <x v="2"/>
    <x v="0"/>
    <x v="4"/>
    <n v="1700"/>
  </r>
  <r>
    <x v="454"/>
    <x v="16"/>
    <x v="9"/>
    <n v="100"/>
    <x v="0"/>
    <x v="35"/>
    <x v="2"/>
    <x v="0"/>
    <x v="7"/>
    <n v="8300"/>
  </r>
  <r>
    <x v="454"/>
    <x v="16"/>
    <x v="9"/>
    <n v="156"/>
    <x v="30"/>
    <x v="96"/>
    <x v="3"/>
    <x v="0"/>
    <x v="7"/>
    <n v="9900"/>
  </r>
  <r>
    <x v="454"/>
    <x v="16"/>
    <x v="9"/>
    <n v="300"/>
    <x v="0"/>
    <x v="269"/>
    <x v="21"/>
    <x v="0"/>
    <x v="7"/>
    <n v="8300"/>
  </r>
  <r>
    <x v="455"/>
    <x v="29"/>
    <x v="26"/>
    <n v="6650"/>
    <x v="13"/>
    <x v="193"/>
    <x v="12"/>
    <x v="0"/>
    <x v="1"/>
    <m/>
  </r>
  <r>
    <x v="456"/>
    <x v="1"/>
    <x v="8"/>
    <n v="27"/>
    <x v="16"/>
    <x v="270"/>
    <x v="7"/>
    <x v="12"/>
    <x v="1"/>
    <n v="143"/>
  </r>
  <r>
    <x v="457"/>
    <x v="7"/>
    <x v="19"/>
    <n v="60"/>
    <x v="8"/>
    <x v="204"/>
    <x v="10"/>
    <x v="3"/>
    <x v="4"/>
    <n v="106"/>
  </r>
  <r>
    <x v="458"/>
    <x v="98"/>
    <x v="13"/>
    <n v="12"/>
    <x v="14"/>
    <x v="226"/>
    <x v="18"/>
    <x v="3"/>
    <x v="1"/>
    <n v="58"/>
  </r>
  <r>
    <x v="459"/>
    <x v="14"/>
    <x v="20"/>
    <m/>
    <x v="0"/>
    <x v="97"/>
    <x v="12"/>
    <x v="0"/>
    <x v="1"/>
    <n v="811"/>
  </r>
  <r>
    <x v="459"/>
    <x v="14"/>
    <x v="20"/>
    <m/>
    <x v="0"/>
    <x v="84"/>
    <x v="5"/>
    <x v="1"/>
    <x v="1"/>
    <n v="436"/>
  </r>
  <r>
    <x v="459"/>
    <x v="14"/>
    <x v="20"/>
    <m/>
    <x v="5"/>
    <x v="115"/>
    <x v="6"/>
    <x v="0"/>
    <x v="1"/>
    <n v="811"/>
  </r>
  <r>
    <x v="460"/>
    <x v="14"/>
    <x v="22"/>
    <m/>
    <x v="6"/>
    <x v="271"/>
    <x v="2"/>
    <x v="8"/>
    <x v="1"/>
    <n v="481"/>
  </r>
  <r>
    <x v="461"/>
    <x v="99"/>
    <x v="2"/>
    <n v="5"/>
    <x v="23"/>
    <x v="30"/>
    <x v="14"/>
    <x v="3"/>
    <x v="1"/>
    <n v="26"/>
  </r>
  <r>
    <x v="462"/>
    <x v="13"/>
    <x v="20"/>
    <m/>
    <x v="0"/>
    <x v="223"/>
    <x v="12"/>
    <x v="0"/>
    <x v="1"/>
    <n v="105"/>
  </r>
  <r>
    <x v="463"/>
    <x v="100"/>
    <x v="5"/>
    <n v="10"/>
    <x v="35"/>
    <x v="148"/>
    <x v="2"/>
    <x v="6"/>
    <x v="1"/>
    <m/>
  </r>
  <r>
    <x v="464"/>
    <x v="40"/>
    <x v="5"/>
    <m/>
    <x v="20"/>
    <x v="61"/>
    <x v="0"/>
    <x v="6"/>
    <x v="4"/>
    <m/>
  </r>
  <r>
    <x v="465"/>
    <x v="4"/>
    <x v="18"/>
    <n v="200"/>
    <x v="33"/>
    <x v="136"/>
    <x v="12"/>
    <x v="0"/>
    <x v="1"/>
    <n v="491"/>
  </r>
  <r>
    <x v="466"/>
    <x v="29"/>
    <x v="30"/>
    <n v="75"/>
    <x v="0"/>
    <x v="129"/>
    <x v="14"/>
    <x v="1"/>
    <x v="1"/>
    <n v="133"/>
  </r>
  <r>
    <x v="467"/>
    <x v="14"/>
    <x v="20"/>
    <m/>
    <x v="28"/>
    <x v="147"/>
    <x v="5"/>
    <x v="2"/>
    <x v="1"/>
    <n v="18"/>
  </r>
  <r>
    <x v="468"/>
    <x v="3"/>
    <x v="0"/>
    <n v="57"/>
    <x v="32"/>
    <x v="28"/>
    <x v="5"/>
    <x v="3"/>
    <x v="1"/>
    <n v="88"/>
  </r>
  <r>
    <x v="469"/>
    <x v="18"/>
    <x v="12"/>
    <m/>
    <x v="0"/>
    <x v="272"/>
    <x v="10"/>
    <x v="4"/>
    <x v="1"/>
    <n v="252"/>
  </r>
  <r>
    <x v="470"/>
    <x v="1"/>
    <x v="23"/>
    <m/>
    <x v="0"/>
    <x v="136"/>
    <x v="12"/>
    <x v="3"/>
    <x v="1"/>
    <n v="180"/>
  </r>
  <r>
    <x v="470"/>
    <x v="1"/>
    <x v="23"/>
    <m/>
    <x v="4"/>
    <x v="235"/>
    <x v="14"/>
    <x v="3"/>
    <x v="1"/>
    <n v="180"/>
  </r>
  <r>
    <x v="470"/>
    <x v="1"/>
    <x v="23"/>
    <n v="40"/>
    <x v="5"/>
    <x v="273"/>
    <x v="7"/>
    <x v="3"/>
    <x v="1"/>
    <n v="180"/>
  </r>
  <r>
    <x v="471"/>
    <x v="101"/>
    <x v="1"/>
    <n v="62"/>
    <x v="0"/>
    <x v="274"/>
    <x v="17"/>
    <x v="7"/>
    <x v="1"/>
    <n v="0"/>
  </r>
  <r>
    <x v="472"/>
    <x v="1"/>
    <x v="3"/>
    <m/>
    <x v="0"/>
    <x v="275"/>
    <x v="24"/>
    <x v="6"/>
    <x v="1"/>
    <n v="105"/>
  </r>
  <r>
    <x v="472"/>
    <x v="67"/>
    <x v="3"/>
    <m/>
    <x v="0"/>
    <x v="276"/>
    <x v="30"/>
    <x v="6"/>
    <x v="23"/>
    <n v="105"/>
  </r>
  <r>
    <x v="473"/>
    <x v="5"/>
    <x v="12"/>
    <n v="190"/>
    <x v="5"/>
    <x v="238"/>
    <x v="2"/>
    <x v="10"/>
    <x v="3"/>
    <n v="280"/>
  </r>
  <r>
    <x v="474"/>
    <x v="43"/>
    <x v="1"/>
    <n v="8"/>
    <x v="43"/>
    <x v="277"/>
    <x v="30"/>
    <x v="11"/>
    <x v="18"/>
    <n v="16"/>
  </r>
  <r>
    <x v="475"/>
    <x v="1"/>
    <x v="8"/>
    <n v="671"/>
    <x v="2"/>
    <x v="278"/>
    <x v="7"/>
    <x v="0"/>
    <x v="1"/>
    <n v="536"/>
  </r>
  <r>
    <x v="475"/>
    <x v="1"/>
    <x v="8"/>
    <n v="680"/>
    <x v="10"/>
    <x v="251"/>
    <x v="12"/>
    <x v="0"/>
    <x v="1"/>
    <n v="536"/>
  </r>
  <r>
    <x v="476"/>
    <x v="1"/>
    <x v="12"/>
    <n v="250"/>
    <x v="35"/>
    <x v="6"/>
    <x v="4"/>
    <x v="0"/>
    <x v="1"/>
    <n v="679"/>
  </r>
  <r>
    <x v="476"/>
    <x v="1"/>
    <x v="12"/>
    <n v="310"/>
    <x v="6"/>
    <x v="210"/>
    <x v="17"/>
    <x v="0"/>
    <x v="1"/>
    <n v="679"/>
  </r>
  <r>
    <x v="476"/>
    <x v="1"/>
    <x v="12"/>
    <n v="515"/>
    <x v="24"/>
    <x v="32"/>
    <x v="0"/>
    <x v="0"/>
    <x v="1"/>
    <n v="679"/>
  </r>
  <r>
    <x v="477"/>
    <x v="1"/>
    <x v="6"/>
    <n v="150"/>
    <x v="19"/>
    <x v="279"/>
    <x v="15"/>
    <x v="5"/>
    <x v="1"/>
    <n v="130"/>
  </r>
  <r>
    <x v="478"/>
    <x v="1"/>
    <x v="13"/>
    <m/>
    <x v="9"/>
    <x v="238"/>
    <x v="2"/>
    <x v="8"/>
    <x v="1"/>
    <n v="223"/>
  </r>
  <r>
    <x v="479"/>
    <x v="4"/>
    <x v="23"/>
    <m/>
    <x v="31"/>
    <x v="280"/>
    <x v="20"/>
    <x v="3"/>
    <x v="1"/>
    <n v="116"/>
  </r>
  <r>
    <x v="479"/>
    <x v="4"/>
    <x v="14"/>
    <m/>
    <x v="8"/>
    <x v="30"/>
    <x v="14"/>
    <x v="3"/>
    <x v="1"/>
    <n v="116"/>
  </r>
  <r>
    <x v="480"/>
    <x v="18"/>
    <x v="13"/>
    <n v="90"/>
    <x v="10"/>
    <x v="225"/>
    <x v="5"/>
    <x v="0"/>
    <x v="1"/>
    <n v="689"/>
  </r>
  <r>
    <x v="481"/>
    <x v="10"/>
    <x v="8"/>
    <n v="12"/>
    <x v="0"/>
    <x v="19"/>
    <x v="4"/>
    <x v="3"/>
    <x v="0"/>
    <n v="102"/>
  </r>
  <r>
    <x v="482"/>
    <x v="1"/>
    <x v="9"/>
    <n v="1250"/>
    <x v="1"/>
    <x v="281"/>
    <x v="2"/>
    <x v="0"/>
    <x v="1"/>
    <n v="2500"/>
  </r>
  <r>
    <x v="483"/>
    <x v="43"/>
    <x v="17"/>
    <n v="10"/>
    <x v="20"/>
    <x v="272"/>
    <x v="10"/>
    <x v="6"/>
    <x v="18"/>
    <m/>
  </r>
  <r>
    <x v="484"/>
    <x v="1"/>
    <x v="21"/>
    <n v="23"/>
    <x v="8"/>
    <x v="282"/>
    <x v="1"/>
    <x v="2"/>
    <x v="1"/>
    <n v="22"/>
  </r>
  <r>
    <x v="485"/>
    <x v="14"/>
    <x v="3"/>
    <n v="140"/>
    <x v="30"/>
    <x v="26"/>
    <x v="12"/>
    <x v="0"/>
    <x v="1"/>
    <n v="719"/>
  </r>
  <r>
    <x v="486"/>
    <x v="9"/>
    <x v="6"/>
    <m/>
    <x v="0"/>
    <x v="68"/>
    <x v="7"/>
    <x v="7"/>
    <x v="1"/>
    <n v="175"/>
  </r>
  <r>
    <x v="487"/>
    <x v="14"/>
    <x v="2"/>
    <n v="59"/>
    <x v="0"/>
    <x v="193"/>
    <x v="12"/>
    <x v="7"/>
    <x v="1"/>
    <n v="107"/>
  </r>
  <r>
    <x v="488"/>
    <x v="18"/>
    <x v="2"/>
    <n v="20"/>
    <x v="0"/>
    <x v="194"/>
    <x v="14"/>
    <x v="7"/>
    <x v="1"/>
    <n v="0"/>
  </r>
  <r>
    <x v="489"/>
    <x v="102"/>
    <x v="12"/>
    <m/>
    <x v="7"/>
    <x v="248"/>
    <x v="3"/>
    <x v="5"/>
    <x v="1"/>
    <n v="550"/>
  </r>
  <r>
    <x v="490"/>
    <x v="0"/>
    <x v="2"/>
    <n v="24"/>
    <x v="0"/>
    <x v="93"/>
    <x v="2"/>
    <x v="3"/>
    <x v="0"/>
    <n v="56"/>
  </r>
  <r>
    <x v="491"/>
    <x v="1"/>
    <x v="20"/>
    <n v="315"/>
    <x v="6"/>
    <x v="283"/>
    <x v="19"/>
    <x v="0"/>
    <x v="1"/>
    <n v="1700"/>
  </r>
  <r>
    <x v="492"/>
    <x v="18"/>
    <x v="4"/>
    <n v="12"/>
    <x v="0"/>
    <x v="57"/>
    <x v="5"/>
    <x v="2"/>
    <x v="1"/>
    <n v="4"/>
  </r>
  <r>
    <x v="493"/>
    <x v="103"/>
    <x v="20"/>
    <m/>
    <x v="7"/>
    <x v="54"/>
    <x v="5"/>
    <x v="7"/>
    <x v="1"/>
    <n v="100"/>
  </r>
  <r>
    <x v="494"/>
    <x v="60"/>
    <x v="4"/>
    <n v="23"/>
    <x v="0"/>
    <x v="284"/>
    <x v="8"/>
    <x v="2"/>
    <x v="6"/>
    <n v="17"/>
  </r>
  <r>
    <x v="495"/>
    <x v="60"/>
    <x v="9"/>
    <m/>
    <x v="16"/>
    <x v="234"/>
    <x v="3"/>
    <x v="6"/>
    <x v="6"/>
    <n v="382"/>
  </r>
  <r>
    <x v="496"/>
    <x v="104"/>
    <x v="20"/>
    <n v="50"/>
    <x v="11"/>
    <x v="232"/>
    <x v="6"/>
    <x v="5"/>
    <x v="1"/>
    <n v="603"/>
  </r>
  <r>
    <x v="497"/>
    <x v="60"/>
    <x v="6"/>
    <m/>
    <x v="20"/>
    <x v="285"/>
    <x v="12"/>
    <x v="6"/>
    <x v="6"/>
    <m/>
  </r>
  <r>
    <x v="498"/>
    <x v="1"/>
    <x v="19"/>
    <n v="35"/>
    <x v="19"/>
    <x v="7"/>
    <x v="5"/>
    <x v="1"/>
    <x v="1"/>
    <n v="114"/>
  </r>
  <r>
    <x v="499"/>
    <x v="1"/>
    <x v="12"/>
    <n v="50"/>
    <x v="7"/>
    <x v="22"/>
    <x v="5"/>
    <x v="4"/>
    <x v="1"/>
    <n v="190"/>
  </r>
  <r>
    <x v="500"/>
    <x v="75"/>
    <x v="0"/>
    <m/>
    <x v="20"/>
    <x v="198"/>
    <x v="3"/>
    <x v="6"/>
    <x v="1"/>
    <n v="2"/>
  </r>
  <r>
    <x v="501"/>
    <x v="18"/>
    <x v="15"/>
    <n v="75"/>
    <x v="0"/>
    <x v="286"/>
    <x v="14"/>
    <x v="2"/>
    <x v="1"/>
    <n v="12"/>
  </r>
  <r>
    <x v="501"/>
    <x v="1"/>
    <x v="15"/>
    <n v="50"/>
    <x v="9"/>
    <x v="231"/>
    <x v="5"/>
    <x v="2"/>
    <x v="1"/>
    <n v="12"/>
  </r>
  <r>
    <x v="502"/>
    <x v="1"/>
    <x v="9"/>
    <n v="40"/>
    <x v="0"/>
    <x v="287"/>
    <x v="12"/>
    <x v="6"/>
    <x v="1"/>
    <n v="465"/>
  </r>
  <r>
    <x v="503"/>
    <x v="21"/>
    <x v="9"/>
    <n v="20"/>
    <x v="20"/>
    <x v="288"/>
    <x v="30"/>
    <x v="11"/>
    <x v="9"/>
    <n v="1"/>
  </r>
  <r>
    <x v="504"/>
    <x v="1"/>
    <x v="3"/>
    <n v="25"/>
    <x v="0"/>
    <x v="8"/>
    <x v="6"/>
    <x v="5"/>
    <x v="1"/>
    <n v="202"/>
  </r>
  <r>
    <x v="505"/>
    <x v="55"/>
    <x v="12"/>
    <n v="62"/>
    <x v="4"/>
    <x v="289"/>
    <x v="10"/>
    <x v="6"/>
    <x v="3"/>
    <n v="30"/>
  </r>
  <r>
    <x v="505"/>
    <x v="55"/>
    <x v="12"/>
    <n v="340"/>
    <x v="7"/>
    <x v="246"/>
    <x v="6"/>
    <x v="3"/>
    <x v="3"/>
    <n v="460"/>
  </r>
  <r>
    <x v="506"/>
    <x v="1"/>
    <x v="4"/>
    <n v="500"/>
    <x v="30"/>
    <x v="290"/>
    <x v="12"/>
    <x v="0"/>
    <x v="1"/>
    <n v="1200"/>
  </r>
  <r>
    <x v="507"/>
    <x v="0"/>
    <x v="7"/>
    <n v="47"/>
    <x v="10"/>
    <x v="123"/>
    <x v="14"/>
    <x v="4"/>
    <x v="0"/>
    <n v="149"/>
  </r>
  <r>
    <x v="508"/>
    <x v="4"/>
    <x v="23"/>
    <n v="40"/>
    <x v="24"/>
    <x v="185"/>
    <x v="5"/>
    <x v="3"/>
    <x v="1"/>
    <n v="40"/>
  </r>
  <r>
    <x v="509"/>
    <x v="48"/>
    <x v="18"/>
    <n v="95"/>
    <x v="10"/>
    <x v="291"/>
    <x v="0"/>
    <x v="0"/>
    <x v="1"/>
    <n v="462"/>
  </r>
  <r>
    <x v="510"/>
    <x v="9"/>
    <x v="1"/>
    <n v="30"/>
    <x v="0"/>
    <x v="117"/>
    <x v="3"/>
    <x v="6"/>
    <x v="1"/>
    <n v="1"/>
  </r>
  <r>
    <x v="511"/>
    <x v="14"/>
    <x v="1"/>
    <m/>
    <x v="7"/>
    <x v="215"/>
    <x v="3"/>
    <x v="0"/>
    <x v="1"/>
    <n v="656"/>
  </r>
  <r>
    <x v="512"/>
    <x v="1"/>
    <x v="6"/>
    <m/>
    <x v="20"/>
    <x v="55"/>
    <x v="4"/>
    <x v="7"/>
    <x v="1"/>
    <n v="77"/>
  </r>
  <r>
    <x v="513"/>
    <x v="41"/>
    <x v="28"/>
    <n v="100"/>
    <x v="9"/>
    <x v="7"/>
    <x v="5"/>
    <x v="5"/>
    <x v="7"/>
    <n v="109"/>
  </r>
  <r>
    <x v="514"/>
    <x v="4"/>
    <x v="4"/>
    <m/>
    <x v="7"/>
    <x v="194"/>
    <x v="14"/>
    <x v="4"/>
    <x v="1"/>
    <n v="70"/>
  </r>
  <r>
    <x v="515"/>
    <x v="1"/>
    <x v="21"/>
    <n v="84"/>
    <x v="20"/>
    <x v="79"/>
    <x v="14"/>
    <x v="6"/>
    <x v="1"/>
    <m/>
  </r>
  <r>
    <x v="516"/>
    <x v="1"/>
    <x v="13"/>
    <m/>
    <x v="35"/>
    <x v="281"/>
    <x v="2"/>
    <x v="0"/>
    <x v="1"/>
    <n v="162"/>
  </r>
  <r>
    <x v="517"/>
    <x v="4"/>
    <x v="20"/>
    <n v="81"/>
    <x v="0"/>
    <x v="292"/>
    <x v="4"/>
    <x v="5"/>
    <x v="1"/>
    <n v="212"/>
  </r>
  <r>
    <x v="517"/>
    <x v="4"/>
    <x v="20"/>
    <n v="141"/>
    <x v="9"/>
    <x v="212"/>
    <x v="12"/>
    <x v="5"/>
    <x v="1"/>
    <n v="212"/>
  </r>
  <r>
    <x v="518"/>
    <x v="105"/>
    <x v="3"/>
    <n v="200"/>
    <x v="0"/>
    <x v="285"/>
    <x v="12"/>
    <x v="0"/>
    <x v="1"/>
    <n v="2"/>
  </r>
  <r>
    <x v="519"/>
    <x v="43"/>
    <x v="20"/>
    <m/>
    <x v="6"/>
    <x v="293"/>
    <x v="0"/>
    <x v="3"/>
    <x v="18"/>
    <n v="96"/>
  </r>
  <r>
    <x v="520"/>
    <x v="28"/>
    <x v="20"/>
    <n v="62"/>
    <x v="6"/>
    <x v="204"/>
    <x v="10"/>
    <x v="3"/>
    <x v="0"/>
    <n v="257"/>
  </r>
  <r>
    <x v="521"/>
    <x v="1"/>
    <x v="13"/>
    <n v="10"/>
    <x v="0"/>
    <x v="235"/>
    <x v="14"/>
    <x v="2"/>
    <x v="1"/>
    <n v="22"/>
  </r>
  <r>
    <x v="522"/>
    <x v="35"/>
    <x v="11"/>
    <n v="60"/>
    <x v="6"/>
    <x v="45"/>
    <x v="6"/>
    <x v="6"/>
    <x v="17"/>
    <n v="65"/>
  </r>
  <r>
    <x v="523"/>
    <x v="1"/>
    <x v="1"/>
    <m/>
    <x v="0"/>
    <x v="86"/>
    <x v="0"/>
    <x v="3"/>
    <x v="1"/>
    <n v="323"/>
  </r>
  <r>
    <x v="523"/>
    <x v="1"/>
    <x v="1"/>
    <m/>
    <x v="0"/>
    <x v="294"/>
    <x v="1"/>
    <x v="3"/>
    <x v="1"/>
    <n v="323"/>
  </r>
  <r>
    <x v="524"/>
    <x v="16"/>
    <x v="12"/>
    <n v="43"/>
    <x v="37"/>
    <x v="295"/>
    <x v="8"/>
    <x v="6"/>
    <x v="7"/>
    <n v="30"/>
  </r>
  <r>
    <x v="525"/>
    <x v="43"/>
    <x v="5"/>
    <m/>
    <x v="8"/>
    <x v="225"/>
    <x v="5"/>
    <x v="3"/>
    <x v="18"/>
    <n v="40"/>
  </r>
  <r>
    <x v="526"/>
    <x v="14"/>
    <x v="1"/>
    <n v="41"/>
    <x v="0"/>
    <x v="209"/>
    <x v="3"/>
    <x v="3"/>
    <x v="1"/>
    <n v="94"/>
  </r>
  <r>
    <x v="527"/>
    <x v="1"/>
    <x v="0"/>
    <n v="230"/>
    <x v="22"/>
    <x v="21"/>
    <x v="9"/>
    <x v="0"/>
    <x v="1"/>
    <n v="317"/>
  </r>
  <r>
    <x v="528"/>
    <x v="1"/>
    <x v="12"/>
    <n v="30"/>
    <x v="5"/>
    <x v="196"/>
    <x v="8"/>
    <x v="4"/>
    <x v="1"/>
    <n v="142"/>
  </r>
  <r>
    <x v="529"/>
    <x v="43"/>
    <x v="7"/>
    <m/>
    <x v="0"/>
    <x v="177"/>
    <x v="8"/>
    <x v="2"/>
    <x v="18"/>
    <n v="16"/>
  </r>
  <r>
    <x v="530"/>
    <x v="3"/>
    <x v="2"/>
    <n v="30"/>
    <x v="26"/>
    <x v="34"/>
    <x v="1"/>
    <x v="3"/>
    <x v="1"/>
    <n v="78"/>
  </r>
  <r>
    <x v="531"/>
    <x v="4"/>
    <x v="2"/>
    <n v="100"/>
    <x v="20"/>
    <x v="212"/>
    <x v="12"/>
    <x v="6"/>
    <x v="1"/>
    <m/>
  </r>
  <r>
    <x v="532"/>
    <x v="106"/>
    <x v="4"/>
    <m/>
    <x v="20"/>
    <x v="296"/>
    <x v="18"/>
    <x v="6"/>
    <x v="1"/>
    <n v="4"/>
  </r>
  <r>
    <x v="533"/>
    <x v="5"/>
    <x v="4"/>
    <n v="31"/>
    <x v="10"/>
    <x v="117"/>
    <x v="3"/>
    <x v="6"/>
    <x v="3"/>
    <n v="14"/>
  </r>
  <r>
    <x v="534"/>
    <x v="1"/>
    <x v="4"/>
    <n v="400"/>
    <x v="26"/>
    <x v="18"/>
    <x v="6"/>
    <x v="0"/>
    <x v="1"/>
    <n v="310"/>
  </r>
  <r>
    <x v="535"/>
    <x v="54"/>
    <x v="2"/>
    <n v="100"/>
    <x v="0"/>
    <x v="201"/>
    <x v="6"/>
    <x v="6"/>
    <x v="4"/>
    <m/>
  </r>
  <r>
    <x v="536"/>
    <x v="1"/>
    <x v="19"/>
    <n v="58"/>
    <x v="8"/>
    <x v="110"/>
    <x v="5"/>
    <x v="3"/>
    <x v="1"/>
    <n v="59"/>
  </r>
  <r>
    <x v="537"/>
    <x v="1"/>
    <x v="12"/>
    <n v="24"/>
    <x v="9"/>
    <x v="36"/>
    <x v="12"/>
    <x v="3"/>
    <x v="1"/>
    <n v="85"/>
  </r>
  <r>
    <x v="537"/>
    <x v="1"/>
    <x v="12"/>
    <n v="25"/>
    <x v="7"/>
    <x v="284"/>
    <x v="8"/>
    <x v="3"/>
    <x v="1"/>
    <n v="85"/>
  </r>
  <r>
    <x v="538"/>
    <x v="4"/>
    <x v="12"/>
    <n v="30"/>
    <x v="27"/>
    <x v="284"/>
    <x v="8"/>
    <x v="3"/>
    <x v="1"/>
    <n v="11"/>
  </r>
  <r>
    <x v="539"/>
    <x v="11"/>
    <x v="20"/>
    <n v="8500"/>
    <x v="4"/>
    <x v="287"/>
    <x v="12"/>
    <x v="0"/>
    <x v="5"/>
    <n v="663"/>
  </r>
  <r>
    <x v="540"/>
    <x v="1"/>
    <x v="22"/>
    <n v="30"/>
    <x v="3"/>
    <x v="169"/>
    <x v="3"/>
    <x v="3"/>
    <x v="1"/>
    <n v="97"/>
  </r>
  <r>
    <x v="541"/>
    <x v="12"/>
    <x v="6"/>
    <n v="40"/>
    <x v="0"/>
    <x v="297"/>
    <x v="6"/>
    <x v="1"/>
    <x v="6"/>
    <n v="1200"/>
  </r>
  <r>
    <x v="542"/>
    <x v="14"/>
    <x v="6"/>
    <m/>
    <x v="0"/>
    <x v="201"/>
    <x v="6"/>
    <x v="6"/>
    <x v="1"/>
    <n v="37"/>
  </r>
  <r>
    <x v="543"/>
    <x v="9"/>
    <x v="20"/>
    <m/>
    <x v="5"/>
    <x v="109"/>
    <x v="6"/>
    <x v="2"/>
    <x v="1"/>
    <n v="10"/>
  </r>
  <r>
    <x v="543"/>
    <x v="9"/>
    <x v="20"/>
    <m/>
    <x v="17"/>
    <x v="5"/>
    <x v="3"/>
    <x v="2"/>
    <x v="1"/>
    <n v="10"/>
  </r>
  <r>
    <x v="544"/>
    <x v="76"/>
    <x v="20"/>
    <n v="40"/>
    <x v="0"/>
    <x v="281"/>
    <x v="2"/>
    <x v="6"/>
    <x v="30"/>
    <m/>
  </r>
  <r>
    <x v="545"/>
    <x v="1"/>
    <x v="12"/>
    <n v="18"/>
    <x v="23"/>
    <x v="298"/>
    <x v="18"/>
    <x v="4"/>
    <x v="1"/>
    <n v="106"/>
  </r>
  <r>
    <x v="545"/>
    <x v="1"/>
    <x v="12"/>
    <n v="40"/>
    <x v="5"/>
    <x v="131"/>
    <x v="6"/>
    <x v="5"/>
    <x v="1"/>
    <n v="406"/>
  </r>
  <r>
    <x v="545"/>
    <x v="1"/>
    <x v="12"/>
    <n v="50"/>
    <x v="0"/>
    <x v="162"/>
    <x v="12"/>
    <x v="5"/>
    <x v="1"/>
    <n v="406"/>
  </r>
  <r>
    <x v="546"/>
    <x v="35"/>
    <x v="12"/>
    <n v="100"/>
    <x v="1"/>
    <x v="158"/>
    <x v="1"/>
    <x v="6"/>
    <x v="17"/>
    <n v="322"/>
  </r>
  <r>
    <x v="547"/>
    <x v="7"/>
    <x v="1"/>
    <n v="50"/>
    <x v="7"/>
    <x v="90"/>
    <x v="1"/>
    <x v="4"/>
    <x v="1"/>
    <n v="69"/>
  </r>
  <r>
    <x v="548"/>
    <x v="1"/>
    <x v="3"/>
    <n v="80"/>
    <x v="4"/>
    <x v="285"/>
    <x v="12"/>
    <x v="0"/>
    <x v="1"/>
    <n v="557"/>
  </r>
  <r>
    <x v="548"/>
    <x v="1"/>
    <x v="3"/>
    <n v="500"/>
    <x v="44"/>
    <x v="185"/>
    <x v="5"/>
    <x v="0"/>
    <x v="1"/>
    <n v="332"/>
  </r>
  <r>
    <x v="549"/>
    <x v="14"/>
    <x v="20"/>
    <n v="200"/>
    <x v="0"/>
    <x v="101"/>
    <x v="2"/>
    <x v="0"/>
    <x v="1"/>
    <n v="476"/>
  </r>
  <r>
    <x v="550"/>
    <x v="1"/>
    <x v="4"/>
    <n v="30"/>
    <x v="3"/>
    <x v="107"/>
    <x v="3"/>
    <x v="6"/>
    <x v="1"/>
    <n v="176"/>
  </r>
  <r>
    <x v="550"/>
    <x v="1"/>
    <x v="4"/>
    <n v="227"/>
    <x v="0"/>
    <x v="129"/>
    <x v="14"/>
    <x v="6"/>
    <x v="1"/>
    <n v="18"/>
  </r>
  <r>
    <x v="551"/>
    <x v="1"/>
    <x v="3"/>
    <n v="129"/>
    <x v="0"/>
    <x v="223"/>
    <x v="12"/>
    <x v="7"/>
    <x v="1"/>
    <n v="290"/>
  </r>
  <r>
    <x v="552"/>
    <x v="3"/>
    <x v="0"/>
    <n v="40"/>
    <x v="0"/>
    <x v="263"/>
    <x v="12"/>
    <x v="0"/>
    <x v="1"/>
    <n v="400"/>
  </r>
  <r>
    <x v="553"/>
    <x v="107"/>
    <x v="5"/>
    <n v="59"/>
    <x v="29"/>
    <x v="130"/>
    <x v="2"/>
    <x v="6"/>
    <x v="1"/>
    <n v="60"/>
  </r>
  <r>
    <x v="554"/>
    <x v="60"/>
    <x v="10"/>
    <n v="142"/>
    <x v="6"/>
    <x v="71"/>
    <x v="3"/>
    <x v="5"/>
    <x v="6"/>
    <n v="87"/>
  </r>
  <r>
    <x v="555"/>
    <x v="7"/>
    <x v="21"/>
    <n v="7"/>
    <x v="0"/>
    <x v="135"/>
    <x v="4"/>
    <x v="4"/>
    <x v="4"/>
    <n v="26"/>
  </r>
  <r>
    <x v="556"/>
    <x v="13"/>
    <x v="30"/>
    <n v="24"/>
    <x v="16"/>
    <x v="26"/>
    <x v="12"/>
    <x v="10"/>
    <x v="1"/>
    <n v="100"/>
  </r>
  <r>
    <x v="557"/>
    <x v="9"/>
    <x v="22"/>
    <m/>
    <x v="0"/>
    <x v="299"/>
    <x v="8"/>
    <x v="4"/>
    <x v="1"/>
    <n v="61"/>
  </r>
  <r>
    <x v="557"/>
    <x v="9"/>
    <x v="22"/>
    <m/>
    <x v="0"/>
    <x v="48"/>
    <x v="5"/>
    <x v="4"/>
    <x v="1"/>
    <n v="61"/>
  </r>
  <r>
    <x v="558"/>
    <x v="14"/>
    <x v="9"/>
    <n v="400"/>
    <x v="50"/>
    <x v="98"/>
    <x v="5"/>
    <x v="5"/>
    <x v="1"/>
    <n v="319"/>
  </r>
  <r>
    <x v="559"/>
    <x v="9"/>
    <x v="22"/>
    <n v="100"/>
    <x v="18"/>
    <x v="295"/>
    <x v="8"/>
    <x v="0"/>
    <x v="1"/>
    <m/>
  </r>
  <r>
    <x v="560"/>
    <x v="74"/>
    <x v="14"/>
    <n v="80"/>
    <x v="7"/>
    <x v="161"/>
    <x v="14"/>
    <x v="3"/>
    <x v="6"/>
    <n v="48"/>
  </r>
  <r>
    <x v="561"/>
    <x v="4"/>
    <x v="15"/>
    <n v="120"/>
    <x v="24"/>
    <x v="4"/>
    <x v="1"/>
    <x v="4"/>
    <x v="1"/>
    <n v="336"/>
  </r>
  <r>
    <x v="562"/>
    <x v="5"/>
    <x v="4"/>
    <n v="260"/>
    <x v="8"/>
    <x v="300"/>
    <x v="15"/>
    <x v="5"/>
    <x v="3"/>
    <n v="502"/>
  </r>
  <r>
    <x v="563"/>
    <x v="1"/>
    <x v="4"/>
    <n v="84"/>
    <x v="11"/>
    <x v="301"/>
    <x v="8"/>
    <x v="13"/>
    <x v="1"/>
    <n v="1700"/>
  </r>
  <r>
    <x v="564"/>
    <x v="1"/>
    <x v="11"/>
    <m/>
    <x v="0"/>
    <x v="198"/>
    <x v="3"/>
    <x v="1"/>
    <x v="1"/>
    <n v="145"/>
  </r>
  <r>
    <x v="564"/>
    <x v="1"/>
    <x v="11"/>
    <m/>
    <x v="23"/>
    <x v="43"/>
    <x v="5"/>
    <x v="1"/>
    <x v="1"/>
    <n v="145"/>
  </r>
  <r>
    <x v="565"/>
    <x v="80"/>
    <x v="14"/>
    <n v="200"/>
    <x v="0"/>
    <x v="123"/>
    <x v="14"/>
    <x v="6"/>
    <x v="6"/>
    <m/>
  </r>
  <r>
    <x v="566"/>
    <x v="74"/>
    <x v="15"/>
    <n v="90"/>
    <x v="0"/>
    <x v="302"/>
    <x v="12"/>
    <x v="1"/>
    <x v="6"/>
    <n v="150"/>
  </r>
  <r>
    <x v="566"/>
    <x v="74"/>
    <x v="15"/>
    <n v="250"/>
    <x v="8"/>
    <x v="56"/>
    <x v="6"/>
    <x v="1"/>
    <x v="6"/>
    <n v="150"/>
  </r>
  <r>
    <x v="567"/>
    <x v="1"/>
    <x v="12"/>
    <m/>
    <x v="20"/>
    <x v="303"/>
    <x v="15"/>
    <x v="3"/>
    <x v="1"/>
    <n v="124"/>
  </r>
  <r>
    <x v="568"/>
    <x v="78"/>
    <x v="1"/>
    <n v="315"/>
    <x v="51"/>
    <x v="215"/>
    <x v="3"/>
    <x v="0"/>
    <x v="1"/>
    <n v="1200"/>
  </r>
  <r>
    <x v="569"/>
    <x v="5"/>
    <x v="9"/>
    <n v="170"/>
    <x v="0"/>
    <x v="201"/>
    <x v="6"/>
    <x v="2"/>
    <x v="3"/>
    <n v="31"/>
  </r>
  <r>
    <x v="570"/>
    <x v="14"/>
    <x v="1"/>
    <m/>
    <x v="20"/>
    <x v="72"/>
    <x v="2"/>
    <x v="3"/>
    <x v="1"/>
    <n v="81"/>
  </r>
  <r>
    <x v="571"/>
    <x v="4"/>
    <x v="4"/>
    <m/>
    <x v="0"/>
    <x v="131"/>
    <x v="6"/>
    <x v="6"/>
    <x v="1"/>
    <n v="76"/>
  </r>
  <r>
    <x v="572"/>
    <x v="108"/>
    <x v="12"/>
    <m/>
    <x v="0"/>
    <x v="3"/>
    <x v="3"/>
    <x v="6"/>
    <x v="38"/>
    <n v="273"/>
  </r>
  <r>
    <x v="573"/>
    <x v="42"/>
    <x v="9"/>
    <n v="100"/>
    <x v="20"/>
    <x v="33"/>
    <x v="8"/>
    <x v="3"/>
    <x v="1"/>
    <n v="35"/>
  </r>
  <r>
    <x v="574"/>
    <x v="18"/>
    <x v="30"/>
    <m/>
    <x v="0"/>
    <x v="32"/>
    <x v="0"/>
    <x v="5"/>
    <x v="1"/>
    <n v="226"/>
  </r>
  <r>
    <x v="575"/>
    <x v="35"/>
    <x v="12"/>
    <m/>
    <x v="0"/>
    <x v="205"/>
    <x v="3"/>
    <x v="6"/>
    <x v="17"/>
    <m/>
  </r>
  <r>
    <x v="576"/>
    <x v="7"/>
    <x v="4"/>
    <m/>
    <x v="6"/>
    <x v="302"/>
    <x v="12"/>
    <x v="6"/>
    <x v="4"/>
    <n v="30"/>
  </r>
  <r>
    <x v="577"/>
    <x v="49"/>
    <x v="22"/>
    <n v="16"/>
    <x v="7"/>
    <x v="190"/>
    <x v="6"/>
    <x v="3"/>
    <x v="1"/>
    <n v="49"/>
  </r>
  <r>
    <x v="578"/>
    <x v="109"/>
    <x v="12"/>
    <n v="14"/>
    <x v="10"/>
    <x v="18"/>
    <x v="6"/>
    <x v="2"/>
    <x v="7"/>
    <n v="22"/>
  </r>
  <r>
    <x v="579"/>
    <x v="39"/>
    <x v="9"/>
    <m/>
    <x v="20"/>
    <x v="304"/>
    <x v="12"/>
    <x v="2"/>
    <x v="1"/>
    <n v="9"/>
  </r>
  <r>
    <x v="580"/>
    <x v="4"/>
    <x v="5"/>
    <n v="30"/>
    <x v="13"/>
    <x v="304"/>
    <x v="12"/>
    <x v="1"/>
    <x v="1"/>
    <n v="1000"/>
  </r>
  <r>
    <x v="581"/>
    <x v="35"/>
    <x v="13"/>
    <m/>
    <x v="0"/>
    <x v="270"/>
    <x v="7"/>
    <x v="4"/>
    <x v="17"/>
    <n v="264"/>
  </r>
  <r>
    <x v="582"/>
    <x v="4"/>
    <x v="18"/>
    <m/>
    <x v="0"/>
    <x v="44"/>
    <x v="0"/>
    <x v="3"/>
    <x v="1"/>
    <n v="32"/>
  </r>
  <r>
    <x v="583"/>
    <x v="1"/>
    <x v="4"/>
    <m/>
    <x v="10"/>
    <x v="146"/>
    <x v="2"/>
    <x v="3"/>
    <x v="1"/>
    <n v="269"/>
  </r>
  <r>
    <x v="584"/>
    <x v="110"/>
    <x v="12"/>
    <m/>
    <x v="0"/>
    <x v="105"/>
    <x v="8"/>
    <x v="3"/>
    <x v="39"/>
    <n v="29"/>
  </r>
  <r>
    <x v="585"/>
    <x v="6"/>
    <x v="11"/>
    <n v="30"/>
    <x v="0"/>
    <x v="7"/>
    <x v="5"/>
    <x v="5"/>
    <x v="1"/>
    <n v="50"/>
  </r>
  <r>
    <x v="586"/>
    <x v="11"/>
    <x v="3"/>
    <m/>
    <x v="0"/>
    <x v="71"/>
    <x v="3"/>
    <x v="6"/>
    <x v="1"/>
    <n v="59"/>
  </r>
  <r>
    <x v="587"/>
    <x v="111"/>
    <x v="28"/>
    <n v="30"/>
    <x v="33"/>
    <x v="69"/>
    <x v="9"/>
    <x v="2"/>
    <x v="6"/>
    <n v="13"/>
  </r>
  <r>
    <x v="588"/>
    <x v="35"/>
    <x v="20"/>
    <n v="60"/>
    <x v="4"/>
    <x v="282"/>
    <x v="1"/>
    <x v="0"/>
    <x v="17"/>
    <n v="111"/>
  </r>
  <r>
    <x v="589"/>
    <x v="1"/>
    <x v="13"/>
    <m/>
    <x v="13"/>
    <x v="15"/>
    <x v="8"/>
    <x v="5"/>
    <x v="1"/>
    <m/>
  </r>
  <r>
    <x v="590"/>
    <x v="21"/>
    <x v="9"/>
    <m/>
    <x v="0"/>
    <x v="305"/>
    <x v="2"/>
    <x v="3"/>
    <x v="9"/>
    <n v="57"/>
  </r>
  <r>
    <x v="591"/>
    <x v="4"/>
    <x v="6"/>
    <n v="100"/>
    <x v="0"/>
    <x v="306"/>
    <x v="10"/>
    <x v="7"/>
    <x v="1"/>
    <n v="15"/>
  </r>
  <r>
    <x v="592"/>
    <x v="1"/>
    <x v="15"/>
    <n v="640"/>
    <x v="7"/>
    <x v="209"/>
    <x v="3"/>
    <x v="1"/>
    <x v="1"/>
    <n v="2400"/>
  </r>
  <r>
    <x v="593"/>
    <x v="1"/>
    <x v="11"/>
    <n v="24"/>
    <x v="17"/>
    <x v="307"/>
    <x v="8"/>
    <x v="6"/>
    <x v="1"/>
    <n v="235"/>
  </r>
  <r>
    <x v="594"/>
    <x v="60"/>
    <x v="4"/>
    <m/>
    <x v="0"/>
    <x v="69"/>
    <x v="9"/>
    <x v="7"/>
    <x v="6"/>
    <n v="12900"/>
  </r>
  <r>
    <x v="595"/>
    <x v="1"/>
    <x v="6"/>
    <n v="37"/>
    <x v="31"/>
    <x v="308"/>
    <x v="25"/>
    <x v="2"/>
    <x v="1"/>
    <n v="14"/>
  </r>
  <r>
    <x v="596"/>
    <x v="3"/>
    <x v="12"/>
    <m/>
    <x v="0"/>
    <x v="106"/>
    <x v="5"/>
    <x v="4"/>
    <x v="1"/>
    <n v="119"/>
  </r>
  <r>
    <x v="597"/>
    <x v="26"/>
    <x v="4"/>
    <m/>
    <x v="6"/>
    <x v="68"/>
    <x v="7"/>
    <x v="6"/>
    <x v="1"/>
    <n v="45"/>
  </r>
  <r>
    <x v="598"/>
    <x v="0"/>
    <x v="4"/>
    <m/>
    <x v="9"/>
    <x v="309"/>
    <x v="14"/>
    <x v="6"/>
    <x v="0"/>
    <m/>
  </r>
  <r>
    <x v="599"/>
    <x v="5"/>
    <x v="20"/>
    <n v="83"/>
    <x v="52"/>
    <x v="310"/>
    <x v="4"/>
    <x v="11"/>
    <x v="3"/>
    <m/>
  </r>
  <r>
    <x v="600"/>
    <x v="43"/>
    <x v="12"/>
    <m/>
    <x v="20"/>
    <x v="138"/>
    <x v="8"/>
    <x v="6"/>
    <x v="18"/>
    <n v="9"/>
  </r>
  <r>
    <x v="601"/>
    <x v="9"/>
    <x v="23"/>
    <n v="200"/>
    <x v="7"/>
    <x v="87"/>
    <x v="1"/>
    <x v="4"/>
    <x v="1"/>
    <n v="310"/>
  </r>
  <r>
    <x v="601"/>
    <x v="9"/>
    <x v="23"/>
    <n v="300"/>
    <x v="24"/>
    <x v="72"/>
    <x v="2"/>
    <x v="4"/>
    <x v="1"/>
    <n v="310"/>
  </r>
  <r>
    <x v="602"/>
    <x v="112"/>
    <x v="14"/>
    <n v="200"/>
    <x v="37"/>
    <x v="22"/>
    <x v="5"/>
    <x v="6"/>
    <x v="40"/>
    <m/>
  </r>
  <r>
    <x v="603"/>
    <x v="60"/>
    <x v="14"/>
    <m/>
    <x v="0"/>
    <x v="113"/>
    <x v="10"/>
    <x v="11"/>
    <x v="6"/>
    <n v="1"/>
  </r>
  <r>
    <x v="604"/>
    <x v="46"/>
    <x v="2"/>
    <n v="4"/>
    <x v="7"/>
    <x v="311"/>
    <x v="14"/>
    <x v="11"/>
    <x v="1"/>
    <n v="4"/>
  </r>
  <r>
    <x v="605"/>
    <x v="4"/>
    <x v="28"/>
    <n v="784"/>
    <x v="53"/>
    <x v="257"/>
    <x v="14"/>
    <x v="7"/>
    <x v="1"/>
    <n v="120"/>
  </r>
  <r>
    <x v="606"/>
    <x v="14"/>
    <x v="12"/>
    <n v="60"/>
    <x v="5"/>
    <x v="49"/>
    <x v="10"/>
    <x v="1"/>
    <x v="1"/>
    <n v="263"/>
  </r>
  <r>
    <x v="607"/>
    <x v="4"/>
    <x v="9"/>
    <m/>
    <x v="0"/>
    <x v="147"/>
    <x v="5"/>
    <x v="7"/>
    <x v="1"/>
    <n v="96"/>
  </r>
  <r>
    <x v="607"/>
    <x v="4"/>
    <x v="9"/>
    <n v="20"/>
    <x v="10"/>
    <x v="312"/>
    <x v="15"/>
    <x v="7"/>
    <x v="1"/>
    <n v="176"/>
  </r>
  <r>
    <x v="607"/>
    <x v="4"/>
    <x v="9"/>
    <n v="21"/>
    <x v="6"/>
    <x v="12"/>
    <x v="6"/>
    <x v="7"/>
    <x v="1"/>
    <n v="176"/>
  </r>
  <r>
    <x v="608"/>
    <x v="113"/>
    <x v="9"/>
    <n v="80"/>
    <x v="0"/>
    <x v="153"/>
    <x v="17"/>
    <x v="7"/>
    <x v="41"/>
    <n v="749"/>
  </r>
  <r>
    <x v="608"/>
    <x v="21"/>
    <x v="9"/>
    <m/>
    <x v="0"/>
    <x v="212"/>
    <x v="12"/>
    <x v="7"/>
    <x v="9"/>
    <n v="749"/>
  </r>
  <r>
    <x v="608"/>
    <x v="21"/>
    <x v="9"/>
    <n v="60"/>
    <x v="0"/>
    <x v="270"/>
    <x v="7"/>
    <x v="7"/>
    <x v="9"/>
    <n v="749"/>
  </r>
  <r>
    <x v="609"/>
    <x v="47"/>
    <x v="9"/>
    <n v="87"/>
    <x v="34"/>
    <x v="309"/>
    <x v="14"/>
    <x v="3"/>
    <x v="1"/>
    <n v="20"/>
  </r>
  <r>
    <x v="610"/>
    <x v="1"/>
    <x v="22"/>
    <n v="100"/>
    <x v="10"/>
    <x v="5"/>
    <x v="3"/>
    <x v="0"/>
    <x v="1"/>
    <n v="125"/>
  </r>
  <r>
    <x v="611"/>
    <x v="1"/>
    <x v="12"/>
    <m/>
    <x v="24"/>
    <x v="105"/>
    <x v="8"/>
    <x v="3"/>
    <x v="1"/>
    <n v="58"/>
  </r>
  <r>
    <x v="612"/>
    <x v="0"/>
    <x v="8"/>
    <n v="15"/>
    <x v="2"/>
    <x v="87"/>
    <x v="1"/>
    <x v="3"/>
    <x v="0"/>
    <n v="58"/>
  </r>
  <r>
    <x v="613"/>
    <x v="16"/>
    <x v="15"/>
    <n v="60"/>
    <x v="4"/>
    <x v="222"/>
    <x v="2"/>
    <x v="5"/>
    <x v="1"/>
    <n v="593"/>
  </r>
  <r>
    <x v="614"/>
    <x v="1"/>
    <x v="1"/>
    <m/>
    <x v="13"/>
    <x v="60"/>
    <x v="1"/>
    <x v="5"/>
    <x v="1"/>
    <n v="225"/>
  </r>
  <r>
    <x v="614"/>
    <x v="1"/>
    <x v="1"/>
    <n v="10"/>
    <x v="16"/>
    <x v="250"/>
    <x v="5"/>
    <x v="4"/>
    <x v="1"/>
    <n v="100"/>
  </r>
  <r>
    <x v="615"/>
    <x v="15"/>
    <x v="15"/>
    <n v="60"/>
    <x v="4"/>
    <x v="135"/>
    <x v="4"/>
    <x v="5"/>
    <x v="1"/>
    <n v="201"/>
  </r>
  <r>
    <x v="616"/>
    <x v="15"/>
    <x v="9"/>
    <n v="26"/>
    <x v="54"/>
    <x v="313"/>
    <x v="7"/>
    <x v="4"/>
    <x v="1"/>
    <n v="166"/>
  </r>
  <r>
    <x v="617"/>
    <x v="12"/>
    <x v="9"/>
    <n v="150"/>
    <x v="0"/>
    <x v="42"/>
    <x v="1"/>
    <x v="3"/>
    <x v="6"/>
    <n v="63"/>
  </r>
  <r>
    <x v="618"/>
    <x v="43"/>
    <x v="12"/>
    <n v="45"/>
    <x v="6"/>
    <x v="56"/>
    <x v="6"/>
    <x v="6"/>
    <x v="18"/>
    <n v="133"/>
  </r>
  <r>
    <x v="619"/>
    <x v="14"/>
    <x v="1"/>
    <m/>
    <x v="31"/>
    <x v="26"/>
    <x v="12"/>
    <x v="0"/>
    <x v="1"/>
    <n v="76"/>
  </r>
  <r>
    <x v="620"/>
    <x v="0"/>
    <x v="12"/>
    <n v="38"/>
    <x v="2"/>
    <x v="179"/>
    <x v="5"/>
    <x v="3"/>
    <x v="0"/>
    <n v="75"/>
  </r>
  <r>
    <x v="621"/>
    <x v="68"/>
    <x v="9"/>
    <n v="40"/>
    <x v="0"/>
    <x v="314"/>
    <x v="4"/>
    <x v="7"/>
    <x v="1"/>
    <n v="280"/>
  </r>
  <r>
    <x v="622"/>
    <x v="4"/>
    <x v="9"/>
    <m/>
    <x v="9"/>
    <x v="294"/>
    <x v="1"/>
    <x v="7"/>
    <x v="1"/>
    <n v="107"/>
  </r>
  <r>
    <x v="622"/>
    <x v="48"/>
    <x v="9"/>
    <n v="329"/>
    <x v="0"/>
    <x v="126"/>
    <x v="0"/>
    <x v="7"/>
    <x v="1"/>
    <n v="107"/>
  </r>
  <r>
    <x v="623"/>
    <x v="1"/>
    <x v="10"/>
    <n v="90"/>
    <x v="12"/>
    <x v="82"/>
    <x v="0"/>
    <x v="0"/>
    <x v="1"/>
    <n v="484"/>
  </r>
  <r>
    <x v="624"/>
    <x v="1"/>
    <x v="10"/>
    <m/>
    <x v="0"/>
    <x v="278"/>
    <x v="7"/>
    <x v="5"/>
    <x v="1"/>
    <n v="203"/>
  </r>
  <r>
    <x v="625"/>
    <x v="114"/>
    <x v="14"/>
    <n v="35"/>
    <x v="14"/>
    <x v="106"/>
    <x v="5"/>
    <x v="6"/>
    <x v="1"/>
    <n v="3"/>
  </r>
  <r>
    <x v="626"/>
    <x v="60"/>
    <x v="6"/>
    <n v="130"/>
    <x v="36"/>
    <x v="13"/>
    <x v="8"/>
    <x v="2"/>
    <x v="6"/>
    <n v="17"/>
  </r>
  <r>
    <x v="626"/>
    <x v="60"/>
    <x v="6"/>
    <n v="145"/>
    <x v="8"/>
    <x v="51"/>
    <x v="17"/>
    <x v="2"/>
    <x v="6"/>
    <n v="17"/>
  </r>
  <r>
    <x v="627"/>
    <x v="17"/>
    <x v="9"/>
    <m/>
    <x v="16"/>
    <x v="246"/>
    <x v="6"/>
    <x v="4"/>
    <x v="8"/>
    <n v="202"/>
  </r>
  <r>
    <x v="628"/>
    <x v="4"/>
    <x v="11"/>
    <m/>
    <x v="0"/>
    <x v="184"/>
    <x v="4"/>
    <x v="0"/>
    <x v="1"/>
    <n v="151"/>
  </r>
  <r>
    <x v="629"/>
    <x v="44"/>
    <x v="2"/>
    <m/>
    <x v="0"/>
    <x v="206"/>
    <x v="5"/>
    <x v="4"/>
    <x v="1"/>
    <n v="59"/>
  </r>
  <r>
    <x v="629"/>
    <x v="44"/>
    <x v="2"/>
    <m/>
    <x v="5"/>
    <x v="218"/>
    <x v="7"/>
    <x v="6"/>
    <x v="1"/>
    <n v="197"/>
  </r>
  <r>
    <x v="630"/>
    <x v="1"/>
    <x v="12"/>
    <n v="14"/>
    <x v="6"/>
    <x v="226"/>
    <x v="18"/>
    <x v="4"/>
    <x v="1"/>
    <n v="453"/>
  </r>
  <r>
    <x v="630"/>
    <x v="1"/>
    <x v="12"/>
    <n v="150"/>
    <x v="55"/>
    <x v="196"/>
    <x v="8"/>
    <x v="5"/>
    <x v="1"/>
    <n v="553"/>
  </r>
  <r>
    <x v="631"/>
    <x v="1"/>
    <x v="12"/>
    <n v="85"/>
    <x v="0"/>
    <x v="315"/>
    <x v="23"/>
    <x v="0"/>
    <x v="1"/>
    <n v="746"/>
  </r>
  <r>
    <x v="632"/>
    <x v="21"/>
    <x v="12"/>
    <n v="65"/>
    <x v="26"/>
    <x v="206"/>
    <x v="5"/>
    <x v="3"/>
    <x v="9"/>
    <n v="42"/>
  </r>
  <r>
    <x v="633"/>
    <x v="1"/>
    <x v="5"/>
    <m/>
    <x v="0"/>
    <x v="11"/>
    <x v="4"/>
    <x v="4"/>
    <x v="1"/>
    <n v="310"/>
  </r>
  <r>
    <x v="634"/>
    <x v="60"/>
    <x v="4"/>
    <n v="180"/>
    <x v="0"/>
    <x v="316"/>
    <x v="13"/>
    <x v="5"/>
    <x v="6"/>
    <n v="228"/>
  </r>
  <r>
    <x v="635"/>
    <x v="43"/>
    <x v="6"/>
    <m/>
    <x v="0"/>
    <x v="50"/>
    <x v="2"/>
    <x v="6"/>
    <x v="18"/>
    <n v="50"/>
  </r>
  <r>
    <x v="636"/>
    <x v="4"/>
    <x v="11"/>
    <n v="14"/>
    <x v="13"/>
    <x v="57"/>
    <x v="5"/>
    <x v="6"/>
    <x v="1"/>
    <m/>
  </r>
  <r>
    <x v="637"/>
    <x v="15"/>
    <x v="2"/>
    <n v="17"/>
    <x v="13"/>
    <x v="317"/>
    <x v="18"/>
    <x v="4"/>
    <x v="1"/>
    <n v="101"/>
  </r>
  <r>
    <x v="638"/>
    <x v="1"/>
    <x v="3"/>
    <n v="30"/>
    <x v="37"/>
    <x v="201"/>
    <x v="6"/>
    <x v="3"/>
    <x v="1"/>
    <n v="76"/>
  </r>
  <r>
    <x v="639"/>
    <x v="44"/>
    <x v="2"/>
    <m/>
    <x v="31"/>
    <x v="318"/>
    <x v="1"/>
    <x v="9"/>
    <x v="1"/>
    <m/>
  </r>
  <r>
    <x v="640"/>
    <x v="3"/>
    <x v="30"/>
    <m/>
    <x v="20"/>
    <x v="18"/>
    <x v="6"/>
    <x v="11"/>
    <x v="1"/>
    <n v="5"/>
  </r>
  <r>
    <x v="641"/>
    <x v="9"/>
    <x v="11"/>
    <n v="5"/>
    <x v="21"/>
    <x v="106"/>
    <x v="5"/>
    <x v="6"/>
    <x v="1"/>
    <m/>
  </r>
  <r>
    <x v="642"/>
    <x v="1"/>
    <x v="21"/>
    <n v="100"/>
    <x v="37"/>
    <x v="93"/>
    <x v="2"/>
    <x v="4"/>
    <x v="1"/>
    <n v="148"/>
  </r>
  <r>
    <x v="643"/>
    <x v="4"/>
    <x v="5"/>
    <m/>
    <x v="10"/>
    <x v="169"/>
    <x v="3"/>
    <x v="6"/>
    <x v="1"/>
    <n v="423"/>
  </r>
  <r>
    <x v="643"/>
    <x v="4"/>
    <x v="5"/>
    <n v="100"/>
    <x v="10"/>
    <x v="201"/>
    <x v="6"/>
    <x v="6"/>
    <x v="1"/>
    <n v="423"/>
  </r>
  <r>
    <x v="643"/>
    <x v="4"/>
    <x v="5"/>
    <n v="68"/>
    <x v="11"/>
    <x v="294"/>
    <x v="1"/>
    <x v="6"/>
    <x v="1"/>
    <n v="423"/>
  </r>
  <r>
    <x v="644"/>
    <x v="4"/>
    <x v="5"/>
    <n v="52"/>
    <x v="7"/>
    <x v="310"/>
    <x v="4"/>
    <x v="2"/>
    <x v="1"/>
    <m/>
  </r>
  <r>
    <x v="644"/>
    <x v="4"/>
    <x v="5"/>
    <n v="60"/>
    <x v="8"/>
    <x v="107"/>
    <x v="3"/>
    <x v="2"/>
    <x v="1"/>
    <m/>
  </r>
  <r>
    <x v="645"/>
    <x v="4"/>
    <x v="3"/>
    <m/>
    <x v="0"/>
    <x v="319"/>
    <x v="26"/>
    <x v="7"/>
    <x v="1"/>
    <n v="78"/>
  </r>
  <r>
    <x v="646"/>
    <x v="1"/>
    <x v="1"/>
    <n v="23"/>
    <x v="0"/>
    <x v="141"/>
    <x v="7"/>
    <x v="4"/>
    <x v="1"/>
    <n v="120"/>
  </r>
  <r>
    <x v="647"/>
    <x v="1"/>
    <x v="0"/>
    <m/>
    <x v="10"/>
    <x v="97"/>
    <x v="12"/>
    <x v="0"/>
    <x v="1"/>
    <n v="948"/>
  </r>
  <r>
    <x v="647"/>
    <x v="1"/>
    <x v="0"/>
    <n v="100"/>
    <x v="9"/>
    <x v="129"/>
    <x v="14"/>
    <x v="5"/>
    <x v="1"/>
    <n v="403"/>
  </r>
  <r>
    <x v="648"/>
    <x v="115"/>
    <x v="9"/>
    <m/>
    <x v="23"/>
    <x v="41"/>
    <x v="17"/>
    <x v="1"/>
    <x v="42"/>
    <n v="1800"/>
  </r>
  <r>
    <x v="648"/>
    <x v="43"/>
    <x v="9"/>
    <m/>
    <x v="0"/>
    <x v="212"/>
    <x v="12"/>
    <x v="1"/>
    <x v="18"/>
    <n v="1800"/>
  </r>
  <r>
    <x v="648"/>
    <x v="4"/>
    <x v="9"/>
    <n v="100"/>
    <x v="0"/>
    <x v="97"/>
    <x v="12"/>
    <x v="1"/>
    <x v="1"/>
    <n v="1800"/>
  </r>
  <r>
    <x v="649"/>
    <x v="5"/>
    <x v="3"/>
    <n v="11"/>
    <x v="10"/>
    <x v="185"/>
    <x v="5"/>
    <x v="3"/>
    <x v="3"/>
    <n v="16"/>
  </r>
  <r>
    <x v="650"/>
    <x v="35"/>
    <x v="0"/>
    <n v="30"/>
    <x v="0"/>
    <x v="165"/>
    <x v="17"/>
    <x v="2"/>
    <x v="17"/>
    <n v="49"/>
  </r>
  <r>
    <x v="651"/>
    <x v="16"/>
    <x v="14"/>
    <n v="90"/>
    <x v="3"/>
    <x v="320"/>
    <x v="27"/>
    <x v="1"/>
    <x v="7"/>
    <n v="656"/>
  </r>
  <r>
    <x v="652"/>
    <x v="1"/>
    <x v="17"/>
    <m/>
    <x v="10"/>
    <x v="128"/>
    <x v="12"/>
    <x v="7"/>
    <x v="1"/>
    <n v="350"/>
  </r>
  <r>
    <x v="653"/>
    <x v="1"/>
    <x v="17"/>
    <n v="130"/>
    <x v="11"/>
    <x v="128"/>
    <x v="12"/>
    <x v="0"/>
    <x v="1"/>
    <n v="413"/>
  </r>
  <r>
    <x v="654"/>
    <x v="116"/>
    <x v="17"/>
    <n v="21"/>
    <x v="40"/>
    <x v="163"/>
    <x v="3"/>
    <x v="2"/>
    <x v="7"/>
    <n v="41"/>
  </r>
  <r>
    <x v="655"/>
    <x v="14"/>
    <x v="1"/>
    <m/>
    <x v="0"/>
    <x v="131"/>
    <x v="6"/>
    <x v="3"/>
    <x v="1"/>
    <n v="45"/>
  </r>
  <r>
    <x v="656"/>
    <x v="1"/>
    <x v="21"/>
    <n v="300"/>
    <x v="8"/>
    <x v="49"/>
    <x v="10"/>
    <x v="7"/>
    <x v="1"/>
    <n v="204"/>
  </r>
  <r>
    <x v="657"/>
    <x v="21"/>
    <x v="19"/>
    <n v="198"/>
    <x v="26"/>
    <x v="44"/>
    <x v="0"/>
    <x v="5"/>
    <x v="9"/>
    <n v="82"/>
  </r>
  <r>
    <x v="658"/>
    <x v="4"/>
    <x v="17"/>
    <n v="18"/>
    <x v="32"/>
    <x v="260"/>
    <x v="10"/>
    <x v="2"/>
    <x v="1"/>
    <n v="30"/>
  </r>
  <r>
    <x v="659"/>
    <x v="58"/>
    <x v="12"/>
    <m/>
    <x v="20"/>
    <x v="271"/>
    <x v="2"/>
    <x v="6"/>
    <x v="1"/>
    <m/>
  </r>
  <r>
    <x v="660"/>
    <x v="4"/>
    <x v="3"/>
    <n v="80"/>
    <x v="37"/>
    <x v="321"/>
    <x v="31"/>
    <x v="1"/>
    <x v="1"/>
    <n v="266"/>
  </r>
  <r>
    <x v="660"/>
    <x v="4"/>
    <x v="4"/>
    <n v="19"/>
    <x v="4"/>
    <x v="184"/>
    <x v="4"/>
    <x v="1"/>
    <x v="1"/>
    <n v="266"/>
  </r>
  <r>
    <x v="660"/>
    <x v="4"/>
    <x v="4"/>
    <n v="150"/>
    <x v="28"/>
    <x v="322"/>
    <x v="30"/>
    <x v="5"/>
    <x v="1"/>
    <n v="186"/>
  </r>
  <r>
    <x v="661"/>
    <x v="117"/>
    <x v="9"/>
    <n v="250"/>
    <x v="1"/>
    <x v="96"/>
    <x v="3"/>
    <x v="7"/>
    <x v="43"/>
    <n v="1200"/>
  </r>
  <r>
    <x v="662"/>
    <x v="3"/>
    <x v="4"/>
    <m/>
    <x v="0"/>
    <x v="22"/>
    <x v="5"/>
    <x v="5"/>
    <x v="1"/>
    <n v="197"/>
  </r>
  <r>
    <x v="663"/>
    <x v="21"/>
    <x v="12"/>
    <n v="22"/>
    <x v="33"/>
    <x v="140"/>
    <x v="16"/>
    <x v="6"/>
    <x v="9"/>
    <n v="97"/>
  </r>
  <r>
    <x v="664"/>
    <x v="0"/>
    <x v="15"/>
    <n v="55"/>
    <x v="13"/>
    <x v="5"/>
    <x v="3"/>
    <x v="4"/>
    <x v="0"/>
    <n v="178"/>
  </r>
  <r>
    <x v="665"/>
    <x v="6"/>
    <x v="20"/>
    <m/>
    <x v="0"/>
    <x v="88"/>
    <x v="3"/>
    <x v="7"/>
    <x v="1"/>
    <n v="21"/>
  </r>
  <r>
    <x v="666"/>
    <x v="43"/>
    <x v="12"/>
    <m/>
    <x v="0"/>
    <x v="28"/>
    <x v="5"/>
    <x v="1"/>
    <x v="18"/>
    <n v="122"/>
  </r>
  <r>
    <x v="667"/>
    <x v="29"/>
    <x v="2"/>
    <n v="451"/>
    <x v="1"/>
    <x v="323"/>
    <x v="18"/>
    <x v="0"/>
    <x v="1"/>
    <m/>
  </r>
  <r>
    <x v="667"/>
    <x v="48"/>
    <x v="2"/>
    <n v="530"/>
    <x v="4"/>
    <x v="36"/>
    <x v="12"/>
    <x v="0"/>
    <x v="1"/>
    <n v="800"/>
  </r>
  <r>
    <x v="668"/>
    <x v="1"/>
    <x v="12"/>
    <n v="94"/>
    <x v="5"/>
    <x v="92"/>
    <x v="8"/>
    <x v="2"/>
    <x v="1"/>
    <m/>
  </r>
  <r>
    <x v="669"/>
    <x v="15"/>
    <x v="1"/>
    <n v="800"/>
    <x v="7"/>
    <x v="19"/>
    <x v="4"/>
    <x v="0"/>
    <x v="1"/>
    <n v="75"/>
  </r>
  <r>
    <x v="670"/>
    <x v="24"/>
    <x v="0"/>
    <n v="430"/>
    <x v="2"/>
    <x v="264"/>
    <x v="18"/>
    <x v="8"/>
    <x v="12"/>
    <n v="4800"/>
  </r>
  <r>
    <x v="671"/>
    <x v="69"/>
    <x v="0"/>
    <n v="20"/>
    <x v="0"/>
    <x v="203"/>
    <x v="2"/>
    <x v="6"/>
    <x v="14"/>
    <n v="12"/>
  </r>
  <r>
    <x v="671"/>
    <x v="69"/>
    <x v="0"/>
    <n v="54"/>
    <x v="0"/>
    <x v="108"/>
    <x v="3"/>
    <x v="6"/>
    <x v="14"/>
    <n v="12"/>
  </r>
  <r>
    <x v="672"/>
    <x v="80"/>
    <x v="0"/>
    <m/>
    <x v="22"/>
    <x v="71"/>
    <x v="3"/>
    <x v="4"/>
    <x v="6"/>
    <n v="54"/>
  </r>
  <r>
    <x v="673"/>
    <x v="1"/>
    <x v="8"/>
    <n v="80"/>
    <x v="11"/>
    <x v="36"/>
    <x v="12"/>
    <x v="1"/>
    <x v="1"/>
    <n v="583"/>
  </r>
  <r>
    <x v="674"/>
    <x v="12"/>
    <x v="11"/>
    <m/>
    <x v="20"/>
    <x v="324"/>
    <x v="8"/>
    <x v="11"/>
    <x v="6"/>
    <m/>
  </r>
  <r>
    <x v="675"/>
    <x v="57"/>
    <x v="9"/>
    <n v="70"/>
    <x v="0"/>
    <x v="325"/>
    <x v="15"/>
    <x v="0"/>
    <x v="0"/>
    <n v="16"/>
  </r>
  <r>
    <x v="676"/>
    <x v="0"/>
    <x v="4"/>
    <m/>
    <x v="20"/>
    <x v="100"/>
    <x v="2"/>
    <x v="11"/>
    <x v="0"/>
    <n v="6"/>
  </r>
  <r>
    <x v="677"/>
    <x v="3"/>
    <x v="1"/>
    <n v="140"/>
    <x v="14"/>
    <x v="81"/>
    <x v="4"/>
    <x v="0"/>
    <x v="1"/>
    <n v="910"/>
  </r>
  <r>
    <x v="678"/>
    <x v="1"/>
    <x v="3"/>
    <n v="12000"/>
    <x v="1"/>
    <x v="117"/>
    <x v="3"/>
    <x v="0"/>
    <x v="1"/>
    <n v="26"/>
  </r>
  <r>
    <x v="679"/>
    <x v="1"/>
    <x v="3"/>
    <n v="200"/>
    <x v="7"/>
    <x v="54"/>
    <x v="5"/>
    <x v="0"/>
    <x v="1"/>
    <n v="288"/>
  </r>
  <r>
    <x v="680"/>
    <x v="68"/>
    <x v="9"/>
    <n v="100"/>
    <x v="0"/>
    <x v="321"/>
    <x v="31"/>
    <x v="12"/>
    <x v="1"/>
    <n v="3400"/>
  </r>
  <r>
    <x v="680"/>
    <x v="68"/>
    <x v="9"/>
    <n v="250"/>
    <x v="0"/>
    <x v="104"/>
    <x v="8"/>
    <x v="12"/>
    <x v="1"/>
    <n v="3400"/>
  </r>
  <r>
    <x v="680"/>
    <x v="68"/>
    <x v="9"/>
    <n v="450"/>
    <x v="16"/>
    <x v="326"/>
    <x v="13"/>
    <x v="12"/>
    <x v="1"/>
    <n v="3400"/>
  </r>
  <r>
    <x v="680"/>
    <x v="68"/>
    <x v="9"/>
    <n v="1500"/>
    <x v="10"/>
    <x v="42"/>
    <x v="1"/>
    <x v="12"/>
    <x v="1"/>
    <n v="3400"/>
  </r>
  <r>
    <x v="681"/>
    <x v="16"/>
    <x v="9"/>
    <n v="300"/>
    <x v="31"/>
    <x v="327"/>
    <x v="17"/>
    <x v="4"/>
    <x v="7"/>
    <n v="1300"/>
  </r>
  <r>
    <x v="681"/>
    <x v="16"/>
    <x v="9"/>
    <n v="540"/>
    <x v="0"/>
    <x v="214"/>
    <x v="1"/>
    <x v="4"/>
    <x v="7"/>
    <n v="1300"/>
  </r>
  <r>
    <x v="682"/>
    <x v="26"/>
    <x v="4"/>
    <n v="23"/>
    <x v="7"/>
    <x v="123"/>
    <x v="14"/>
    <x v="3"/>
    <x v="1"/>
    <n v="47"/>
  </r>
  <r>
    <x v="683"/>
    <x v="64"/>
    <x v="6"/>
    <n v="100"/>
    <x v="0"/>
    <x v="224"/>
    <x v="0"/>
    <x v="5"/>
    <x v="25"/>
    <n v="686"/>
  </r>
  <r>
    <x v="683"/>
    <x v="64"/>
    <x v="6"/>
    <n v="200"/>
    <x v="0"/>
    <x v="141"/>
    <x v="7"/>
    <x v="5"/>
    <x v="25"/>
    <n v="686"/>
  </r>
  <r>
    <x v="684"/>
    <x v="24"/>
    <x v="0"/>
    <n v="1300"/>
    <x v="5"/>
    <x v="119"/>
    <x v="2"/>
    <x v="0"/>
    <x v="12"/>
    <n v="1300"/>
  </r>
  <r>
    <x v="685"/>
    <x v="21"/>
    <x v="0"/>
    <n v="360"/>
    <x v="13"/>
    <x v="328"/>
    <x v="18"/>
    <x v="14"/>
    <x v="9"/>
    <n v="9900"/>
  </r>
  <r>
    <x v="686"/>
    <x v="4"/>
    <x v="4"/>
    <m/>
    <x v="0"/>
    <x v="206"/>
    <x v="5"/>
    <x v="2"/>
    <x v="1"/>
    <n v="16"/>
  </r>
  <r>
    <x v="687"/>
    <x v="118"/>
    <x v="9"/>
    <n v="75"/>
    <x v="0"/>
    <x v="234"/>
    <x v="3"/>
    <x v="3"/>
    <x v="6"/>
    <n v="17"/>
  </r>
  <r>
    <x v="688"/>
    <x v="119"/>
    <x v="13"/>
    <m/>
    <x v="0"/>
    <x v="273"/>
    <x v="7"/>
    <x v="6"/>
    <x v="18"/>
    <n v="692"/>
  </r>
  <r>
    <x v="689"/>
    <x v="3"/>
    <x v="13"/>
    <n v="20"/>
    <x v="24"/>
    <x v="194"/>
    <x v="14"/>
    <x v="6"/>
    <x v="1"/>
    <n v="7"/>
  </r>
  <r>
    <x v="690"/>
    <x v="120"/>
    <x v="9"/>
    <m/>
    <x v="0"/>
    <x v="162"/>
    <x v="12"/>
    <x v="4"/>
    <x v="44"/>
    <n v="214"/>
  </r>
  <r>
    <x v="691"/>
    <x v="4"/>
    <x v="21"/>
    <n v="120"/>
    <x v="40"/>
    <x v="147"/>
    <x v="5"/>
    <x v="5"/>
    <x v="1"/>
    <n v="110"/>
  </r>
  <r>
    <x v="692"/>
    <x v="44"/>
    <x v="12"/>
    <n v="104"/>
    <x v="17"/>
    <x v="53"/>
    <x v="3"/>
    <x v="5"/>
    <x v="1"/>
    <n v="556"/>
  </r>
  <r>
    <x v="693"/>
    <x v="99"/>
    <x v="2"/>
    <n v="60"/>
    <x v="35"/>
    <x v="281"/>
    <x v="2"/>
    <x v="3"/>
    <x v="1"/>
    <n v="145"/>
  </r>
  <r>
    <x v="694"/>
    <x v="4"/>
    <x v="11"/>
    <n v="50"/>
    <x v="11"/>
    <x v="98"/>
    <x v="5"/>
    <x v="6"/>
    <x v="1"/>
    <n v="190"/>
  </r>
  <r>
    <x v="695"/>
    <x v="15"/>
    <x v="4"/>
    <n v="500"/>
    <x v="0"/>
    <x v="96"/>
    <x v="3"/>
    <x v="0"/>
    <x v="1"/>
    <n v="1400"/>
  </r>
  <r>
    <x v="695"/>
    <x v="15"/>
    <x v="4"/>
    <n v="500"/>
    <x v="6"/>
    <x v="261"/>
    <x v="4"/>
    <x v="0"/>
    <x v="1"/>
    <n v="1400"/>
  </r>
  <r>
    <x v="695"/>
    <x v="15"/>
    <x v="4"/>
    <n v="2800"/>
    <x v="50"/>
    <x v="231"/>
    <x v="5"/>
    <x v="0"/>
    <x v="1"/>
    <n v="1400"/>
  </r>
  <r>
    <x v="696"/>
    <x v="1"/>
    <x v="4"/>
    <m/>
    <x v="3"/>
    <x v="329"/>
    <x v="13"/>
    <x v="1"/>
    <x v="1"/>
    <n v="474"/>
  </r>
  <r>
    <x v="697"/>
    <x v="16"/>
    <x v="4"/>
    <n v="40"/>
    <x v="10"/>
    <x v="227"/>
    <x v="0"/>
    <x v="6"/>
    <x v="1"/>
    <n v="2300"/>
  </r>
  <r>
    <x v="698"/>
    <x v="32"/>
    <x v="5"/>
    <m/>
    <x v="0"/>
    <x v="177"/>
    <x v="8"/>
    <x v="6"/>
    <x v="16"/>
    <m/>
  </r>
  <r>
    <x v="699"/>
    <x v="1"/>
    <x v="1"/>
    <n v="130"/>
    <x v="11"/>
    <x v="205"/>
    <x v="3"/>
    <x v="0"/>
    <x v="1"/>
    <n v="550"/>
  </r>
  <r>
    <x v="700"/>
    <x v="1"/>
    <x v="12"/>
    <m/>
    <x v="12"/>
    <x v="135"/>
    <x v="4"/>
    <x v="0"/>
    <x v="1"/>
    <n v="24"/>
  </r>
  <r>
    <x v="701"/>
    <x v="3"/>
    <x v="2"/>
    <n v="90"/>
    <x v="9"/>
    <x v="250"/>
    <x v="5"/>
    <x v="5"/>
    <x v="1"/>
    <n v="58"/>
  </r>
  <r>
    <x v="702"/>
    <x v="1"/>
    <x v="19"/>
    <n v="126"/>
    <x v="13"/>
    <x v="36"/>
    <x v="12"/>
    <x v="1"/>
    <x v="1"/>
    <n v="746"/>
  </r>
  <r>
    <x v="703"/>
    <x v="5"/>
    <x v="28"/>
    <n v="467"/>
    <x v="37"/>
    <x v="57"/>
    <x v="5"/>
    <x v="5"/>
    <x v="3"/>
    <n v="300"/>
  </r>
  <r>
    <x v="704"/>
    <x v="1"/>
    <x v="19"/>
    <m/>
    <x v="4"/>
    <x v="244"/>
    <x v="12"/>
    <x v="3"/>
    <x v="1"/>
    <n v="11"/>
  </r>
  <r>
    <x v="705"/>
    <x v="4"/>
    <x v="1"/>
    <m/>
    <x v="20"/>
    <x v="330"/>
    <x v="15"/>
    <x v="6"/>
    <x v="1"/>
    <n v="2"/>
  </r>
  <r>
    <x v="706"/>
    <x v="1"/>
    <x v="21"/>
    <m/>
    <x v="0"/>
    <x v="40"/>
    <x v="10"/>
    <x v="4"/>
    <x v="1"/>
    <n v="74"/>
  </r>
  <r>
    <x v="707"/>
    <x v="3"/>
    <x v="12"/>
    <n v="158"/>
    <x v="41"/>
    <x v="281"/>
    <x v="2"/>
    <x v="5"/>
    <x v="1"/>
    <n v="191"/>
  </r>
  <r>
    <x v="708"/>
    <x v="74"/>
    <x v="6"/>
    <n v="60"/>
    <x v="8"/>
    <x v="189"/>
    <x v="3"/>
    <x v="7"/>
    <x v="6"/>
    <m/>
  </r>
  <r>
    <x v="709"/>
    <x v="5"/>
    <x v="12"/>
    <n v="58"/>
    <x v="31"/>
    <x v="229"/>
    <x v="4"/>
    <x v="4"/>
    <x v="3"/>
    <n v="58"/>
  </r>
  <r>
    <x v="710"/>
    <x v="1"/>
    <x v="22"/>
    <n v="69"/>
    <x v="0"/>
    <x v="209"/>
    <x v="3"/>
    <x v="0"/>
    <x v="1"/>
    <n v="349"/>
  </r>
  <r>
    <x v="711"/>
    <x v="1"/>
    <x v="9"/>
    <m/>
    <x v="20"/>
    <x v="19"/>
    <x v="4"/>
    <x v="11"/>
    <x v="1"/>
    <n v="7"/>
  </r>
  <r>
    <x v="712"/>
    <x v="26"/>
    <x v="3"/>
    <n v="5"/>
    <x v="0"/>
    <x v="331"/>
    <x v="23"/>
    <x v="4"/>
    <x v="1"/>
    <n v="58"/>
  </r>
  <r>
    <x v="713"/>
    <x v="3"/>
    <x v="1"/>
    <n v="50"/>
    <x v="30"/>
    <x v="224"/>
    <x v="0"/>
    <x v="6"/>
    <x v="1"/>
    <n v="215"/>
  </r>
  <r>
    <x v="714"/>
    <x v="1"/>
    <x v="1"/>
    <m/>
    <x v="0"/>
    <x v="332"/>
    <x v="0"/>
    <x v="5"/>
    <x v="1"/>
    <n v="136"/>
  </r>
  <r>
    <x v="715"/>
    <x v="37"/>
    <x v="1"/>
    <n v="149"/>
    <x v="0"/>
    <x v="137"/>
    <x v="4"/>
    <x v="4"/>
    <x v="1"/>
    <n v="244"/>
  </r>
  <r>
    <x v="716"/>
    <x v="60"/>
    <x v="28"/>
    <n v="150"/>
    <x v="0"/>
    <x v="187"/>
    <x v="0"/>
    <x v="4"/>
    <x v="6"/>
    <n v="100"/>
  </r>
  <r>
    <x v="717"/>
    <x v="7"/>
    <x v="1"/>
    <n v="18"/>
    <x v="31"/>
    <x v="168"/>
    <x v="6"/>
    <x v="3"/>
    <x v="4"/>
    <n v="20"/>
  </r>
  <r>
    <x v="718"/>
    <x v="11"/>
    <x v="12"/>
    <n v="12"/>
    <x v="0"/>
    <x v="9"/>
    <x v="7"/>
    <x v="3"/>
    <x v="5"/>
    <n v="67"/>
  </r>
  <r>
    <x v="719"/>
    <x v="1"/>
    <x v="9"/>
    <n v="611"/>
    <x v="0"/>
    <x v="333"/>
    <x v="8"/>
    <x v="0"/>
    <x v="1"/>
    <n v="367"/>
  </r>
  <r>
    <x v="720"/>
    <x v="14"/>
    <x v="10"/>
    <m/>
    <x v="0"/>
    <x v="93"/>
    <x v="2"/>
    <x v="3"/>
    <x v="1"/>
    <n v="28"/>
  </r>
  <r>
    <x v="721"/>
    <x v="29"/>
    <x v="10"/>
    <n v="16"/>
    <x v="20"/>
    <x v="334"/>
    <x v="14"/>
    <x v="11"/>
    <x v="1"/>
    <n v="6"/>
  </r>
  <r>
    <x v="722"/>
    <x v="14"/>
    <x v="11"/>
    <n v="10"/>
    <x v="26"/>
    <x v="335"/>
    <x v="18"/>
    <x v="6"/>
    <x v="1"/>
    <m/>
  </r>
  <r>
    <x v="723"/>
    <x v="43"/>
    <x v="4"/>
    <n v="24"/>
    <x v="7"/>
    <x v="99"/>
    <x v="1"/>
    <x v="6"/>
    <x v="1"/>
    <n v="265"/>
  </r>
  <r>
    <x v="724"/>
    <x v="16"/>
    <x v="0"/>
    <n v="73"/>
    <x v="0"/>
    <x v="3"/>
    <x v="3"/>
    <x v="6"/>
    <x v="7"/>
    <m/>
  </r>
  <r>
    <x v="725"/>
    <x v="35"/>
    <x v="19"/>
    <n v="70"/>
    <x v="8"/>
    <x v="161"/>
    <x v="14"/>
    <x v="2"/>
    <x v="17"/>
    <n v="45"/>
  </r>
  <r>
    <x v="726"/>
    <x v="60"/>
    <x v="12"/>
    <n v="25"/>
    <x v="0"/>
    <x v="72"/>
    <x v="2"/>
    <x v="4"/>
    <x v="6"/>
    <n v="475"/>
  </r>
  <r>
    <x v="727"/>
    <x v="16"/>
    <x v="11"/>
    <n v="51"/>
    <x v="9"/>
    <x v="22"/>
    <x v="5"/>
    <x v="2"/>
    <x v="7"/>
    <n v="9"/>
  </r>
  <r>
    <x v="728"/>
    <x v="9"/>
    <x v="8"/>
    <n v="100"/>
    <x v="10"/>
    <x v="97"/>
    <x v="12"/>
    <x v="8"/>
    <x v="1"/>
    <n v="644"/>
  </r>
  <r>
    <x v="729"/>
    <x v="1"/>
    <x v="14"/>
    <m/>
    <x v="56"/>
    <x v="250"/>
    <x v="5"/>
    <x v="3"/>
    <x v="1"/>
    <n v="41"/>
  </r>
  <r>
    <x v="730"/>
    <x v="1"/>
    <x v="12"/>
    <n v="70"/>
    <x v="10"/>
    <x v="81"/>
    <x v="4"/>
    <x v="0"/>
    <x v="1"/>
    <n v="1300"/>
  </r>
  <r>
    <x v="731"/>
    <x v="60"/>
    <x v="21"/>
    <n v="200"/>
    <x v="24"/>
    <x v="50"/>
    <x v="2"/>
    <x v="2"/>
    <x v="6"/>
    <m/>
  </r>
  <r>
    <x v="732"/>
    <x v="1"/>
    <x v="21"/>
    <m/>
    <x v="0"/>
    <x v="317"/>
    <x v="18"/>
    <x v="5"/>
    <x v="1"/>
    <n v="132"/>
  </r>
  <r>
    <x v="733"/>
    <x v="15"/>
    <x v="21"/>
    <n v="36"/>
    <x v="3"/>
    <x v="267"/>
    <x v="10"/>
    <x v="5"/>
    <x v="1"/>
    <n v="52"/>
  </r>
  <r>
    <x v="734"/>
    <x v="21"/>
    <x v="5"/>
    <n v="40"/>
    <x v="43"/>
    <x v="336"/>
    <x v="4"/>
    <x v="6"/>
    <x v="9"/>
    <m/>
  </r>
  <r>
    <x v="735"/>
    <x v="15"/>
    <x v="18"/>
    <n v="80"/>
    <x v="24"/>
    <x v="170"/>
    <x v="6"/>
    <x v="3"/>
    <x v="1"/>
    <n v="82"/>
  </r>
  <r>
    <x v="736"/>
    <x v="26"/>
    <x v="23"/>
    <n v="18"/>
    <x v="35"/>
    <x v="332"/>
    <x v="0"/>
    <x v="7"/>
    <x v="1"/>
    <n v="4"/>
  </r>
  <r>
    <x v="737"/>
    <x v="1"/>
    <x v="23"/>
    <m/>
    <x v="0"/>
    <x v="240"/>
    <x v="0"/>
    <x v="6"/>
    <x v="1"/>
    <n v="128"/>
  </r>
  <r>
    <x v="738"/>
    <x v="1"/>
    <x v="23"/>
    <m/>
    <x v="19"/>
    <x v="118"/>
    <x v="6"/>
    <x v="5"/>
    <x v="1"/>
    <n v="743"/>
  </r>
  <r>
    <x v="739"/>
    <x v="48"/>
    <x v="23"/>
    <n v="113"/>
    <x v="0"/>
    <x v="2"/>
    <x v="2"/>
    <x v="0"/>
    <x v="1"/>
    <m/>
  </r>
  <r>
    <x v="740"/>
    <x v="29"/>
    <x v="23"/>
    <m/>
    <x v="7"/>
    <x v="337"/>
    <x v="4"/>
    <x v="3"/>
    <x v="1"/>
    <n v="160"/>
  </r>
  <r>
    <x v="740"/>
    <x v="29"/>
    <x v="23"/>
    <m/>
    <x v="9"/>
    <x v="67"/>
    <x v="2"/>
    <x v="6"/>
    <x v="1"/>
    <n v="501"/>
  </r>
  <r>
    <x v="741"/>
    <x v="18"/>
    <x v="23"/>
    <n v="40"/>
    <x v="35"/>
    <x v="15"/>
    <x v="8"/>
    <x v="3"/>
    <x v="1"/>
    <n v="35"/>
  </r>
  <r>
    <x v="741"/>
    <x v="18"/>
    <x v="23"/>
    <n v="119"/>
    <x v="57"/>
    <x v="338"/>
    <x v="29"/>
    <x v="3"/>
    <x v="1"/>
    <n v="35"/>
  </r>
  <r>
    <x v="742"/>
    <x v="21"/>
    <x v="3"/>
    <n v="250"/>
    <x v="20"/>
    <x v="129"/>
    <x v="14"/>
    <x v="6"/>
    <x v="9"/>
    <n v="95"/>
  </r>
  <r>
    <x v="743"/>
    <x v="10"/>
    <x v="2"/>
    <n v="50"/>
    <x v="13"/>
    <x v="93"/>
    <x v="2"/>
    <x v="4"/>
    <x v="0"/>
    <n v="300"/>
  </r>
  <r>
    <x v="743"/>
    <x v="10"/>
    <x v="2"/>
    <n v="70"/>
    <x v="11"/>
    <x v="14"/>
    <x v="3"/>
    <x v="4"/>
    <x v="0"/>
    <n v="300"/>
  </r>
  <r>
    <x v="743"/>
    <x v="10"/>
    <x v="2"/>
    <n v="400"/>
    <x v="8"/>
    <x v="19"/>
    <x v="4"/>
    <x v="4"/>
    <x v="0"/>
    <n v="300"/>
  </r>
  <r>
    <x v="744"/>
    <x v="43"/>
    <x v="20"/>
    <m/>
    <x v="3"/>
    <x v="67"/>
    <x v="2"/>
    <x v="5"/>
    <x v="18"/>
    <n v="1000"/>
  </r>
  <r>
    <x v="744"/>
    <x v="43"/>
    <x v="20"/>
    <n v="138"/>
    <x v="5"/>
    <x v="262"/>
    <x v="29"/>
    <x v="5"/>
    <x v="1"/>
    <n v="1000"/>
  </r>
  <r>
    <x v="744"/>
    <x v="43"/>
    <x v="20"/>
    <n v="242"/>
    <x v="57"/>
    <x v="60"/>
    <x v="1"/>
    <x v="5"/>
    <x v="18"/>
    <n v="1000"/>
  </r>
  <r>
    <x v="745"/>
    <x v="14"/>
    <x v="14"/>
    <m/>
    <x v="0"/>
    <x v="145"/>
    <x v="5"/>
    <x v="5"/>
    <x v="1"/>
    <n v="183"/>
  </r>
  <r>
    <x v="746"/>
    <x v="3"/>
    <x v="0"/>
    <m/>
    <x v="0"/>
    <x v="339"/>
    <x v="30"/>
    <x v="6"/>
    <x v="1"/>
    <n v="45"/>
  </r>
  <r>
    <x v="746"/>
    <x v="3"/>
    <x v="0"/>
    <n v="8"/>
    <x v="10"/>
    <x v="340"/>
    <x v="14"/>
    <x v="6"/>
    <x v="1"/>
    <n v="45"/>
  </r>
  <r>
    <x v="747"/>
    <x v="16"/>
    <x v="14"/>
    <n v="15"/>
    <x v="9"/>
    <x v="28"/>
    <x v="5"/>
    <x v="3"/>
    <x v="7"/>
    <n v="30"/>
  </r>
  <r>
    <x v="748"/>
    <x v="121"/>
    <x v="2"/>
    <n v="227"/>
    <x v="5"/>
    <x v="95"/>
    <x v="8"/>
    <x v="4"/>
    <x v="3"/>
    <n v="127"/>
  </r>
  <r>
    <x v="749"/>
    <x v="1"/>
    <x v="3"/>
    <n v="95"/>
    <x v="4"/>
    <x v="227"/>
    <x v="0"/>
    <x v="1"/>
    <x v="1"/>
    <n v="613"/>
  </r>
  <r>
    <x v="749"/>
    <x v="1"/>
    <x v="3"/>
    <n v="155"/>
    <x v="10"/>
    <x v="179"/>
    <x v="5"/>
    <x v="1"/>
    <x v="1"/>
    <n v="613"/>
  </r>
  <r>
    <x v="750"/>
    <x v="25"/>
    <x v="22"/>
    <m/>
    <x v="0"/>
    <x v="341"/>
    <x v="3"/>
    <x v="3"/>
    <x v="13"/>
    <n v="43"/>
  </r>
  <r>
    <x v="751"/>
    <x v="35"/>
    <x v="26"/>
    <n v="100"/>
    <x v="0"/>
    <x v="342"/>
    <x v="12"/>
    <x v="0"/>
    <x v="17"/>
    <n v="4200"/>
  </r>
  <r>
    <x v="752"/>
    <x v="67"/>
    <x v="26"/>
    <m/>
    <x v="0"/>
    <x v="307"/>
    <x v="8"/>
    <x v="6"/>
    <x v="23"/>
    <m/>
  </r>
  <r>
    <x v="753"/>
    <x v="0"/>
    <x v="4"/>
    <n v="45"/>
    <x v="20"/>
    <x v="343"/>
    <x v="24"/>
    <x v="3"/>
    <x v="0"/>
    <n v="61"/>
  </r>
  <r>
    <x v="754"/>
    <x v="1"/>
    <x v="23"/>
    <m/>
    <x v="20"/>
    <x v="159"/>
    <x v="16"/>
    <x v="2"/>
    <x v="1"/>
    <n v="13"/>
  </r>
  <r>
    <x v="755"/>
    <x v="1"/>
    <x v="2"/>
    <n v="45"/>
    <x v="5"/>
    <x v="42"/>
    <x v="1"/>
    <x v="3"/>
    <x v="1"/>
    <n v="153"/>
  </r>
  <r>
    <x v="755"/>
    <x v="1"/>
    <x v="20"/>
    <n v="115"/>
    <x v="46"/>
    <x v="198"/>
    <x v="3"/>
    <x v="3"/>
    <x v="1"/>
    <n v="153"/>
  </r>
  <r>
    <x v="756"/>
    <x v="14"/>
    <x v="2"/>
    <n v="500"/>
    <x v="11"/>
    <x v="108"/>
    <x v="3"/>
    <x v="0"/>
    <x v="1"/>
    <n v="100"/>
  </r>
  <r>
    <x v="757"/>
    <x v="4"/>
    <x v="11"/>
    <n v="47"/>
    <x v="0"/>
    <x v="344"/>
    <x v="28"/>
    <x v="7"/>
    <x v="1"/>
    <n v="37"/>
  </r>
  <r>
    <x v="758"/>
    <x v="43"/>
    <x v="0"/>
    <m/>
    <x v="0"/>
    <x v="345"/>
    <x v="16"/>
    <x v="10"/>
    <x v="18"/>
    <n v="2"/>
  </r>
  <r>
    <x v="759"/>
    <x v="1"/>
    <x v="11"/>
    <n v="10"/>
    <x v="0"/>
    <x v="330"/>
    <x v="15"/>
    <x v="7"/>
    <x v="1"/>
    <n v="4"/>
  </r>
  <r>
    <x v="760"/>
    <x v="1"/>
    <x v="19"/>
    <n v="26"/>
    <x v="0"/>
    <x v="7"/>
    <x v="5"/>
    <x v="3"/>
    <x v="1"/>
    <n v="40"/>
  </r>
  <r>
    <x v="761"/>
    <x v="17"/>
    <x v="19"/>
    <n v="30"/>
    <x v="0"/>
    <x v="31"/>
    <x v="6"/>
    <x v="11"/>
    <x v="8"/>
    <n v="6"/>
  </r>
  <r>
    <x v="762"/>
    <x v="122"/>
    <x v="5"/>
    <n v="275"/>
    <x v="7"/>
    <x v="121"/>
    <x v="3"/>
    <x v="6"/>
    <x v="23"/>
    <n v="2"/>
  </r>
  <r>
    <x v="762"/>
    <x v="122"/>
    <x v="5"/>
    <n v="300"/>
    <x v="8"/>
    <x v="168"/>
    <x v="6"/>
    <x v="6"/>
    <x v="23"/>
    <n v="2"/>
  </r>
  <r>
    <x v="763"/>
    <x v="14"/>
    <x v="28"/>
    <m/>
    <x v="46"/>
    <x v="294"/>
    <x v="1"/>
    <x v="5"/>
    <x v="1"/>
    <n v="269"/>
  </r>
  <r>
    <x v="763"/>
    <x v="14"/>
    <x v="28"/>
    <n v="30"/>
    <x v="0"/>
    <x v="198"/>
    <x v="3"/>
    <x v="5"/>
    <x v="1"/>
    <n v="269"/>
  </r>
  <r>
    <x v="764"/>
    <x v="4"/>
    <x v="13"/>
    <n v="100"/>
    <x v="9"/>
    <x v="346"/>
    <x v="13"/>
    <x v="1"/>
    <x v="1"/>
    <n v="289"/>
  </r>
  <r>
    <x v="765"/>
    <x v="42"/>
    <x v="26"/>
    <m/>
    <x v="0"/>
    <x v="198"/>
    <x v="3"/>
    <x v="6"/>
    <x v="1"/>
    <n v="21"/>
  </r>
  <r>
    <x v="766"/>
    <x v="4"/>
    <x v="26"/>
    <n v="3900"/>
    <x v="12"/>
    <x v="205"/>
    <x v="3"/>
    <x v="0"/>
    <x v="1"/>
    <m/>
  </r>
  <r>
    <x v="767"/>
    <x v="26"/>
    <x v="4"/>
    <n v="87"/>
    <x v="6"/>
    <x v="98"/>
    <x v="5"/>
    <x v="5"/>
    <x v="1"/>
    <n v="85"/>
  </r>
  <r>
    <x v="768"/>
    <x v="9"/>
    <x v="30"/>
    <m/>
    <x v="0"/>
    <x v="198"/>
    <x v="3"/>
    <x v="6"/>
    <x v="1"/>
    <n v="521"/>
  </r>
  <r>
    <x v="769"/>
    <x v="29"/>
    <x v="27"/>
    <m/>
    <x v="0"/>
    <x v="163"/>
    <x v="3"/>
    <x v="3"/>
    <x v="1"/>
    <n v="451"/>
  </r>
  <r>
    <x v="770"/>
    <x v="6"/>
    <x v="22"/>
    <n v="130"/>
    <x v="0"/>
    <x v="144"/>
    <x v="6"/>
    <x v="6"/>
    <x v="1"/>
    <n v="275"/>
  </r>
  <r>
    <x v="771"/>
    <x v="9"/>
    <x v="4"/>
    <n v="40"/>
    <x v="0"/>
    <x v="156"/>
    <x v="17"/>
    <x v="2"/>
    <x v="1"/>
    <n v="7"/>
  </r>
  <r>
    <x v="772"/>
    <x v="123"/>
    <x v="28"/>
    <m/>
    <x v="0"/>
    <x v="347"/>
    <x v="21"/>
    <x v="10"/>
    <x v="1"/>
    <n v="200"/>
  </r>
  <r>
    <x v="772"/>
    <x v="123"/>
    <x v="28"/>
    <m/>
    <x v="0"/>
    <x v="348"/>
    <x v="29"/>
    <x v="10"/>
    <x v="1"/>
    <n v="200"/>
  </r>
  <r>
    <x v="772"/>
    <x v="123"/>
    <x v="28"/>
    <n v="300"/>
    <x v="7"/>
    <x v="203"/>
    <x v="2"/>
    <x v="10"/>
    <x v="1"/>
    <n v="200"/>
  </r>
  <r>
    <x v="773"/>
    <x v="82"/>
    <x v="3"/>
    <n v="50"/>
    <x v="5"/>
    <x v="349"/>
    <x v="5"/>
    <x v="6"/>
    <x v="32"/>
    <n v="348"/>
  </r>
  <r>
    <x v="774"/>
    <x v="5"/>
    <x v="9"/>
    <n v="355"/>
    <x v="1"/>
    <x v="243"/>
    <x v="9"/>
    <x v="15"/>
    <x v="3"/>
    <n v="2100"/>
  </r>
  <r>
    <x v="775"/>
    <x v="9"/>
    <x v="13"/>
    <m/>
    <x v="0"/>
    <x v="178"/>
    <x v="20"/>
    <x v="4"/>
    <x v="1"/>
    <n v="67"/>
  </r>
  <r>
    <x v="776"/>
    <x v="1"/>
    <x v="5"/>
    <m/>
    <x v="31"/>
    <x v="60"/>
    <x v="1"/>
    <x v="2"/>
    <x v="1"/>
    <n v="9"/>
  </r>
  <r>
    <x v="777"/>
    <x v="7"/>
    <x v="12"/>
    <m/>
    <x v="10"/>
    <x v="234"/>
    <x v="3"/>
    <x v="4"/>
    <x v="4"/>
    <n v="74"/>
  </r>
  <r>
    <x v="778"/>
    <x v="1"/>
    <x v="0"/>
    <n v="10"/>
    <x v="23"/>
    <x v="48"/>
    <x v="5"/>
    <x v="2"/>
    <x v="1"/>
    <n v="52"/>
  </r>
  <r>
    <x v="779"/>
    <x v="78"/>
    <x v="1"/>
    <n v="500"/>
    <x v="13"/>
    <x v="203"/>
    <x v="2"/>
    <x v="0"/>
    <x v="1"/>
    <n v="28"/>
  </r>
  <r>
    <x v="780"/>
    <x v="119"/>
    <x v="22"/>
    <n v="38"/>
    <x v="10"/>
    <x v="292"/>
    <x v="4"/>
    <x v="4"/>
    <x v="18"/>
    <n v="123"/>
  </r>
  <r>
    <x v="781"/>
    <x v="7"/>
    <x v="5"/>
    <m/>
    <x v="33"/>
    <x v="89"/>
    <x v="12"/>
    <x v="4"/>
    <x v="4"/>
    <n v="279"/>
  </r>
  <r>
    <x v="781"/>
    <x v="7"/>
    <x v="5"/>
    <n v="20"/>
    <x v="1"/>
    <x v="282"/>
    <x v="1"/>
    <x v="4"/>
    <x v="4"/>
    <n v="279"/>
  </r>
  <r>
    <x v="782"/>
    <x v="3"/>
    <x v="2"/>
    <m/>
    <x v="10"/>
    <x v="314"/>
    <x v="4"/>
    <x v="10"/>
    <x v="1"/>
    <n v="361"/>
  </r>
  <r>
    <x v="783"/>
    <x v="43"/>
    <x v="14"/>
    <n v="30"/>
    <x v="46"/>
    <x v="8"/>
    <x v="6"/>
    <x v="3"/>
    <x v="18"/>
    <n v="32"/>
  </r>
  <r>
    <x v="784"/>
    <x v="1"/>
    <x v="9"/>
    <m/>
    <x v="0"/>
    <x v="350"/>
    <x v="26"/>
    <x v="5"/>
    <x v="1"/>
    <n v="229"/>
  </r>
  <r>
    <x v="784"/>
    <x v="1"/>
    <x v="9"/>
    <n v="50"/>
    <x v="0"/>
    <x v="233"/>
    <x v="1"/>
    <x v="5"/>
    <x v="1"/>
    <n v="229"/>
  </r>
  <r>
    <x v="785"/>
    <x v="1"/>
    <x v="9"/>
    <n v="50"/>
    <x v="1"/>
    <x v="105"/>
    <x v="8"/>
    <x v="12"/>
    <x v="1"/>
    <n v="1900"/>
  </r>
  <r>
    <x v="786"/>
    <x v="1"/>
    <x v="9"/>
    <n v="140"/>
    <x v="7"/>
    <x v="96"/>
    <x v="3"/>
    <x v="12"/>
    <x v="1"/>
    <n v="1900"/>
  </r>
  <r>
    <x v="787"/>
    <x v="43"/>
    <x v="20"/>
    <m/>
    <x v="10"/>
    <x v="0"/>
    <x v="0"/>
    <x v="6"/>
    <x v="18"/>
    <n v="704"/>
  </r>
  <r>
    <x v="788"/>
    <x v="1"/>
    <x v="1"/>
    <n v="9"/>
    <x v="24"/>
    <x v="22"/>
    <x v="5"/>
    <x v="2"/>
    <x v="1"/>
    <n v="15"/>
  </r>
  <r>
    <x v="789"/>
    <x v="7"/>
    <x v="12"/>
    <n v="40"/>
    <x v="3"/>
    <x v="282"/>
    <x v="1"/>
    <x v="3"/>
    <x v="4"/>
    <n v="41"/>
  </r>
  <r>
    <x v="790"/>
    <x v="14"/>
    <x v="20"/>
    <m/>
    <x v="0"/>
    <x v="21"/>
    <x v="9"/>
    <x v="8"/>
    <x v="1"/>
    <n v="1200"/>
  </r>
  <r>
    <x v="790"/>
    <x v="14"/>
    <x v="20"/>
    <n v="80"/>
    <x v="0"/>
    <x v="351"/>
    <x v="24"/>
    <x v="8"/>
    <x v="1"/>
    <n v="1200"/>
  </r>
  <r>
    <x v="791"/>
    <x v="4"/>
    <x v="23"/>
    <n v="90"/>
    <x v="7"/>
    <x v="7"/>
    <x v="5"/>
    <x v="5"/>
    <x v="1"/>
    <n v="222"/>
  </r>
  <r>
    <x v="792"/>
    <x v="16"/>
    <x v="20"/>
    <n v="50"/>
    <x v="13"/>
    <x v="151"/>
    <x v="7"/>
    <x v="5"/>
    <x v="7"/>
    <n v="604"/>
  </r>
  <r>
    <x v="792"/>
    <x v="16"/>
    <x v="20"/>
    <n v="500"/>
    <x v="31"/>
    <x v="50"/>
    <x v="2"/>
    <x v="5"/>
    <x v="7"/>
    <n v="604"/>
  </r>
  <r>
    <x v="793"/>
    <x v="0"/>
    <x v="2"/>
    <m/>
    <x v="0"/>
    <x v="147"/>
    <x v="5"/>
    <x v="6"/>
    <x v="0"/>
    <n v="59"/>
  </r>
  <r>
    <x v="794"/>
    <x v="1"/>
    <x v="13"/>
    <n v="65"/>
    <x v="27"/>
    <x v="119"/>
    <x v="2"/>
    <x v="5"/>
    <x v="1"/>
    <n v="119"/>
  </r>
  <r>
    <x v="795"/>
    <x v="43"/>
    <x v="20"/>
    <m/>
    <x v="0"/>
    <x v="67"/>
    <x v="2"/>
    <x v="2"/>
    <x v="18"/>
    <n v="15"/>
  </r>
  <r>
    <x v="796"/>
    <x v="1"/>
    <x v="13"/>
    <n v="450"/>
    <x v="11"/>
    <x v="5"/>
    <x v="3"/>
    <x v="0"/>
    <x v="1"/>
    <m/>
  </r>
  <r>
    <x v="797"/>
    <x v="43"/>
    <x v="22"/>
    <n v="20"/>
    <x v="5"/>
    <x v="104"/>
    <x v="8"/>
    <x v="3"/>
    <x v="18"/>
    <n v="88"/>
  </r>
  <r>
    <x v="798"/>
    <x v="60"/>
    <x v="2"/>
    <n v="50"/>
    <x v="0"/>
    <x v="169"/>
    <x v="3"/>
    <x v="6"/>
    <x v="6"/>
    <n v="320"/>
  </r>
  <r>
    <x v="799"/>
    <x v="1"/>
    <x v="1"/>
    <n v="90"/>
    <x v="4"/>
    <x v="9"/>
    <x v="7"/>
    <x v="1"/>
    <x v="1"/>
    <n v="379"/>
  </r>
  <r>
    <x v="799"/>
    <x v="1"/>
    <x v="1"/>
    <n v="245"/>
    <x v="6"/>
    <x v="163"/>
    <x v="3"/>
    <x v="1"/>
    <x v="1"/>
    <n v="379"/>
  </r>
  <r>
    <x v="800"/>
    <x v="4"/>
    <x v="2"/>
    <n v="40"/>
    <x v="10"/>
    <x v="169"/>
    <x v="3"/>
    <x v="0"/>
    <x v="1"/>
    <n v="295"/>
  </r>
  <r>
    <x v="801"/>
    <x v="46"/>
    <x v="1"/>
    <n v="43"/>
    <x v="0"/>
    <x v="44"/>
    <x v="0"/>
    <x v="1"/>
    <x v="1"/>
    <n v="459"/>
  </r>
  <r>
    <x v="802"/>
    <x v="9"/>
    <x v="23"/>
    <m/>
    <x v="0"/>
    <x v="50"/>
    <x v="2"/>
    <x v="2"/>
    <x v="1"/>
    <n v="11"/>
  </r>
  <r>
    <x v="803"/>
    <x v="26"/>
    <x v="14"/>
    <n v="109"/>
    <x v="5"/>
    <x v="14"/>
    <x v="3"/>
    <x v="0"/>
    <x v="1"/>
    <n v="179"/>
  </r>
  <r>
    <x v="803"/>
    <x v="26"/>
    <x v="14"/>
    <n v="130"/>
    <x v="29"/>
    <x v="334"/>
    <x v="14"/>
    <x v="4"/>
    <x v="1"/>
    <n v="79"/>
  </r>
  <r>
    <x v="804"/>
    <x v="1"/>
    <x v="9"/>
    <m/>
    <x v="0"/>
    <x v="352"/>
    <x v="7"/>
    <x v="6"/>
    <x v="1"/>
    <n v="2900"/>
  </r>
  <r>
    <x v="804"/>
    <x v="1"/>
    <x v="9"/>
    <n v="1877"/>
    <x v="0"/>
    <x v="353"/>
    <x v="19"/>
    <x v="6"/>
    <x v="1"/>
    <n v="2400"/>
  </r>
  <r>
    <x v="805"/>
    <x v="60"/>
    <x v="12"/>
    <n v="6"/>
    <x v="1"/>
    <x v="7"/>
    <x v="5"/>
    <x v="6"/>
    <x v="6"/>
    <n v="8"/>
  </r>
  <r>
    <x v="806"/>
    <x v="18"/>
    <x v="6"/>
    <n v="150"/>
    <x v="5"/>
    <x v="289"/>
    <x v="10"/>
    <x v="7"/>
    <x v="1"/>
    <n v="89"/>
  </r>
  <r>
    <x v="807"/>
    <x v="1"/>
    <x v="30"/>
    <n v="45"/>
    <x v="13"/>
    <x v="37"/>
    <x v="10"/>
    <x v="10"/>
    <x v="1"/>
    <m/>
  </r>
  <r>
    <x v="808"/>
    <x v="4"/>
    <x v="2"/>
    <n v="70"/>
    <x v="10"/>
    <x v="256"/>
    <x v="10"/>
    <x v="7"/>
    <x v="1"/>
    <n v="116"/>
  </r>
  <r>
    <x v="808"/>
    <x v="4"/>
    <x v="2"/>
    <n v="120"/>
    <x v="35"/>
    <x v="227"/>
    <x v="0"/>
    <x v="7"/>
    <x v="1"/>
    <n v="116"/>
  </r>
  <r>
    <x v="809"/>
    <x v="0"/>
    <x v="10"/>
    <n v="26"/>
    <x v="0"/>
    <x v="354"/>
    <x v="18"/>
    <x v="6"/>
    <x v="0"/>
    <n v="40"/>
  </r>
  <r>
    <x v="810"/>
    <x v="1"/>
    <x v="26"/>
    <n v="201"/>
    <x v="0"/>
    <x v="32"/>
    <x v="0"/>
    <x v="0"/>
    <x v="1"/>
    <n v="12"/>
  </r>
  <r>
    <x v="810"/>
    <x v="1"/>
    <x v="26"/>
    <n v="343"/>
    <x v="0"/>
    <x v="96"/>
    <x v="3"/>
    <x v="0"/>
    <x v="1"/>
    <n v="12"/>
  </r>
  <r>
    <x v="811"/>
    <x v="1"/>
    <x v="10"/>
    <n v="39"/>
    <x v="1"/>
    <x v="355"/>
    <x v="10"/>
    <x v="5"/>
    <x v="1"/>
    <n v="240"/>
  </r>
  <r>
    <x v="811"/>
    <x v="1"/>
    <x v="10"/>
    <n v="49"/>
    <x v="13"/>
    <x v="270"/>
    <x v="7"/>
    <x v="5"/>
    <x v="1"/>
    <n v="240"/>
  </r>
  <r>
    <x v="811"/>
    <x v="1"/>
    <x v="10"/>
    <n v="124"/>
    <x v="35"/>
    <x v="203"/>
    <x v="2"/>
    <x v="5"/>
    <x v="1"/>
    <n v="240"/>
  </r>
  <r>
    <x v="812"/>
    <x v="0"/>
    <x v="17"/>
    <n v="19"/>
    <x v="33"/>
    <x v="134"/>
    <x v="10"/>
    <x v="7"/>
    <x v="0"/>
    <m/>
  </r>
  <r>
    <x v="813"/>
    <x v="1"/>
    <x v="20"/>
    <n v="40"/>
    <x v="7"/>
    <x v="209"/>
    <x v="3"/>
    <x v="7"/>
    <x v="1"/>
    <m/>
  </r>
  <r>
    <x v="814"/>
    <x v="124"/>
    <x v="8"/>
    <n v="57"/>
    <x v="14"/>
    <x v="87"/>
    <x v="1"/>
    <x v="4"/>
    <x v="0"/>
    <n v="125"/>
  </r>
  <r>
    <x v="815"/>
    <x v="1"/>
    <x v="12"/>
    <n v="715"/>
    <x v="11"/>
    <x v="356"/>
    <x v="18"/>
    <x v="0"/>
    <x v="1"/>
    <n v="18"/>
  </r>
  <r>
    <x v="816"/>
    <x v="4"/>
    <x v="17"/>
    <m/>
    <x v="0"/>
    <x v="357"/>
    <x v="30"/>
    <x v="8"/>
    <x v="1"/>
    <n v="350"/>
  </r>
  <r>
    <x v="816"/>
    <x v="4"/>
    <x v="17"/>
    <m/>
    <x v="31"/>
    <x v="16"/>
    <x v="1"/>
    <x v="8"/>
    <x v="1"/>
    <n v="356"/>
  </r>
  <r>
    <x v="816"/>
    <x v="4"/>
    <x v="17"/>
    <n v="22"/>
    <x v="0"/>
    <x v="358"/>
    <x v="32"/>
    <x v="6"/>
    <x v="1"/>
    <n v="356"/>
  </r>
  <r>
    <x v="817"/>
    <x v="1"/>
    <x v="1"/>
    <n v="1000"/>
    <x v="0"/>
    <x v="200"/>
    <x v="1"/>
    <x v="0"/>
    <x v="1"/>
    <n v="2000"/>
  </r>
  <r>
    <x v="818"/>
    <x v="125"/>
    <x v="4"/>
    <n v="70"/>
    <x v="26"/>
    <x v="4"/>
    <x v="1"/>
    <x v="6"/>
    <x v="3"/>
    <n v="23"/>
  </r>
  <r>
    <x v="819"/>
    <x v="82"/>
    <x v="4"/>
    <n v="50"/>
    <x v="7"/>
    <x v="359"/>
    <x v="6"/>
    <x v="6"/>
    <x v="32"/>
    <n v="26"/>
  </r>
  <r>
    <x v="820"/>
    <x v="4"/>
    <x v="9"/>
    <n v="9"/>
    <x v="31"/>
    <x v="161"/>
    <x v="14"/>
    <x v="11"/>
    <x v="1"/>
    <n v="15"/>
  </r>
  <r>
    <x v="821"/>
    <x v="1"/>
    <x v="3"/>
    <n v="25"/>
    <x v="9"/>
    <x v="201"/>
    <x v="6"/>
    <x v="4"/>
    <x v="1"/>
    <n v="197"/>
  </r>
  <r>
    <x v="822"/>
    <x v="14"/>
    <x v="3"/>
    <n v="85"/>
    <x v="11"/>
    <x v="212"/>
    <x v="12"/>
    <x v="7"/>
    <x v="1"/>
    <n v="30"/>
  </r>
  <r>
    <x v="822"/>
    <x v="14"/>
    <x v="3"/>
    <n v="140"/>
    <x v="10"/>
    <x v="360"/>
    <x v="4"/>
    <x v="7"/>
    <x v="1"/>
    <n v="30"/>
  </r>
  <r>
    <x v="823"/>
    <x v="1"/>
    <x v="9"/>
    <n v="50"/>
    <x v="31"/>
    <x v="148"/>
    <x v="2"/>
    <x v="4"/>
    <x v="1"/>
    <n v="103"/>
  </r>
  <r>
    <x v="824"/>
    <x v="6"/>
    <x v="22"/>
    <n v="55"/>
    <x v="3"/>
    <x v="125"/>
    <x v="6"/>
    <x v="0"/>
    <x v="1"/>
    <n v="410"/>
  </r>
  <r>
    <x v="824"/>
    <x v="6"/>
    <x v="22"/>
    <n v="90"/>
    <x v="46"/>
    <x v="125"/>
    <x v="6"/>
    <x v="0"/>
    <x v="1"/>
    <n v="410"/>
  </r>
  <r>
    <x v="825"/>
    <x v="3"/>
    <x v="3"/>
    <n v="200"/>
    <x v="3"/>
    <x v="6"/>
    <x v="4"/>
    <x v="6"/>
    <x v="1"/>
    <n v="652"/>
  </r>
  <r>
    <x v="826"/>
    <x v="13"/>
    <x v="17"/>
    <n v="12"/>
    <x v="13"/>
    <x v="235"/>
    <x v="14"/>
    <x v="6"/>
    <x v="1"/>
    <n v="233"/>
  </r>
  <r>
    <x v="827"/>
    <x v="24"/>
    <x v="4"/>
    <n v="200"/>
    <x v="8"/>
    <x v="224"/>
    <x v="0"/>
    <x v="0"/>
    <x v="12"/>
    <n v="5100"/>
  </r>
  <r>
    <x v="828"/>
    <x v="14"/>
    <x v="17"/>
    <m/>
    <x v="2"/>
    <x v="88"/>
    <x v="3"/>
    <x v="4"/>
    <x v="1"/>
    <n v="114"/>
  </r>
  <r>
    <x v="829"/>
    <x v="4"/>
    <x v="11"/>
    <m/>
    <x v="4"/>
    <x v="170"/>
    <x v="6"/>
    <x v="4"/>
    <x v="1"/>
    <n v="22"/>
  </r>
  <r>
    <x v="829"/>
    <x v="51"/>
    <x v="11"/>
    <n v="208"/>
    <x v="0"/>
    <x v="136"/>
    <x v="12"/>
    <x v="4"/>
    <x v="20"/>
    <n v="22"/>
  </r>
  <r>
    <x v="830"/>
    <x v="9"/>
    <x v="23"/>
    <m/>
    <x v="20"/>
    <x v="45"/>
    <x v="6"/>
    <x v="3"/>
    <x v="1"/>
    <n v="44"/>
  </r>
  <r>
    <x v="830"/>
    <x v="9"/>
    <x v="23"/>
    <n v="20"/>
    <x v="7"/>
    <x v="114"/>
    <x v="5"/>
    <x v="2"/>
    <x v="1"/>
    <n v="24"/>
  </r>
  <r>
    <x v="831"/>
    <x v="4"/>
    <x v="12"/>
    <n v="35"/>
    <x v="24"/>
    <x v="57"/>
    <x v="5"/>
    <x v="3"/>
    <x v="1"/>
    <n v="40"/>
  </r>
  <r>
    <x v="832"/>
    <x v="109"/>
    <x v="20"/>
    <n v="50"/>
    <x v="14"/>
    <x v="83"/>
    <x v="2"/>
    <x v="6"/>
    <x v="7"/>
    <n v="28"/>
  </r>
  <r>
    <x v="833"/>
    <x v="15"/>
    <x v="3"/>
    <n v="6"/>
    <x v="17"/>
    <x v="28"/>
    <x v="5"/>
    <x v="6"/>
    <x v="1"/>
    <n v="12"/>
  </r>
  <r>
    <x v="834"/>
    <x v="14"/>
    <x v="21"/>
    <n v="39"/>
    <x v="7"/>
    <x v="7"/>
    <x v="5"/>
    <x v="10"/>
    <x v="1"/>
    <n v="118"/>
  </r>
  <r>
    <x v="835"/>
    <x v="4"/>
    <x v="9"/>
    <n v="50"/>
    <x v="13"/>
    <x v="228"/>
    <x v="6"/>
    <x v="3"/>
    <x v="1"/>
    <n v="430"/>
  </r>
  <r>
    <x v="836"/>
    <x v="14"/>
    <x v="1"/>
    <m/>
    <x v="51"/>
    <x v="89"/>
    <x v="12"/>
    <x v="7"/>
    <x v="1"/>
    <n v="194"/>
  </r>
  <r>
    <x v="837"/>
    <x v="69"/>
    <x v="4"/>
    <n v="900"/>
    <x v="7"/>
    <x v="271"/>
    <x v="2"/>
    <x v="0"/>
    <x v="14"/>
    <n v="1200"/>
  </r>
  <r>
    <x v="838"/>
    <x v="1"/>
    <x v="22"/>
    <n v="100"/>
    <x v="1"/>
    <x v="209"/>
    <x v="3"/>
    <x v="10"/>
    <x v="1"/>
    <n v="205"/>
  </r>
  <r>
    <x v="839"/>
    <x v="4"/>
    <x v="0"/>
    <n v="500"/>
    <x v="20"/>
    <x v="49"/>
    <x v="10"/>
    <x v="7"/>
    <x v="1"/>
    <n v="11"/>
  </r>
  <r>
    <x v="840"/>
    <x v="46"/>
    <x v="22"/>
    <n v="100"/>
    <x v="5"/>
    <x v="14"/>
    <x v="3"/>
    <x v="8"/>
    <x v="1"/>
    <n v="416"/>
  </r>
  <r>
    <x v="841"/>
    <x v="126"/>
    <x v="12"/>
    <n v="72"/>
    <x v="37"/>
    <x v="2"/>
    <x v="2"/>
    <x v="6"/>
    <x v="5"/>
    <n v="281"/>
  </r>
  <r>
    <x v="842"/>
    <x v="44"/>
    <x v="2"/>
    <m/>
    <x v="0"/>
    <x v="222"/>
    <x v="2"/>
    <x v="7"/>
    <x v="1"/>
    <m/>
  </r>
  <r>
    <x v="843"/>
    <x v="1"/>
    <x v="23"/>
    <m/>
    <x v="23"/>
    <x v="175"/>
    <x v="7"/>
    <x v="4"/>
    <x v="1"/>
    <n v="108"/>
  </r>
  <r>
    <x v="844"/>
    <x v="70"/>
    <x v="9"/>
    <n v="390"/>
    <x v="0"/>
    <x v="87"/>
    <x v="1"/>
    <x v="0"/>
    <x v="28"/>
    <n v="2800"/>
  </r>
  <r>
    <x v="845"/>
    <x v="1"/>
    <x v="3"/>
    <n v="400"/>
    <x v="8"/>
    <x v="119"/>
    <x v="2"/>
    <x v="6"/>
    <x v="1"/>
    <n v="1500"/>
  </r>
  <r>
    <x v="845"/>
    <x v="1"/>
    <x v="3"/>
    <n v="900"/>
    <x v="8"/>
    <x v="40"/>
    <x v="10"/>
    <x v="6"/>
    <x v="1"/>
    <n v="1500"/>
  </r>
  <r>
    <x v="846"/>
    <x v="1"/>
    <x v="3"/>
    <n v="35"/>
    <x v="11"/>
    <x v="72"/>
    <x v="2"/>
    <x v="7"/>
    <x v="1"/>
    <n v="244"/>
  </r>
  <r>
    <x v="847"/>
    <x v="4"/>
    <x v="11"/>
    <m/>
    <x v="10"/>
    <x v="19"/>
    <x v="4"/>
    <x v="0"/>
    <x v="1"/>
    <n v="166"/>
  </r>
  <r>
    <x v="847"/>
    <x v="4"/>
    <x v="11"/>
    <n v="75"/>
    <x v="33"/>
    <x v="66"/>
    <x v="3"/>
    <x v="0"/>
    <x v="1"/>
    <n v="166"/>
  </r>
  <r>
    <x v="848"/>
    <x v="3"/>
    <x v="3"/>
    <m/>
    <x v="20"/>
    <x v="69"/>
    <x v="9"/>
    <x v="7"/>
    <x v="1"/>
    <m/>
  </r>
  <r>
    <x v="849"/>
    <x v="78"/>
    <x v="20"/>
    <m/>
    <x v="3"/>
    <x v="2"/>
    <x v="2"/>
    <x v="4"/>
    <x v="1"/>
    <n v="188"/>
  </r>
  <r>
    <x v="850"/>
    <x v="127"/>
    <x v="3"/>
    <m/>
    <x v="20"/>
    <x v="201"/>
    <x v="6"/>
    <x v="3"/>
    <x v="1"/>
    <n v="17"/>
  </r>
  <r>
    <x v="851"/>
    <x v="51"/>
    <x v="0"/>
    <m/>
    <x v="0"/>
    <x v="260"/>
    <x v="10"/>
    <x v="7"/>
    <x v="20"/>
    <n v="100"/>
  </r>
  <r>
    <x v="852"/>
    <x v="9"/>
    <x v="19"/>
    <n v="47"/>
    <x v="0"/>
    <x v="117"/>
    <x v="3"/>
    <x v="6"/>
    <x v="1"/>
    <n v="169"/>
  </r>
  <r>
    <x v="853"/>
    <x v="1"/>
    <x v="20"/>
    <m/>
    <x v="15"/>
    <x v="247"/>
    <x v="7"/>
    <x v="3"/>
    <x v="1"/>
    <n v="91"/>
  </r>
  <r>
    <x v="854"/>
    <x v="1"/>
    <x v="27"/>
    <n v="240"/>
    <x v="16"/>
    <x v="7"/>
    <x v="5"/>
    <x v="5"/>
    <x v="1"/>
    <n v="1200"/>
  </r>
  <r>
    <x v="854"/>
    <x v="1"/>
    <x v="27"/>
    <n v="400"/>
    <x v="11"/>
    <x v="91"/>
    <x v="18"/>
    <x v="1"/>
    <x v="1"/>
    <n v="1300"/>
  </r>
  <r>
    <x v="854"/>
    <x v="1"/>
    <x v="27"/>
    <n v="2434"/>
    <x v="20"/>
    <x v="361"/>
    <x v="33"/>
    <x v="6"/>
    <x v="1"/>
    <n v="1600"/>
  </r>
  <r>
    <x v="855"/>
    <x v="5"/>
    <x v="0"/>
    <m/>
    <x v="0"/>
    <x v="199"/>
    <x v="2"/>
    <x v="1"/>
    <x v="3"/>
    <n v="1600"/>
  </r>
  <r>
    <x v="855"/>
    <x v="5"/>
    <x v="0"/>
    <n v="150"/>
    <x v="0"/>
    <x v="359"/>
    <x v="6"/>
    <x v="1"/>
    <x v="3"/>
    <n v="1600"/>
  </r>
  <r>
    <x v="856"/>
    <x v="100"/>
    <x v="14"/>
    <n v="160"/>
    <x v="4"/>
    <x v="362"/>
    <x v="5"/>
    <x v="7"/>
    <x v="1"/>
    <n v="229"/>
  </r>
  <r>
    <x v="857"/>
    <x v="29"/>
    <x v="19"/>
    <m/>
    <x v="46"/>
    <x v="30"/>
    <x v="14"/>
    <x v="2"/>
    <x v="1"/>
    <n v="8"/>
  </r>
  <r>
    <x v="858"/>
    <x v="9"/>
    <x v="23"/>
    <m/>
    <x v="0"/>
    <x v="56"/>
    <x v="6"/>
    <x v="6"/>
    <x v="1"/>
    <n v="6"/>
  </r>
  <r>
    <x v="859"/>
    <x v="1"/>
    <x v="15"/>
    <n v="349"/>
    <x v="26"/>
    <x v="30"/>
    <x v="14"/>
    <x v="5"/>
    <x v="1"/>
    <n v="227"/>
  </r>
  <r>
    <x v="860"/>
    <x v="5"/>
    <x v="21"/>
    <n v="18"/>
    <x v="14"/>
    <x v="185"/>
    <x v="5"/>
    <x v="6"/>
    <x v="3"/>
    <n v="23"/>
  </r>
  <r>
    <x v="861"/>
    <x v="29"/>
    <x v="8"/>
    <n v="120"/>
    <x v="10"/>
    <x v="295"/>
    <x v="8"/>
    <x v="10"/>
    <x v="1"/>
    <n v="138"/>
  </r>
  <r>
    <x v="862"/>
    <x v="1"/>
    <x v="23"/>
    <n v="39"/>
    <x v="11"/>
    <x v="64"/>
    <x v="1"/>
    <x v="1"/>
    <x v="1"/>
    <n v="240"/>
  </r>
  <r>
    <x v="863"/>
    <x v="4"/>
    <x v="12"/>
    <n v="25"/>
    <x v="26"/>
    <x v="134"/>
    <x v="10"/>
    <x v="6"/>
    <x v="1"/>
    <n v="10"/>
  </r>
  <r>
    <x v="864"/>
    <x v="7"/>
    <x v="20"/>
    <n v="8"/>
    <x v="40"/>
    <x v="304"/>
    <x v="12"/>
    <x v="11"/>
    <x v="4"/>
    <n v="10"/>
  </r>
  <r>
    <x v="865"/>
    <x v="1"/>
    <x v="17"/>
    <m/>
    <x v="20"/>
    <x v="67"/>
    <x v="2"/>
    <x v="2"/>
    <x v="1"/>
    <n v="21"/>
  </r>
  <r>
    <x v="866"/>
    <x v="50"/>
    <x v="9"/>
    <n v="93"/>
    <x v="10"/>
    <x v="271"/>
    <x v="2"/>
    <x v="4"/>
    <x v="1"/>
    <n v="804"/>
  </r>
  <r>
    <x v="866"/>
    <x v="4"/>
    <x v="9"/>
    <n v="124"/>
    <x v="0"/>
    <x v="362"/>
    <x v="5"/>
    <x v="3"/>
    <x v="1"/>
    <n v="89"/>
  </r>
  <r>
    <x v="867"/>
    <x v="1"/>
    <x v="16"/>
    <n v="70"/>
    <x v="0"/>
    <x v="254"/>
    <x v="18"/>
    <x v="6"/>
    <x v="1"/>
    <n v="1"/>
  </r>
  <r>
    <x v="867"/>
    <x v="1"/>
    <x v="16"/>
    <n v="100"/>
    <x v="20"/>
    <x v="197"/>
    <x v="7"/>
    <x v="6"/>
    <x v="1"/>
    <n v="1"/>
  </r>
  <r>
    <x v="868"/>
    <x v="1"/>
    <x v="4"/>
    <n v="40"/>
    <x v="0"/>
    <x v="144"/>
    <x v="6"/>
    <x v="6"/>
    <x v="1"/>
    <n v="11"/>
  </r>
  <r>
    <x v="869"/>
    <x v="11"/>
    <x v="12"/>
    <n v="100"/>
    <x v="0"/>
    <x v="363"/>
    <x v="7"/>
    <x v="6"/>
    <x v="5"/>
    <n v="3700"/>
  </r>
  <r>
    <x v="869"/>
    <x v="11"/>
    <x v="12"/>
    <n v="700"/>
    <x v="10"/>
    <x v="47"/>
    <x v="17"/>
    <x v="6"/>
    <x v="5"/>
    <n v="3700"/>
  </r>
  <r>
    <x v="870"/>
    <x v="32"/>
    <x v="14"/>
    <n v="300"/>
    <x v="6"/>
    <x v="250"/>
    <x v="5"/>
    <x v="5"/>
    <x v="16"/>
    <n v="521"/>
  </r>
  <r>
    <x v="871"/>
    <x v="4"/>
    <x v="23"/>
    <n v="115"/>
    <x v="58"/>
    <x v="364"/>
    <x v="13"/>
    <x v="6"/>
    <x v="1"/>
    <n v="654"/>
  </r>
  <r>
    <x v="872"/>
    <x v="4"/>
    <x v="23"/>
    <n v="20"/>
    <x v="4"/>
    <x v="365"/>
    <x v="27"/>
    <x v="4"/>
    <x v="1"/>
    <n v="560"/>
  </r>
  <r>
    <x v="872"/>
    <x v="4"/>
    <x v="23"/>
    <n v="127"/>
    <x v="8"/>
    <x v="129"/>
    <x v="14"/>
    <x v="4"/>
    <x v="1"/>
    <n v="560"/>
  </r>
  <r>
    <x v="873"/>
    <x v="1"/>
    <x v="0"/>
    <n v="15"/>
    <x v="7"/>
    <x v="54"/>
    <x v="5"/>
    <x v="2"/>
    <x v="1"/>
    <n v="40"/>
  </r>
  <r>
    <x v="874"/>
    <x v="54"/>
    <x v="4"/>
    <m/>
    <x v="0"/>
    <x v="265"/>
    <x v="4"/>
    <x v="0"/>
    <x v="4"/>
    <m/>
  </r>
  <r>
    <x v="875"/>
    <x v="0"/>
    <x v="12"/>
    <m/>
    <x v="23"/>
    <x v="36"/>
    <x v="12"/>
    <x v="5"/>
    <x v="0"/>
    <n v="278"/>
  </r>
  <r>
    <x v="875"/>
    <x v="0"/>
    <x v="12"/>
    <n v="15"/>
    <x v="30"/>
    <x v="2"/>
    <x v="2"/>
    <x v="5"/>
    <x v="0"/>
    <n v="278"/>
  </r>
  <r>
    <x v="876"/>
    <x v="43"/>
    <x v="5"/>
    <n v="16"/>
    <x v="23"/>
    <x v="32"/>
    <x v="0"/>
    <x v="6"/>
    <x v="18"/>
    <m/>
  </r>
  <r>
    <x v="877"/>
    <x v="24"/>
    <x v="12"/>
    <n v="70"/>
    <x v="4"/>
    <x v="130"/>
    <x v="2"/>
    <x v="6"/>
    <x v="12"/>
    <n v="180"/>
  </r>
  <r>
    <x v="878"/>
    <x v="1"/>
    <x v="1"/>
    <n v="23"/>
    <x v="2"/>
    <x v="250"/>
    <x v="5"/>
    <x v="4"/>
    <x v="1"/>
    <n v="50"/>
  </r>
  <r>
    <x v="878"/>
    <x v="1"/>
    <x v="1"/>
    <n v="78"/>
    <x v="2"/>
    <x v="291"/>
    <x v="0"/>
    <x v="1"/>
    <x v="1"/>
    <n v="514"/>
  </r>
  <r>
    <x v="879"/>
    <x v="66"/>
    <x v="12"/>
    <n v="180"/>
    <x v="0"/>
    <x v="313"/>
    <x v="7"/>
    <x v="1"/>
    <x v="1"/>
    <n v="706"/>
  </r>
  <r>
    <x v="880"/>
    <x v="1"/>
    <x v="11"/>
    <n v="12"/>
    <x v="0"/>
    <x v="331"/>
    <x v="23"/>
    <x v="4"/>
    <x v="1"/>
    <n v="19"/>
  </r>
  <r>
    <x v="881"/>
    <x v="16"/>
    <x v="12"/>
    <n v="50"/>
    <x v="9"/>
    <x v="41"/>
    <x v="17"/>
    <x v="3"/>
    <x v="7"/>
    <n v="53"/>
  </r>
  <r>
    <x v="882"/>
    <x v="60"/>
    <x v="3"/>
    <n v="40"/>
    <x v="0"/>
    <x v="81"/>
    <x v="4"/>
    <x v="3"/>
    <x v="6"/>
    <n v="44"/>
  </r>
  <r>
    <x v="883"/>
    <x v="1"/>
    <x v="5"/>
    <n v="1100"/>
    <x v="8"/>
    <x v="281"/>
    <x v="2"/>
    <x v="6"/>
    <x v="1"/>
    <n v="134"/>
  </r>
  <r>
    <x v="884"/>
    <x v="11"/>
    <x v="1"/>
    <n v="100"/>
    <x v="10"/>
    <x v="366"/>
    <x v="17"/>
    <x v="5"/>
    <x v="5"/>
    <n v="568"/>
  </r>
  <r>
    <x v="884"/>
    <x v="11"/>
    <x v="1"/>
    <n v="300"/>
    <x v="10"/>
    <x v="284"/>
    <x v="8"/>
    <x v="5"/>
    <x v="5"/>
    <n v="568"/>
  </r>
  <r>
    <x v="885"/>
    <x v="69"/>
    <x v="12"/>
    <n v="23"/>
    <x v="13"/>
    <x v="58"/>
    <x v="7"/>
    <x v="3"/>
    <x v="14"/>
    <n v="91"/>
  </r>
  <r>
    <x v="886"/>
    <x v="128"/>
    <x v="12"/>
    <n v="90"/>
    <x v="8"/>
    <x v="250"/>
    <x v="5"/>
    <x v="3"/>
    <x v="27"/>
    <n v="38"/>
  </r>
  <r>
    <x v="887"/>
    <x v="87"/>
    <x v="9"/>
    <m/>
    <x v="20"/>
    <x v="109"/>
    <x v="6"/>
    <x v="11"/>
    <x v="34"/>
    <n v="1"/>
  </r>
  <r>
    <x v="888"/>
    <x v="14"/>
    <x v="21"/>
    <m/>
    <x v="0"/>
    <x v="367"/>
    <x v="30"/>
    <x v="7"/>
    <x v="1"/>
    <m/>
  </r>
  <r>
    <x v="889"/>
    <x v="14"/>
    <x v="1"/>
    <n v="70"/>
    <x v="0"/>
    <x v="368"/>
    <x v="12"/>
    <x v="6"/>
    <x v="1"/>
    <n v="183"/>
  </r>
  <r>
    <x v="890"/>
    <x v="1"/>
    <x v="13"/>
    <n v="36"/>
    <x v="0"/>
    <x v="261"/>
    <x v="4"/>
    <x v="5"/>
    <x v="1"/>
    <n v="188"/>
  </r>
  <r>
    <x v="891"/>
    <x v="23"/>
    <x v="6"/>
    <n v="40"/>
    <x v="0"/>
    <x v="147"/>
    <x v="5"/>
    <x v="3"/>
    <x v="11"/>
    <n v="34"/>
  </r>
  <r>
    <x v="892"/>
    <x v="1"/>
    <x v="22"/>
    <n v="300"/>
    <x v="7"/>
    <x v="41"/>
    <x v="17"/>
    <x v="5"/>
    <x v="1"/>
    <n v="1900"/>
  </r>
  <r>
    <x v="893"/>
    <x v="1"/>
    <x v="12"/>
    <n v="13"/>
    <x v="9"/>
    <x v="194"/>
    <x v="14"/>
    <x v="4"/>
    <x v="1"/>
    <n v="94"/>
  </r>
  <r>
    <x v="894"/>
    <x v="1"/>
    <x v="26"/>
    <n v="1300"/>
    <x v="11"/>
    <x v="205"/>
    <x v="3"/>
    <x v="0"/>
    <x v="1"/>
    <m/>
  </r>
  <r>
    <x v="895"/>
    <x v="1"/>
    <x v="6"/>
    <n v="19"/>
    <x v="0"/>
    <x v="179"/>
    <x v="5"/>
    <x v="3"/>
    <x v="1"/>
    <n v="48"/>
  </r>
  <r>
    <x v="895"/>
    <x v="1"/>
    <x v="6"/>
    <n v="65"/>
    <x v="0"/>
    <x v="369"/>
    <x v="34"/>
    <x v="4"/>
    <x v="1"/>
    <n v="122"/>
  </r>
  <r>
    <x v="896"/>
    <x v="129"/>
    <x v="23"/>
    <m/>
    <x v="0"/>
    <x v="224"/>
    <x v="0"/>
    <x v="4"/>
    <x v="1"/>
    <n v="347"/>
  </r>
  <r>
    <x v="896"/>
    <x v="129"/>
    <x v="23"/>
    <n v="110"/>
    <x v="0"/>
    <x v="105"/>
    <x v="8"/>
    <x v="4"/>
    <x v="1"/>
    <n v="347"/>
  </r>
  <r>
    <x v="897"/>
    <x v="71"/>
    <x v="4"/>
    <m/>
    <x v="20"/>
    <x v="121"/>
    <x v="3"/>
    <x v="11"/>
    <x v="1"/>
    <n v="40"/>
  </r>
  <r>
    <x v="898"/>
    <x v="1"/>
    <x v="22"/>
    <n v="50"/>
    <x v="24"/>
    <x v="181"/>
    <x v="18"/>
    <x v="4"/>
    <x v="1"/>
    <n v="52"/>
  </r>
  <r>
    <x v="899"/>
    <x v="4"/>
    <x v="22"/>
    <n v="30"/>
    <x v="1"/>
    <x v="210"/>
    <x v="17"/>
    <x v="0"/>
    <x v="1"/>
    <n v="342"/>
  </r>
  <r>
    <x v="899"/>
    <x v="4"/>
    <x v="22"/>
    <n v="60"/>
    <x v="0"/>
    <x v="7"/>
    <x v="5"/>
    <x v="3"/>
    <x v="1"/>
    <n v="152"/>
  </r>
  <r>
    <x v="899"/>
    <x v="4"/>
    <x v="22"/>
    <n v="115"/>
    <x v="39"/>
    <x v="184"/>
    <x v="4"/>
    <x v="0"/>
    <x v="1"/>
    <n v="342"/>
  </r>
  <r>
    <x v="899"/>
    <x v="4"/>
    <x v="22"/>
    <n v="130"/>
    <x v="40"/>
    <x v="370"/>
    <x v="17"/>
    <x v="0"/>
    <x v="1"/>
    <n v="342"/>
  </r>
  <r>
    <x v="900"/>
    <x v="1"/>
    <x v="19"/>
    <m/>
    <x v="6"/>
    <x v="53"/>
    <x v="3"/>
    <x v="8"/>
    <x v="1"/>
    <n v="328"/>
  </r>
  <r>
    <x v="900"/>
    <x v="1"/>
    <x v="19"/>
    <n v="13"/>
    <x v="0"/>
    <x v="324"/>
    <x v="8"/>
    <x v="8"/>
    <x v="1"/>
    <n v="328"/>
  </r>
  <r>
    <x v="900"/>
    <x v="1"/>
    <x v="19"/>
    <n v="16"/>
    <x v="10"/>
    <x v="371"/>
    <x v="10"/>
    <x v="4"/>
    <x v="1"/>
    <n v="49"/>
  </r>
  <r>
    <x v="901"/>
    <x v="35"/>
    <x v="30"/>
    <n v="30"/>
    <x v="37"/>
    <x v="175"/>
    <x v="7"/>
    <x v="4"/>
    <x v="17"/>
    <n v="41"/>
  </r>
  <r>
    <x v="902"/>
    <x v="110"/>
    <x v="12"/>
    <n v="45"/>
    <x v="0"/>
    <x v="10"/>
    <x v="1"/>
    <x v="0"/>
    <x v="39"/>
    <n v="130"/>
  </r>
  <r>
    <x v="903"/>
    <x v="69"/>
    <x v="5"/>
    <m/>
    <x v="0"/>
    <x v="146"/>
    <x v="2"/>
    <x v="6"/>
    <x v="14"/>
    <m/>
  </r>
  <r>
    <x v="904"/>
    <x v="1"/>
    <x v="4"/>
    <m/>
    <x v="31"/>
    <x v="22"/>
    <x v="5"/>
    <x v="4"/>
    <x v="1"/>
    <n v="62"/>
  </r>
  <r>
    <x v="905"/>
    <x v="12"/>
    <x v="6"/>
    <n v="60"/>
    <x v="0"/>
    <x v="5"/>
    <x v="3"/>
    <x v="1"/>
    <x v="6"/>
    <n v="190"/>
  </r>
  <r>
    <x v="905"/>
    <x v="12"/>
    <x v="6"/>
    <n v="80"/>
    <x v="30"/>
    <x v="6"/>
    <x v="4"/>
    <x v="1"/>
    <x v="6"/>
    <n v="166"/>
  </r>
  <r>
    <x v="906"/>
    <x v="4"/>
    <x v="20"/>
    <n v="80"/>
    <x v="21"/>
    <x v="82"/>
    <x v="0"/>
    <x v="4"/>
    <x v="1"/>
    <n v="379"/>
  </r>
  <r>
    <x v="907"/>
    <x v="9"/>
    <x v="4"/>
    <n v="56"/>
    <x v="17"/>
    <x v="301"/>
    <x v="8"/>
    <x v="0"/>
    <x v="1"/>
    <n v="71"/>
  </r>
  <r>
    <x v="907"/>
    <x v="9"/>
    <x v="4"/>
    <n v="91"/>
    <x v="31"/>
    <x v="194"/>
    <x v="14"/>
    <x v="7"/>
    <x v="1"/>
    <n v="2"/>
  </r>
  <r>
    <x v="908"/>
    <x v="0"/>
    <x v="1"/>
    <m/>
    <x v="0"/>
    <x v="40"/>
    <x v="10"/>
    <x v="6"/>
    <x v="0"/>
    <n v="76"/>
  </r>
  <r>
    <x v="909"/>
    <x v="2"/>
    <x v="6"/>
    <n v="27"/>
    <x v="2"/>
    <x v="290"/>
    <x v="12"/>
    <x v="10"/>
    <x v="2"/>
    <n v="56"/>
  </r>
  <r>
    <x v="910"/>
    <x v="0"/>
    <x v="5"/>
    <m/>
    <x v="0"/>
    <x v="50"/>
    <x v="2"/>
    <x v="3"/>
    <x v="0"/>
    <n v="103"/>
  </r>
  <r>
    <x v="911"/>
    <x v="10"/>
    <x v="11"/>
    <n v="23"/>
    <x v="28"/>
    <x v="149"/>
    <x v="15"/>
    <x v="0"/>
    <x v="0"/>
    <n v="3"/>
  </r>
  <r>
    <x v="912"/>
    <x v="76"/>
    <x v="5"/>
    <n v="100"/>
    <x v="28"/>
    <x v="372"/>
    <x v="2"/>
    <x v="2"/>
    <x v="30"/>
    <n v="17"/>
  </r>
  <r>
    <x v="913"/>
    <x v="4"/>
    <x v="12"/>
    <n v="52"/>
    <x v="0"/>
    <x v="300"/>
    <x v="15"/>
    <x v="0"/>
    <x v="1"/>
    <n v="481"/>
  </r>
  <r>
    <x v="914"/>
    <x v="7"/>
    <x v="23"/>
    <n v="100"/>
    <x v="0"/>
    <x v="21"/>
    <x v="9"/>
    <x v="6"/>
    <x v="4"/>
    <n v="59"/>
  </r>
  <r>
    <x v="915"/>
    <x v="1"/>
    <x v="12"/>
    <n v="225"/>
    <x v="23"/>
    <x v="53"/>
    <x v="3"/>
    <x v="0"/>
    <x v="1"/>
    <n v="392"/>
  </r>
  <r>
    <x v="915"/>
    <x v="1"/>
    <x v="12"/>
    <n v="460"/>
    <x v="8"/>
    <x v="179"/>
    <x v="5"/>
    <x v="0"/>
    <x v="1"/>
    <n v="392"/>
  </r>
  <r>
    <x v="916"/>
    <x v="130"/>
    <x v="12"/>
    <n v="500"/>
    <x v="31"/>
    <x v="371"/>
    <x v="10"/>
    <x v="6"/>
    <x v="6"/>
    <n v="200"/>
  </r>
  <r>
    <x v="917"/>
    <x v="131"/>
    <x v="12"/>
    <n v="200"/>
    <x v="0"/>
    <x v="35"/>
    <x v="2"/>
    <x v="0"/>
    <x v="1"/>
    <m/>
  </r>
  <r>
    <x v="918"/>
    <x v="16"/>
    <x v="20"/>
    <m/>
    <x v="31"/>
    <x v="373"/>
    <x v="0"/>
    <x v="2"/>
    <x v="7"/>
    <n v="90"/>
  </r>
  <r>
    <x v="918"/>
    <x v="16"/>
    <x v="20"/>
    <n v="18"/>
    <x v="6"/>
    <x v="46"/>
    <x v="1"/>
    <x v="2"/>
    <x v="7"/>
    <n v="90"/>
  </r>
  <r>
    <x v="919"/>
    <x v="103"/>
    <x v="26"/>
    <m/>
    <x v="0"/>
    <x v="44"/>
    <x v="0"/>
    <x v="0"/>
    <x v="1"/>
    <n v="850"/>
  </r>
  <r>
    <x v="920"/>
    <x v="4"/>
    <x v="1"/>
    <m/>
    <x v="0"/>
    <x v="374"/>
    <x v="1"/>
    <x v="5"/>
    <x v="1"/>
    <n v="263"/>
  </r>
  <r>
    <x v="921"/>
    <x v="4"/>
    <x v="23"/>
    <n v="30"/>
    <x v="8"/>
    <x v="227"/>
    <x v="0"/>
    <x v="3"/>
    <x v="1"/>
    <n v="114"/>
  </r>
  <r>
    <x v="922"/>
    <x v="132"/>
    <x v="27"/>
    <m/>
    <x v="0"/>
    <x v="22"/>
    <x v="5"/>
    <x v="4"/>
    <x v="1"/>
    <n v="46"/>
  </r>
  <r>
    <x v="923"/>
    <x v="1"/>
    <x v="21"/>
    <n v="86"/>
    <x v="24"/>
    <x v="185"/>
    <x v="5"/>
    <x v="4"/>
    <x v="1"/>
    <n v="72"/>
  </r>
  <r>
    <x v="924"/>
    <x v="12"/>
    <x v="6"/>
    <n v="150"/>
    <x v="0"/>
    <x v="375"/>
    <x v="29"/>
    <x v="2"/>
    <x v="6"/>
    <n v="24"/>
  </r>
  <r>
    <x v="925"/>
    <x v="12"/>
    <x v="6"/>
    <m/>
    <x v="20"/>
    <x v="68"/>
    <x v="7"/>
    <x v="4"/>
    <x v="6"/>
    <n v="20"/>
  </r>
  <r>
    <x v="926"/>
    <x v="1"/>
    <x v="3"/>
    <m/>
    <x v="23"/>
    <x v="53"/>
    <x v="3"/>
    <x v="0"/>
    <x v="1"/>
    <n v="158"/>
  </r>
  <r>
    <x v="927"/>
    <x v="1"/>
    <x v="2"/>
    <n v="130"/>
    <x v="6"/>
    <x v="72"/>
    <x v="2"/>
    <x v="7"/>
    <x v="1"/>
    <n v="6"/>
  </r>
  <r>
    <x v="928"/>
    <x v="9"/>
    <x v="12"/>
    <n v="18"/>
    <x v="29"/>
    <x v="28"/>
    <x v="5"/>
    <x v="3"/>
    <x v="1"/>
    <n v="15"/>
  </r>
  <r>
    <x v="928"/>
    <x v="9"/>
    <x v="12"/>
    <n v="22"/>
    <x v="59"/>
    <x v="376"/>
    <x v="23"/>
    <x v="3"/>
    <x v="1"/>
    <n v="15"/>
  </r>
  <r>
    <x v="929"/>
    <x v="0"/>
    <x v="6"/>
    <n v="14"/>
    <x v="11"/>
    <x v="225"/>
    <x v="5"/>
    <x v="6"/>
    <x v="0"/>
    <m/>
  </r>
  <r>
    <x v="930"/>
    <x v="35"/>
    <x v="12"/>
    <n v="20"/>
    <x v="0"/>
    <x v="377"/>
    <x v="13"/>
    <x v="3"/>
    <x v="17"/>
    <n v="42"/>
  </r>
  <r>
    <x v="930"/>
    <x v="35"/>
    <x v="12"/>
    <n v="20"/>
    <x v="9"/>
    <x v="368"/>
    <x v="12"/>
    <x v="3"/>
    <x v="17"/>
    <n v="42"/>
  </r>
  <r>
    <x v="931"/>
    <x v="133"/>
    <x v="3"/>
    <n v="80"/>
    <x v="5"/>
    <x v="46"/>
    <x v="1"/>
    <x v="5"/>
    <x v="17"/>
    <n v="335"/>
  </r>
  <r>
    <x v="932"/>
    <x v="28"/>
    <x v="4"/>
    <n v="300"/>
    <x v="10"/>
    <x v="71"/>
    <x v="3"/>
    <x v="0"/>
    <x v="0"/>
    <n v="1200"/>
  </r>
  <r>
    <x v="933"/>
    <x v="1"/>
    <x v="0"/>
    <n v="80"/>
    <x v="35"/>
    <x v="362"/>
    <x v="5"/>
    <x v="5"/>
    <x v="1"/>
    <n v="765"/>
  </r>
  <r>
    <x v="934"/>
    <x v="9"/>
    <x v="19"/>
    <m/>
    <x v="6"/>
    <x v="209"/>
    <x v="3"/>
    <x v="4"/>
    <x v="1"/>
    <n v="33"/>
  </r>
  <r>
    <x v="935"/>
    <x v="4"/>
    <x v="21"/>
    <n v="13"/>
    <x v="20"/>
    <x v="378"/>
    <x v="24"/>
    <x v="6"/>
    <x v="1"/>
    <m/>
  </r>
  <r>
    <x v="936"/>
    <x v="1"/>
    <x v="19"/>
    <m/>
    <x v="0"/>
    <x v="212"/>
    <x v="12"/>
    <x v="7"/>
    <x v="1"/>
    <n v="154"/>
  </r>
  <r>
    <x v="936"/>
    <x v="1"/>
    <x v="21"/>
    <n v="960"/>
    <x v="1"/>
    <x v="379"/>
    <x v="23"/>
    <x v="7"/>
    <x v="1"/>
    <n v="154"/>
  </r>
  <r>
    <x v="937"/>
    <x v="23"/>
    <x v="2"/>
    <n v="35"/>
    <x v="46"/>
    <x v="177"/>
    <x v="8"/>
    <x v="11"/>
    <x v="11"/>
    <n v="2"/>
  </r>
  <r>
    <x v="938"/>
    <x v="54"/>
    <x v="3"/>
    <n v="50"/>
    <x v="3"/>
    <x v="19"/>
    <x v="4"/>
    <x v="6"/>
    <x v="4"/>
    <n v="165"/>
  </r>
  <r>
    <x v="939"/>
    <x v="134"/>
    <x v="18"/>
    <m/>
    <x v="0"/>
    <x v="56"/>
    <x v="6"/>
    <x v="3"/>
    <x v="1"/>
    <n v="22"/>
  </r>
  <r>
    <x v="940"/>
    <x v="4"/>
    <x v="12"/>
    <n v="27"/>
    <x v="26"/>
    <x v="227"/>
    <x v="0"/>
    <x v="4"/>
    <x v="1"/>
    <n v="115"/>
  </r>
  <r>
    <x v="941"/>
    <x v="5"/>
    <x v="9"/>
    <n v="100"/>
    <x v="6"/>
    <x v="380"/>
    <x v="29"/>
    <x v="5"/>
    <x v="3"/>
    <n v="118"/>
  </r>
  <r>
    <x v="942"/>
    <x v="4"/>
    <x v="10"/>
    <n v="30"/>
    <x v="0"/>
    <x v="381"/>
    <x v="20"/>
    <x v="0"/>
    <x v="1"/>
    <n v="42"/>
  </r>
  <r>
    <x v="942"/>
    <x v="4"/>
    <x v="10"/>
    <n v="193"/>
    <x v="33"/>
    <x v="20"/>
    <x v="7"/>
    <x v="0"/>
    <x v="1"/>
    <n v="42"/>
  </r>
  <r>
    <x v="943"/>
    <x v="1"/>
    <x v="2"/>
    <m/>
    <x v="10"/>
    <x v="35"/>
    <x v="2"/>
    <x v="0"/>
    <x v="1"/>
    <n v="16"/>
  </r>
  <r>
    <x v="944"/>
    <x v="4"/>
    <x v="20"/>
    <n v="50"/>
    <x v="0"/>
    <x v="382"/>
    <x v="10"/>
    <x v="0"/>
    <x v="1"/>
    <n v="46"/>
  </r>
  <r>
    <x v="945"/>
    <x v="1"/>
    <x v="10"/>
    <m/>
    <x v="14"/>
    <x v="71"/>
    <x v="3"/>
    <x v="0"/>
    <x v="1"/>
    <n v="12"/>
  </r>
  <r>
    <x v="946"/>
    <x v="60"/>
    <x v="4"/>
    <n v="450"/>
    <x v="6"/>
    <x v="272"/>
    <x v="10"/>
    <x v="5"/>
    <x v="6"/>
    <n v="157"/>
  </r>
  <r>
    <x v="947"/>
    <x v="42"/>
    <x v="0"/>
    <m/>
    <x v="20"/>
    <x v="89"/>
    <x v="12"/>
    <x v="11"/>
    <x v="1"/>
    <n v="57"/>
  </r>
  <r>
    <x v="948"/>
    <x v="5"/>
    <x v="23"/>
    <n v="47"/>
    <x v="0"/>
    <x v="129"/>
    <x v="14"/>
    <x v="4"/>
    <x v="3"/>
    <n v="263"/>
  </r>
  <r>
    <x v="948"/>
    <x v="5"/>
    <x v="23"/>
    <n v="47"/>
    <x v="10"/>
    <x v="147"/>
    <x v="5"/>
    <x v="4"/>
    <x v="3"/>
    <n v="263"/>
  </r>
  <r>
    <x v="948"/>
    <x v="5"/>
    <x v="23"/>
    <n v="159"/>
    <x v="0"/>
    <x v="132"/>
    <x v="15"/>
    <x v="6"/>
    <x v="3"/>
    <n v="788"/>
  </r>
  <r>
    <x v="948"/>
    <x v="5"/>
    <x v="23"/>
    <n v="312"/>
    <x v="5"/>
    <x v="227"/>
    <x v="0"/>
    <x v="6"/>
    <x v="3"/>
    <n v="788"/>
  </r>
  <r>
    <x v="948"/>
    <x v="5"/>
    <x v="23"/>
    <n v="340"/>
    <x v="6"/>
    <x v="21"/>
    <x v="9"/>
    <x v="6"/>
    <x v="3"/>
    <n v="788"/>
  </r>
  <r>
    <x v="948"/>
    <x v="5"/>
    <x v="23"/>
    <n v="384"/>
    <x v="5"/>
    <x v="158"/>
    <x v="1"/>
    <x v="6"/>
    <x v="3"/>
    <n v="788"/>
  </r>
  <r>
    <x v="949"/>
    <x v="9"/>
    <x v="23"/>
    <n v="32"/>
    <x v="56"/>
    <x v="176"/>
    <x v="10"/>
    <x v="2"/>
    <x v="1"/>
    <n v="17"/>
  </r>
  <r>
    <x v="950"/>
    <x v="4"/>
    <x v="23"/>
    <n v="25"/>
    <x v="36"/>
    <x v="161"/>
    <x v="14"/>
    <x v="2"/>
    <x v="1"/>
    <n v="18"/>
  </r>
  <r>
    <x v="951"/>
    <x v="5"/>
    <x v="15"/>
    <n v="300"/>
    <x v="11"/>
    <x v="193"/>
    <x v="12"/>
    <x v="8"/>
    <x v="3"/>
    <n v="507"/>
  </r>
  <r>
    <x v="951"/>
    <x v="5"/>
    <x v="15"/>
    <n v="500"/>
    <x v="6"/>
    <x v="261"/>
    <x v="4"/>
    <x v="8"/>
    <x v="3"/>
    <n v="507"/>
  </r>
  <r>
    <x v="952"/>
    <x v="5"/>
    <x v="4"/>
    <n v="25"/>
    <x v="10"/>
    <x v="314"/>
    <x v="4"/>
    <x v="7"/>
    <x v="3"/>
    <m/>
  </r>
  <r>
    <x v="953"/>
    <x v="135"/>
    <x v="20"/>
    <n v="76"/>
    <x v="15"/>
    <x v="67"/>
    <x v="2"/>
    <x v="3"/>
    <x v="1"/>
    <n v="56"/>
  </r>
  <r>
    <x v="954"/>
    <x v="14"/>
    <x v="14"/>
    <n v="34"/>
    <x v="0"/>
    <x v="79"/>
    <x v="14"/>
    <x v="4"/>
    <x v="1"/>
    <n v="81"/>
  </r>
  <r>
    <x v="955"/>
    <x v="1"/>
    <x v="17"/>
    <n v="23"/>
    <x v="33"/>
    <x v="95"/>
    <x v="8"/>
    <x v="4"/>
    <x v="1"/>
    <n v="203"/>
  </r>
  <r>
    <x v="955"/>
    <x v="1"/>
    <x v="17"/>
    <n v="34"/>
    <x v="23"/>
    <x v="8"/>
    <x v="6"/>
    <x v="4"/>
    <x v="1"/>
    <n v="203"/>
  </r>
  <r>
    <x v="956"/>
    <x v="6"/>
    <x v="12"/>
    <n v="15"/>
    <x v="7"/>
    <x v="383"/>
    <x v="4"/>
    <x v="2"/>
    <x v="1"/>
    <n v="24"/>
  </r>
  <r>
    <x v="957"/>
    <x v="0"/>
    <x v="8"/>
    <n v="11"/>
    <x v="4"/>
    <x v="204"/>
    <x v="10"/>
    <x v="2"/>
    <x v="0"/>
    <n v="11"/>
  </r>
  <r>
    <x v="958"/>
    <x v="43"/>
    <x v="2"/>
    <n v="8"/>
    <x v="30"/>
    <x v="225"/>
    <x v="5"/>
    <x v="6"/>
    <x v="18"/>
    <n v="32"/>
  </r>
  <r>
    <x v="959"/>
    <x v="104"/>
    <x v="3"/>
    <m/>
    <x v="20"/>
    <x v="240"/>
    <x v="0"/>
    <x v="6"/>
    <x v="1"/>
    <n v="9"/>
  </r>
  <r>
    <x v="960"/>
    <x v="4"/>
    <x v="1"/>
    <m/>
    <x v="7"/>
    <x v="14"/>
    <x v="3"/>
    <x v="0"/>
    <x v="1"/>
    <m/>
  </r>
  <r>
    <x v="961"/>
    <x v="1"/>
    <x v="1"/>
    <n v="26"/>
    <x v="0"/>
    <x v="287"/>
    <x v="12"/>
    <x v="0"/>
    <x v="1"/>
    <n v="132"/>
  </r>
  <r>
    <x v="962"/>
    <x v="136"/>
    <x v="2"/>
    <m/>
    <x v="0"/>
    <x v="206"/>
    <x v="5"/>
    <x v="6"/>
    <x v="1"/>
    <m/>
  </r>
  <r>
    <x v="963"/>
    <x v="1"/>
    <x v="18"/>
    <m/>
    <x v="20"/>
    <x v="384"/>
    <x v="30"/>
    <x v="2"/>
    <x v="1"/>
    <n v="10"/>
  </r>
  <r>
    <x v="964"/>
    <x v="24"/>
    <x v="2"/>
    <n v="150"/>
    <x v="0"/>
    <x v="144"/>
    <x v="6"/>
    <x v="4"/>
    <x v="12"/>
    <n v="149"/>
  </r>
  <r>
    <x v="965"/>
    <x v="4"/>
    <x v="9"/>
    <n v="60"/>
    <x v="37"/>
    <x v="16"/>
    <x v="1"/>
    <x v="3"/>
    <x v="1"/>
    <n v="72"/>
  </r>
  <r>
    <x v="966"/>
    <x v="43"/>
    <x v="5"/>
    <n v="330"/>
    <x v="46"/>
    <x v="205"/>
    <x v="3"/>
    <x v="7"/>
    <x v="18"/>
    <n v="13"/>
  </r>
  <r>
    <x v="967"/>
    <x v="4"/>
    <x v="2"/>
    <n v="30"/>
    <x v="10"/>
    <x v="294"/>
    <x v="1"/>
    <x v="3"/>
    <x v="1"/>
    <n v="245"/>
  </r>
  <r>
    <x v="968"/>
    <x v="3"/>
    <x v="23"/>
    <n v="44"/>
    <x v="0"/>
    <x v="71"/>
    <x v="3"/>
    <x v="3"/>
    <x v="1"/>
    <n v="31"/>
  </r>
  <r>
    <x v="969"/>
    <x v="1"/>
    <x v="0"/>
    <n v="60"/>
    <x v="12"/>
    <x v="87"/>
    <x v="1"/>
    <x v="0"/>
    <x v="1"/>
    <n v="4900"/>
  </r>
  <r>
    <x v="969"/>
    <x v="1"/>
    <x v="0"/>
    <n v="700"/>
    <x v="35"/>
    <x v="35"/>
    <x v="2"/>
    <x v="0"/>
    <x v="1"/>
    <n v="4900"/>
  </r>
  <r>
    <x v="969"/>
    <x v="1"/>
    <x v="0"/>
    <n v="982"/>
    <x v="3"/>
    <x v="362"/>
    <x v="5"/>
    <x v="0"/>
    <x v="1"/>
    <n v="4900"/>
  </r>
  <r>
    <x v="970"/>
    <x v="1"/>
    <x v="23"/>
    <n v="100"/>
    <x v="0"/>
    <x v="235"/>
    <x v="14"/>
    <x v="3"/>
    <x v="1"/>
    <n v="179"/>
  </r>
  <r>
    <x v="971"/>
    <x v="43"/>
    <x v="4"/>
    <n v="50"/>
    <x v="9"/>
    <x v="146"/>
    <x v="2"/>
    <x v="6"/>
    <x v="18"/>
    <n v="144"/>
  </r>
  <r>
    <x v="972"/>
    <x v="13"/>
    <x v="2"/>
    <m/>
    <x v="0"/>
    <x v="185"/>
    <x v="5"/>
    <x v="4"/>
    <x v="1"/>
    <n v="58"/>
  </r>
  <r>
    <x v="973"/>
    <x v="15"/>
    <x v="12"/>
    <n v="38"/>
    <x v="0"/>
    <x v="200"/>
    <x v="1"/>
    <x v="1"/>
    <x v="1"/>
    <n v="323"/>
  </r>
  <r>
    <x v="974"/>
    <x v="43"/>
    <x v="4"/>
    <m/>
    <x v="46"/>
    <x v="363"/>
    <x v="7"/>
    <x v="5"/>
    <x v="18"/>
    <n v="136"/>
  </r>
  <r>
    <x v="975"/>
    <x v="1"/>
    <x v="11"/>
    <m/>
    <x v="20"/>
    <x v="369"/>
    <x v="34"/>
    <x v="3"/>
    <x v="1"/>
    <n v="16"/>
  </r>
  <r>
    <x v="976"/>
    <x v="55"/>
    <x v="4"/>
    <n v="60"/>
    <x v="16"/>
    <x v="19"/>
    <x v="4"/>
    <x v="1"/>
    <x v="3"/>
    <n v="338"/>
  </r>
  <r>
    <x v="977"/>
    <x v="1"/>
    <x v="5"/>
    <n v="22"/>
    <x v="0"/>
    <x v="212"/>
    <x v="12"/>
    <x v="3"/>
    <x v="1"/>
    <n v="170"/>
  </r>
  <r>
    <x v="978"/>
    <x v="37"/>
    <x v="3"/>
    <n v="1000"/>
    <x v="31"/>
    <x v="48"/>
    <x v="5"/>
    <x v="1"/>
    <x v="1"/>
    <n v="2600"/>
  </r>
  <r>
    <x v="979"/>
    <x v="137"/>
    <x v="23"/>
    <n v="250"/>
    <x v="0"/>
    <x v="385"/>
    <x v="10"/>
    <x v="6"/>
    <x v="6"/>
    <n v="300"/>
  </r>
  <r>
    <x v="980"/>
    <x v="3"/>
    <x v="2"/>
    <m/>
    <x v="1"/>
    <x v="198"/>
    <x v="3"/>
    <x v="0"/>
    <x v="1"/>
    <n v="400"/>
  </r>
  <r>
    <x v="981"/>
    <x v="1"/>
    <x v="12"/>
    <n v="45"/>
    <x v="8"/>
    <x v="156"/>
    <x v="17"/>
    <x v="2"/>
    <x v="1"/>
    <n v="64"/>
  </r>
  <r>
    <x v="982"/>
    <x v="1"/>
    <x v="6"/>
    <m/>
    <x v="0"/>
    <x v="129"/>
    <x v="14"/>
    <x v="6"/>
    <x v="1"/>
    <m/>
  </r>
  <r>
    <x v="983"/>
    <x v="80"/>
    <x v="14"/>
    <n v="350"/>
    <x v="10"/>
    <x v="255"/>
    <x v="18"/>
    <x v="0"/>
    <x v="6"/>
    <n v="548"/>
  </r>
  <r>
    <x v="983"/>
    <x v="74"/>
    <x v="14"/>
    <n v="350"/>
    <x v="10"/>
    <x v="386"/>
    <x v="30"/>
    <x v="0"/>
    <x v="6"/>
    <n v="548"/>
  </r>
  <r>
    <x v="984"/>
    <x v="4"/>
    <x v="3"/>
    <n v="12"/>
    <x v="0"/>
    <x v="226"/>
    <x v="18"/>
    <x v="7"/>
    <x v="1"/>
    <n v="10"/>
  </r>
  <r>
    <x v="985"/>
    <x v="1"/>
    <x v="22"/>
    <n v="125"/>
    <x v="23"/>
    <x v="310"/>
    <x v="4"/>
    <x v="3"/>
    <x v="1"/>
    <n v="80"/>
  </r>
  <r>
    <x v="986"/>
    <x v="6"/>
    <x v="13"/>
    <m/>
    <x v="0"/>
    <x v="145"/>
    <x v="5"/>
    <x v="4"/>
    <x v="1"/>
    <n v="227"/>
  </r>
  <r>
    <x v="986"/>
    <x v="6"/>
    <x v="13"/>
    <n v="64"/>
    <x v="0"/>
    <x v="53"/>
    <x v="3"/>
    <x v="6"/>
    <x v="1"/>
    <n v="334"/>
  </r>
  <r>
    <x v="987"/>
    <x v="16"/>
    <x v="14"/>
    <m/>
    <x v="0"/>
    <x v="277"/>
    <x v="30"/>
    <x v="11"/>
    <x v="7"/>
    <n v="1"/>
  </r>
  <r>
    <x v="988"/>
    <x v="25"/>
    <x v="13"/>
    <m/>
    <x v="4"/>
    <x v="26"/>
    <x v="12"/>
    <x v="0"/>
    <x v="13"/>
    <n v="245"/>
  </r>
  <r>
    <x v="989"/>
    <x v="4"/>
    <x v="20"/>
    <m/>
    <x v="0"/>
    <x v="109"/>
    <x v="6"/>
    <x v="1"/>
    <x v="1"/>
    <n v="229"/>
  </r>
  <r>
    <x v="990"/>
    <x v="87"/>
    <x v="4"/>
    <n v="54"/>
    <x v="2"/>
    <x v="135"/>
    <x v="4"/>
    <x v="2"/>
    <x v="34"/>
    <n v="42"/>
  </r>
  <r>
    <x v="991"/>
    <x v="4"/>
    <x v="4"/>
    <m/>
    <x v="20"/>
    <x v="371"/>
    <x v="10"/>
    <x v="11"/>
    <x v="1"/>
    <n v="3"/>
  </r>
  <r>
    <x v="992"/>
    <x v="1"/>
    <x v="6"/>
    <n v="79"/>
    <x v="0"/>
    <x v="69"/>
    <x v="9"/>
    <x v="1"/>
    <x v="1"/>
    <n v="461"/>
  </r>
  <r>
    <x v="992"/>
    <x v="1"/>
    <x v="6"/>
    <n v="120"/>
    <x v="7"/>
    <x v="125"/>
    <x v="6"/>
    <x v="1"/>
    <x v="1"/>
    <n v="461"/>
  </r>
  <r>
    <x v="993"/>
    <x v="4"/>
    <x v="3"/>
    <m/>
    <x v="4"/>
    <x v="26"/>
    <x v="12"/>
    <x v="0"/>
    <x v="1"/>
    <m/>
  </r>
  <r>
    <x v="994"/>
    <x v="21"/>
    <x v="5"/>
    <n v="29"/>
    <x v="10"/>
    <x v="3"/>
    <x v="3"/>
    <x v="4"/>
    <x v="9"/>
    <n v="100"/>
  </r>
  <r>
    <x v="995"/>
    <x v="1"/>
    <x v="13"/>
    <n v="90"/>
    <x v="41"/>
    <x v="225"/>
    <x v="5"/>
    <x v="5"/>
    <x v="1"/>
    <n v="114"/>
  </r>
  <r>
    <x v="996"/>
    <x v="9"/>
    <x v="11"/>
    <n v="31"/>
    <x v="2"/>
    <x v="161"/>
    <x v="14"/>
    <x v="0"/>
    <x v="1"/>
    <n v="77"/>
  </r>
  <r>
    <x v="997"/>
    <x v="58"/>
    <x v="18"/>
    <m/>
    <x v="0"/>
    <x v="14"/>
    <x v="3"/>
    <x v="7"/>
    <x v="1"/>
    <n v="854"/>
  </r>
  <r>
    <x v="998"/>
    <x v="121"/>
    <x v="14"/>
    <n v="167"/>
    <x v="55"/>
    <x v="57"/>
    <x v="5"/>
    <x v="6"/>
    <x v="3"/>
    <m/>
  </r>
  <r>
    <x v="999"/>
    <x v="16"/>
    <x v="23"/>
    <n v="90"/>
    <x v="0"/>
    <x v="282"/>
    <x v="1"/>
    <x v="6"/>
    <x v="7"/>
    <n v="214"/>
  </r>
  <r>
    <x v="999"/>
    <x v="16"/>
    <x v="23"/>
    <n v="100"/>
    <x v="0"/>
    <x v="216"/>
    <x v="8"/>
    <x v="6"/>
    <x v="7"/>
    <n v="214"/>
  </r>
  <r>
    <x v="1000"/>
    <x v="5"/>
    <x v="12"/>
    <n v="60"/>
    <x v="31"/>
    <x v="242"/>
    <x v="3"/>
    <x v="6"/>
    <x v="3"/>
    <m/>
  </r>
  <r>
    <x v="1001"/>
    <x v="1"/>
    <x v="10"/>
    <n v="59"/>
    <x v="0"/>
    <x v="287"/>
    <x v="12"/>
    <x v="7"/>
    <x v="1"/>
    <n v="325"/>
  </r>
  <r>
    <x v="1002"/>
    <x v="4"/>
    <x v="2"/>
    <n v="53"/>
    <x v="4"/>
    <x v="98"/>
    <x v="5"/>
    <x v="10"/>
    <x v="1"/>
    <n v="607"/>
  </r>
  <r>
    <x v="1003"/>
    <x v="60"/>
    <x v="1"/>
    <n v="200"/>
    <x v="0"/>
    <x v="117"/>
    <x v="3"/>
    <x v="7"/>
    <x v="6"/>
    <n v="192"/>
  </r>
  <r>
    <x v="1004"/>
    <x v="1"/>
    <x v="11"/>
    <m/>
    <x v="0"/>
    <x v="387"/>
    <x v="28"/>
    <x v="4"/>
    <x v="1"/>
    <n v="132"/>
  </r>
  <r>
    <x v="1004"/>
    <x v="1"/>
    <x v="11"/>
    <m/>
    <x v="9"/>
    <x v="175"/>
    <x v="7"/>
    <x v="6"/>
    <x v="1"/>
    <n v="163"/>
  </r>
  <r>
    <x v="1005"/>
    <x v="4"/>
    <x v="1"/>
    <m/>
    <x v="14"/>
    <x v="6"/>
    <x v="4"/>
    <x v="4"/>
    <x v="1"/>
    <n v="100"/>
  </r>
  <r>
    <x v="1005"/>
    <x v="4"/>
    <x v="1"/>
    <m/>
    <x v="31"/>
    <x v="270"/>
    <x v="7"/>
    <x v="4"/>
    <x v="1"/>
    <n v="100"/>
  </r>
  <r>
    <x v="1005"/>
    <x v="4"/>
    <x v="1"/>
    <m/>
    <x v="20"/>
    <x v="36"/>
    <x v="12"/>
    <x v="4"/>
    <x v="1"/>
    <n v="100"/>
  </r>
  <r>
    <x v="1006"/>
    <x v="51"/>
    <x v="20"/>
    <n v="350"/>
    <x v="31"/>
    <x v="388"/>
    <x v="17"/>
    <x v="4"/>
    <x v="20"/>
    <n v="293"/>
  </r>
  <r>
    <x v="1007"/>
    <x v="60"/>
    <x v="4"/>
    <n v="150"/>
    <x v="0"/>
    <x v="389"/>
    <x v="15"/>
    <x v="8"/>
    <x v="6"/>
    <n v="1100"/>
  </r>
  <r>
    <x v="1007"/>
    <x v="60"/>
    <x v="4"/>
    <n v="200"/>
    <x v="40"/>
    <x v="185"/>
    <x v="5"/>
    <x v="5"/>
    <x v="6"/>
    <n v="215"/>
  </r>
  <r>
    <x v="1007"/>
    <x v="60"/>
    <x v="4"/>
    <n v="300"/>
    <x v="0"/>
    <x v="11"/>
    <x v="4"/>
    <x v="8"/>
    <x v="6"/>
    <n v="1100"/>
  </r>
  <r>
    <x v="1008"/>
    <x v="40"/>
    <x v="18"/>
    <m/>
    <x v="0"/>
    <x v="107"/>
    <x v="3"/>
    <x v="0"/>
    <x v="4"/>
    <n v="98"/>
  </r>
  <r>
    <x v="1009"/>
    <x v="0"/>
    <x v="4"/>
    <n v="36"/>
    <x v="6"/>
    <x v="225"/>
    <x v="5"/>
    <x v="3"/>
    <x v="0"/>
    <n v="28"/>
  </r>
  <r>
    <x v="1009"/>
    <x v="0"/>
    <x v="4"/>
    <n v="50"/>
    <x v="10"/>
    <x v="360"/>
    <x v="4"/>
    <x v="3"/>
    <x v="0"/>
    <n v="28"/>
  </r>
  <r>
    <x v="1010"/>
    <x v="4"/>
    <x v="12"/>
    <n v="60"/>
    <x v="0"/>
    <x v="19"/>
    <x v="4"/>
    <x v="5"/>
    <x v="1"/>
    <n v="504"/>
  </r>
  <r>
    <x v="1011"/>
    <x v="11"/>
    <x v="3"/>
    <m/>
    <x v="24"/>
    <x v="359"/>
    <x v="6"/>
    <x v="6"/>
    <x v="5"/>
    <n v="24"/>
  </r>
  <r>
    <x v="1012"/>
    <x v="7"/>
    <x v="9"/>
    <m/>
    <x v="0"/>
    <x v="372"/>
    <x v="2"/>
    <x v="7"/>
    <x v="4"/>
    <m/>
  </r>
  <r>
    <x v="1013"/>
    <x v="98"/>
    <x v="11"/>
    <n v="201"/>
    <x v="0"/>
    <x v="106"/>
    <x v="5"/>
    <x v="6"/>
    <x v="1"/>
    <n v="185"/>
  </r>
  <r>
    <x v="1014"/>
    <x v="86"/>
    <x v="1"/>
    <n v="200"/>
    <x v="10"/>
    <x v="263"/>
    <x v="12"/>
    <x v="7"/>
    <x v="1"/>
    <m/>
  </r>
  <r>
    <x v="1015"/>
    <x v="92"/>
    <x v="8"/>
    <n v="51"/>
    <x v="24"/>
    <x v="134"/>
    <x v="10"/>
    <x v="6"/>
    <x v="3"/>
    <n v="2"/>
  </r>
  <r>
    <x v="1016"/>
    <x v="3"/>
    <x v="12"/>
    <m/>
    <x v="2"/>
    <x v="285"/>
    <x v="12"/>
    <x v="0"/>
    <x v="1"/>
    <n v="485"/>
  </r>
  <r>
    <x v="1017"/>
    <x v="70"/>
    <x v="20"/>
    <m/>
    <x v="21"/>
    <x v="146"/>
    <x v="2"/>
    <x v="4"/>
    <x v="28"/>
    <n v="1100"/>
  </r>
  <r>
    <x v="1018"/>
    <x v="4"/>
    <x v="5"/>
    <m/>
    <x v="6"/>
    <x v="263"/>
    <x v="12"/>
    <x v="3"/>
    <x v="1"/>
    <n v="61"/>
  </r>
  <r>
    <x v="1019"/>
    <x v="1"/>
    <x v="3"/>
    <n v="11000"/>
    <x v="35"/>
    <x v="72"/>
    <x v="2"/>
    <x v="0"/>
    <x v="1"/>
    <n v="26000"/>
  </r>
  <r>
    <x v="1020"/>
    <x v="15"/>
    <x v="5"/>
    <m/>
    <x v="0"/>
    <x v="199"/>
    <x v="2"/>
    <x v="6"/>
    <x v="1"/>
    <m/>
  </r>
  <r>
    <x v="1021"/>
    <x v="7"/>
    <x v="2"/>
    <n v="75"/>
    <x v="20"/>
    <x v="318"/>
    <x v="1"/>
    <x v="3"/>
    <x v="4"/>
    <n v="18"/>
  </r>
  <r>
    <x v="1022"/>
    <x v="1"/>
    <x v="12"/>
    <n v="60"/>
    <x v="7"/>
    <x v="10"/>
    <x v="1"/>
    <x v="7"/>
    <x v="1"/>
    <n v="510"/>
  </r>
  <r>
    <x v="1022"/>
    <x v="1"/>
    <x v="12"/>
    <n v="100"/>
    <x v="37"/>
    <x v="145"/>
    <x v="5"/>
    <x v="1"/>
    <x v="1"/>
    <n v="293"/>
  </r>
  <r>
    <x v="1023"/>
    <x v="138"/>
    <x v="14"/>
    <m/>
    <x v="0"/>
    <x v="57"/>
    <x v="5"/>
    <x v="3"/>
    <x v="45"/>
    <n v="41"/>
  </r>
  <r>
    <x v="1024"/>
    <x v="60"/>
    <x v="1"/>
    <n v="600"/>
    <x v="36"/>
    <x v="390"/>
    <x v="17"/>
    <x v="4"/>
    <x v="6"/>
    <n v="97"/>
  </r>
  <r>
    <x v="1025"/>
    <x v="9"/>
    <x v="20"/>
    <m/>
    <x v="0"/>
    <x v="27"/>
    <x v="8"/>
    <x v="0"/>
    <x v="1"/>
    <n v="1"/>
  </r>
  <r>
    <x v="1025"/>
    <x v="9"/>
    <x v="20"/>
    <m/>
    <x v="0"/>
    <x v="42"/>
    <x v="1"/>
    <x v="0"/>
    <x v="1"/>
    <n v="1"/>
  </r>
  <r>
    <x v="1025"/>
    <x v="9"/>
    <x v="20"/>
    <n v="10000"/>
    <x v="13"/>
    <x v="14"/>
    <x v="3"/>
    <x v="0"/>
    <x v="1"/>
    <n v="1"/>
  </r>
  <r>
    <x v="1026"/>
    <x v="1"/>
    <x v="12"/>
    <m/>
    <x v="9"/>
    <x v="84"/>
    <x v="5"/>
    <x v="3"/>
    <x v="1"/>
    <n v="37"/>
  </r>
  <r>
    <x v="1027"/>
    <x v="7"/>
    <x v="9"/>
    <m/>
    <x v="7"/>
    <x v="136"/>
    <x v="12"/>
    <x v="2"/>
    <x v="4"/>
    <n v="86"/>
  </r>
  <r>
    <x v="1028"/>
    <x v="139"/>
    <x v="28"/>
    <n v="400"/>
    <x v="6"/>
    <x v="92"/>
    <x v="8"/>
    <x v="0"/>
    <x v="1"/>
    <n v="114"/>
  </r>
  <r>
    <x v="1028"/>
    <x v="139"/>
    <x v="28"/>
    <n v="700"/>
    <x v="46"/>
    <x v="7"/>
    <x v="5"/>
    <x v="0"/>
    <x v="1"/>
    <n v="114"/>
  </r>
  <r>
    <x v="1029"/>
    <x v="140"/>
    <x v="11"/>
    <m/>
    <x v="0"/>
    <x v="125"/>
    <x v="6"/>
    <x v="6"/>
    <x v="46"/>
    <m/>
  </r>
  <r>
    <x v="1030"/>
    <x v="1"/>
    <x v="1"/>
    <n v="127"/>
    <x v="0"/>
    <x v="97"/>
    <x v="12"/>
    <x v="4"/>
    <x v="1"/>
    <n v="160"/>
  </r>
  <r>
    <x v="1031"/>
    <x v="1"/>
    <x v="4"/>
    <n v="147"/>
    <x v="39"/>
    <x v="57"/>
    <x v="5"/>
    <x v="1"/>
    <x v="1"/>
    <n v="297"/>
  </r>
  <r>
    <x v="1032"/>
    <x v="43"/>
    <x v="11"/>
    <n v="50"/>
    <x v="10"/>
    <x v="391"/>
    <x v="3"/>
    <x v="14"/>
    <x v="18"/>
    <n v="160"/>
  </r>
  <r>
    <x v="1033"/>
    <x v="1"/>
    <x v="20"/>
    <n v="119"/>
    <x v="11"/>
    <x v="97"/>
    <x v="12"/>
    <x v="4"/>
    <x v="1"/>
    <n v="476"/>
  </r>
  <r>
    <x v="1034"/>
    <x v="68"/>
    <x v="9"/>
    <n v="649"/>
    <x v="37"/>
    <x v="128"/>
    <x v="12"/>
    <x v="4"/>
    <x v="1"/>
    <n v="526"/>
  </r>
  <r>
    <x v="1035"/>
    <x v="122"/>
    <x v="9"/>
    <m/>
    <x v="0"/>
    <x v="233"/>
    <x v="1"/>
    <x v="0"/>
    <x v="23"/>
    <n v="1700"/>
  </r>
  <r>
    <x v="1036"/>
    <x v="1"/>
    <x v="13"/>
    <n v="65"/>
    <x v="19"/>
    <x v="267"/>
    <x v="10"/>
    <x v="3"/>
    <x v="1"/>
    <n v="77"/>
  </r>
  <r>
    <x v="1037"/>
    <x v="60"/>
    <x v="3"/>
    <n v="100"/>
    <x v="10"/>
    <x v="392"/>
    <x v="17"/>
    <x v="1"/>
    <x v="6"/>
    <n v="375"/>
  </r>
  <r>
    <x v="1038"/>
    <x v="1"/>
    <x v="13"/>
    <n v="17"/>
    <x v="0"/>
    <x v="134"/>
    <x v="10"/>
    <x v="4"/>
    <x v="1"/>
    <n v="46"/>
  </r>
  <r>
    <x v="1038"/>
    <x v="1"/>
    <x v="13"/>
    <n v="25"/>
    <x v="0"/>
    <x v="247"/>
    <x v="7"/>
    <x v="5"/>
    <x v="1"/>
    <n v="81"/>
  </r>
  <r>
    <x v="1039"/>
    <x v="43"/>
    <x v="12"/>
    <m/>
    <x v="20"/>
    <x v="248"/>
    <x v="3"/>
    <x v="0"/>
    <x v="18"/>
    <m/>
  </r>
  <r>
    <x v="1040"/>
    <x v="1"/>
    <x v="12"/>
    <m/>
    <x v="26"/>
    <x v="0"/>
    <x v="0"/>
    <x v="4"/>
    <x v="1"/>
    <n v="183"/>
  </r>
  <r>
    <x v="1041"/>
    <x v="1"/>
    <x v="4"/>
    <m/>
    <x v="0"/>
    <x v="7"/>
    <x v="5"/>
    <x v="4"/>
    <x v="1"/>
    <n v="70"/>
  </r>
  <r>
    <x v="1041"/>
    <x v="1"/>
    <x v="4"/>
    <m/>
    <x v="0"/>
    <x v="118"/>
    <x v="6"/>
    <x v="4"/>
    <x v="1"/>
    <n v="72"/>
  </r>
  <r>
    <x v="1042"/>
    <x v="21"/>
    <x v="4"/>
    <n v="40"/>
    <x v="12"/>
    <x v="107"/>
    <x v="3"/>
    <x v="8"/>
    <x v="9"/>
    <n v="472"/>
  </r>
  <r>
    <x v="1043"/>
    <x v="10"/>
    <x v="12"/>
    <n v="78"/>
    <x v="8"/>
    <x v="129"/>
    <x v="14"/>
    <x v="0"/>
    <x v="0"/>
    <n v="201"/>
  </r>
  <r>
    <x v="1044"/>
    <x v="1"/>
    <x v="26"/>
    <m/>
    <x v="36"/>
    <x v="121"/>
    <x v="3"/>
    <x v="3"/>
    <x v="1"/>
    <n v="204"/>
  </r>
  <r>
    <x v="1045"/>
    <x v="24"/>
    <x v="0"/>
    <n v="360"/>
    <x v="33"/>
    <x v="393"/>
    <x v="12"/>
    <x v="3"/>
    <x v="12"/>
    <n v="138"/>
  </r>
  <r>
    <x v="1046"/>
    <x v="1"/>
    <x v="2"/>
    <m/>
    <x v="23"/>
    <x v="136"/>
    <x v="12"/>
    <x v="0"/>
    <x v="1"/>
    <n v="1100"/>
  </r>
  <r>
    <x v="1046"/>
    <x v="1"/>
    <x v="2"/>
    <n v="180"/>
    <x v="33"/>
    <x v="333"/>
    <x v="8"/>
    <x v="0"/>
    <x v="1"/>
    <n v="1100"/>
  </r>
  <r>
    <x v="1047"/>
    <x v="141"/>
    <x v="12"/>
    <n v="35"/>
    <x v="0"/>
    <x v="113"/>
    <x v="10"/>
    <x v="6"/>
    <x v="38"/>
    <n v="80"/>
  </r>
  <r>
    <x v="1048"/>
    <x v="142"/>
    <x v="12"/>
    <n v="165"/>
    <x v="0"/>
    <x v="225"/>
    <x v="5"/>
    <x v="8"/>
    <x v="1"/>
    <n v="324"/>
  </r>
  <r>
    <x v="1048"/>
    <x v="43"/>
    <x v="12"/>
    <n v="120"/>
    <x v="4"/>
    <x v="254"/>
    <x v="18"/>
    <x v="8"/>
    <x v="18"/>
    <n v="324"/>
  </r>
  <r>
    <x v="1049"/>
    <x v="69"/>
    <x v="0"/>
    <m/>
    <x v="0"/>
    <x v="32"/>
    <x v="0"/>
    <x v="6"/>
    <x v="14"/>
    <n v="630"/>
  </r>
  <r>
    <x v="1050"/>
    <x v="13"/>
    <x v="0"/>
    <n v="28"/>
    <x v="39"/>
    <x v="22"/>
    <x v="5"/>
    <x v="6"/>
    <x v="1"/>
    <m/>
  </r>
  <r>
    <x v="1051"/>
    <x v="4"/>
    <x v="11"/>
    <m/>
    <x v="23"/>
    <x v="2"/>
    <x v="2"/>
    <x v="7"/>
    <x v="1"/>
    <m/>
  </r>
  <r>
    <x v="1052"/>
    <x v="6"/>
    <x v="13"/>
    <m/>
    <x v="0"/>
    <x v="117"/>
    <x v="3"/>
    <x v="3"/>
    <x v="1"/>
    <n v="91"/>
  </r>
  <r>
    <x v="1053"/>
    <x v="16"/>
    <x v="29"/>
    <n v="70"/>
    <x v="6"/>
    <x v="313"/>
    <x v="7"/>
    <x v="3"/>
    <x v="7"/>
    <n v="150"/>
  </r>
  <r>
    <x v="1054"/>
    <x v="14"/>
    <x v="9"/>
    <m/>
    <x v="0"/>
    <x v="77"/>
    <x v="1"/>
    <x v="3"/>
    <x v="1"/>
    <n v="344"/>
  </r>
  <r>
    <x v="1055"/>
    <x v="1"/>
    <x v="12"/>
    <m/>
    <x v="20"/>
    <x v="394"/>
    <x v="5"/>
    <x v="1"/>
    <x v="1"/>
    <n v="126"/>
  </r>
  <r>
    <x v="1056"/>
    <x v="14"/>
    <x v="0"/>
    <m/>
    <x v="0"/>
    <x v="281"/>
    <x v="2"/>
    <x v="6"/>
    <x v="1"/>
    <m/>
  </r>
  <r>
    <x v="1057"/>
    <x v="1"/>
    <x v="0"/>
    <n v="237"/>
    <x v="1"/>
    <x v="227"/>
    <x v="0"/>
    <x v="8"/>
    <x v="1"/>
    <n v="567"/>
  </r>
  <r>
    <x v="1058"/>
    <x v="33"/>
    <x v="10"/>
    <n v="33"/>
    <x v="9"/>
    <x v="250"/>
    <x v="5"/>
    <x v="11"/>
    <x v="3"/>
    <n v="1"/>
  </r>
  <r>
    <x v="1059"/>
    <x v="1"/>
    <x v="3"/>
    <n v="250"/>
    <x v="9"/>
    <x v="395"/>
    <x v="30"/>
    <x v="6"/>
    <x v="1"/>
    <n v="2"/>
  </r>
  <r>
    <x v="1060"/>
    <x v="54"/>
    <x v="9"/>
    <m/>
    <x v="3"/>
    <x v="396"/>
    <x v="4"/>
    <x v="2"/>
    <x v="1"/>
    <n v="73"/>
  </r>
  <r>
    <x v="1061"/>
    <x v="66"/>
    <x v="23"/>
    <m/>
    <x v="22"/>
    <x v="198"/>
    <x v="3"/>
    <x v="2"/>
    <x v="1"/>
    <n v="13"/>
  </r>
  <r>
    <x v="1062"/>
    <x v="1"/>
    <x v="17"/>
    <m/>
    <x v="0"/>
    <x v="16"/>
    <x v="1"/>
    <x v="4"/>
    <x v="1"/>
    <n v="192"/>
  </r>
  <r>
    <x v="1062"/>
    <x v="1"/>
    <x v="17"/>
    <n v="90"/>
    <x v="10"/>
    <x v="397"/>
    <x v="17"/>
    <x v="4"/>
    <x v="1"/>
    <n v="192"/>
  </r>
  <r>
    <x v="1063"/>
    <x v="1"/>
    <x v="18"/>
    <n v="40"/>
    <x v="7"/>
    <x v="398"/>
    <x v="7"/>
    <x v="5"/>
    <x v="1"/>
    <n v="173"/>
  </r>
  <r>
    <x v="1064"/>
    <x v="143"/>
    <x v="12"/>
    <n v="200"/>
    <x v="0"/>
    <x v="177"/>
    <x v="8"/>
    <x v="4"/>
    <x v="1"/>
    <n v="450"/>
  </r>
  <r>
    <x v="1065"/>
    <x v="60"/>
    <x v="20"/>
    <n v="200"/>
    <x v="8"/>
    <x v="304"/>
    <x v="12"/>
    <x v="3"/>
    <x v="6"/>
    <n v="79"/>
  </r>
  <r>
    <x v="1066"/>
    <x v="3"/>
    <x v="5"/>
    <m/>
    <x v="10"/>
    <x v="130"/>
    <x v="2"/>
    <x v="4"/>
    <x v="1"/>
    <n v="260"/>
  </r>
  <r>
    <x v="1067"/>
    <x v="103"/>
    <x v="20"/>
    <m/>
    <x v="0"/>
    <x v="61"/>
    <x v="0"/>
    <x v="0"/>
    <x v="1"/>
    <n v="225"/>
  </r>
  <r>
    <x v="1068"/>
    <x v="4"/>
    <x v="12"/>
    <n v="9"/>
    <x v="18"/>
    <x v="399"/>
    <x v="10"/>
    <x v="5"/>
    <x v="1"/>
    <n v="782"/>
  </r>
  <r>
    <x v="1069"/>
    <x v="4"/>
    <x v="19"/>
    <n v="110"/>
    <x v="24"/>
    <x v="113"/>
    <x v="10"/>
    <x v="1"/>
    <x v="1"/>
    <n v="217"/>
  </r>
  <r>
    <x v="1070"/>
    <x v="35"/>
    <x v="2"/>
    <n v="20"/>
    <x v="6"/>
    <x v="169"/>
    <x v="3"/>
    <x v="4"/>
    <x v="1"/>
    <n v="69"/>
  </r>
  <r>
    <x v="1070"/>
    <x v="35"/>
    <x v="2"/>
    <n v="25"/>
    <x v="6"/>
    <x v="72"/>
    <x v="2"/>
    <x v="4"/>
    <x v="1"/>
    <n v="69"/>
  </r>
  <r>
    <x v="1071"/>
    <x v="9"/>
    <x v="1"/>
    <m/>
    <x v="10"/>
    <x v="101"/>
    <x v="2"/>
    <x v="0"/>
    <x v="1"/>
    <n v="731"/>
  </r>
  <r>
    <x v="1072"/>
    <x v="4"/>
    <x v="4"/>
    <m/>
    <x v="0"/>
    <x v="3"/>
    <x v="3"/>
    <x v="2"/>
    <x v="1"/>
    <n v="47"/>
  </r>
  <r>
    <x v="1072"/>
    <x v="4"/>
    <x v="4"/>
    <n v="30"/>
    <x v="0"/>
    <x v="292"/>
    <x v="4"/>
    <x v="2"/>
    <x v="1"/>
    <n v="47"/>
  </r>
  <r>
    <x v="1072"/>
    <x v="4"/>
    <x v="4"/>
    <n v="30"/>
    <x v="7"/>
    <x v="18"/>
    <x v="6"/>
    <x v="2"/>
    <x v="1"/>
    <n v="47"/>
  </r>
  <r>
    <x v="1073"/>
    <x v="1"/>
    <x v="1"/>
    <m/>
    <x v="0"/>
    <x v="305"/>
    <x v="2"/>
    <x v="0"/>
    <x v="1"/>
    <n v="809"/>
  </r>
  <r>
    <x v="1074"/>
    <x v="29"/>
    <x v="26"/>
    <m/>
    <x v="30"/>
    <x v="108"/>
    <x v="3"/>
    <x v="0"/>
    <x v="1"/>
    <m/>
  </r>
  <r>
    <x v="1075"/>
    <x v="3"/>
    <x v="2"/>
    <m/>
    <x v="24"/>
    <x v="123"/>
    <x v="14"/>
    <x v="3"/>
    <x v="1"/>
    <n v="35"/>
  </r>
  <r>
    <x v="1076"/>
    <x v="18"/>
    <x v="12"/>
    <n v="30"/>
    <x v="0"/>
    <x v="98"/>
    <x v="5"/>
    <x v="4"/>
    <x v="1"/>
    <n v="99"/>
  </r>
  <r>
    <x v="1077"/>
    <x v="60"/>
    <x v="12"/>
    <n v="40"/>
    <x v="9"/>
    <x v="400"/>
    <x v="18"/>
    <x v="10"/>
    <x v="6"/>
    <n v="582"/>
  </r>
  <r>
    <x v="1078"/>
    <x v="144"/>
    <x v="22"/>
    <n v="125"/>
    <x v="11"/>
    <x v="97"/>
    <x v="12"/>
    <x v="0"/>
    <x v="18"/>
    <m/>
  </r>
  <r>
    <x v="1079"/>
    <x v="145"/>
    <x v="12"/>
    <n v="100"/>
    <x v="11"/>
    <x v="14"/>
    <x v="3"/>
    <x v="0"/>
    <x v="1"/>
    <n v="1100"/>
  </r>
  <r>
    <x v="1080"/>
    <x v="120"/>
    <x v="3"/>
    <m/>
    <x v="7"/>
    <x v="97"/>
    <x v="12"/>
    <x v="0"/>
    <x v="44"/>
    <n v="240"/>
  </r>
  <r>
    <x v="1081"/>
    <x v="1"/>
    <x v="7"/>
    <m/>
    <x v="24"/>
    <x v="50"/>
    <x v="2"/>
    <x v="3"/>
    <x v="1"/>
    <n v="78"/>
  </r>
  <r>
    <x v="1082"/>
    <x v="7"/>
    <x v="27"/>
    <m/>
    <x v="10"/>
    <x v="48"/>
    <x v="5"/>
    <x v="0"/>
    <x v="4"/>
    <n v="15"/>
  </r>
  <r>
    <x v="1082"/>
    <x v="7"/>
    <x v="27"/>
    <m/>
    <x v="7"/>
    <x v="36"/>
    <x v="12"/>
    <x v="7"/>
    <x v="4"/>
    <n v="15"/>
  </r>
  <r>
    <x v="1083"/>
    <x v="5"/>
    <x v="12"/>
    <n v="70"/>
    <x v="10"/>
    <x v="231"/>
    <x v="5"/>
    <x v="3"/>
    <x v="3"/>
    <n v="120"/>
  </r>
  <r>
    <x v="1083"/>
    <x v="5"/>
    <x v="12"/>
    <n v="210"/>
    <x v="2"/>
    <x v="136"/>
    <x v="12"/>
    <x v="5"/>
    <x v="3"/>
    <n v="720"/>
  </r>
  <r>
    <x v="1084"/>
    <x v="34"/>
    <x v="6"/>
    <m/>
    <x v="3"/>
    <x v="44"/>
    <x v="0"/>
    <x v="0"/>
    <x v="1"/>
    <n v="150"/>
  </r>
  <r>
    <x v="1085"/>
    <x v="69"/>
    <x v="5"/>
    <n v="30"/>
    <x v="0"/>
    <x v="203"/>
    <x v="2"/>
    <x v="11"/>
    <x v="14"/>
    <n v="6"/>
  </r>
  <r>
    <x v="1086"/>
    <x v="1"/>
    <x v="13"/>
    <n v="960"/>
    <x v="4"/>
    <x v="108"/>
    <x v="3"/>
    <x v="0"/>
    <x v="1"/>
    <m/>
  </r>
  <r>
    <x v="1087"/>
    <x v="1"/>
    <x v="11"/>
    <n v="25"/>
    <x v="0"/>
    <x v="279"/>
    <x v="15"/>
    <x v="0"/>
    <x v="1"/>
    <n v="121900"/>
  </r>
  <r>
    <x v="1087"/>
    <x v="1"/>
    <x v="11"/>
    <n v="30"/>
    <x v="0"/>
    <x v="151"/>
    <x v="7"/>
    <x v="0"/>
    <x v="1"/>
    <n v="121900"/>
  </r>
  <r>
    <x v="1087"/>
    <x v="1"/>
    <x v="11"/>
    <n v="150"/>
    <x v="18"/>
    <x v="366"/>
    <x v="17"/>
    <x v="0"/>
    <x v="1"/>
    <n v="121900"/>
  </r>
  <r>
    <x v="1087"/>
    <x v="1"/>
    <x v="11"/>
    <n v="300"/>
    <x v="16"/>
    <x v="109"/>
    <x v="6"/>
    <x v="0"/>
    <x v="1"/>
    <n v="121900"/>
  </r>
  <r>
    <x v="1088"/>
    <x v="1"/>
    <x v="17"/>
    <n v="48"/>
    <x v="14"/>
    <x v="157"/>
    <x v="0"/>
    <x v="5"/>
    <x v="1"/>
    <n v="212"/>
  </r>
  <r>
    <x v="1089"/>
    <x v="13"/>
    <x v="18"/>
    <n v="20"/>
    <x v="0"/>
    <x v="91"/>
    <x v="18"/>
    <x v="0"/>
    <x v="1"/>
    <n v="215"/>
  </r>
  <r>
    <x v="1089"/>
    <x v="1"/>
    <x v="18"/>
    <n v="110"/>
    <x v="13"/>
    <x v="401"/>
    <x v="4"/>
    <x v="0"/>
    <x v="1"/>
    <n v="214"/>
  </r>
  <r>
    <x v="1089"/>
    <x v="1"/>
    <x v="18"/>
    <n v="160"/>
    <x v="11"/>
    <x v="402"/>
    <x v="34"/>
    <x v="0"/>
    <x v="1"/>
    <n v="215"/>
  </r>
  <r>
    <x v="1090"/>
    <x v="1"/>
    <x v="12"/>
    <n v="94"/>
    <x v="0"/>
    <x v="98"/>
    <x v="5"/>
    <x v="6"/>
    <x v="1"/>
    <m/>
  </r>
  <r>
    <x v="1091"/>
    <x v="1"/>
    <x v="12"/>
    <n v="150"/>
    <x v="3"/>
    <x v="34"/>
    <x v="1"/>
    <x v="1"/>
    <x v="1"/>
    <n v="881"/>
  </r>
  <r>
    <x v="1092"/>
    <x v="26"/>
    <x v="9"/>
    <m/>
    <x v="0"/>
    <x v="403"/>
    <x v="1"/>
    <x v="4"/>
    <x v="1"/>
    <n v="150"/>
  </r>
  <r>
    <x v="1093"/>
    <x v="48"/>
    <x v="20"/>
    <m/>
    <x v="3"/>
    <x v="32"/>
    <x v="0"/>
    <x v="10"/>
    <x v="1"/>
    <n v="200"/>
  </r>
  <r>
    <x v="1094"/>
    <x v="1"/>
    <x v="2"/>
    <m/>
    <x v="16"/>
    <x v="183"/>
    <x v="1"/>
    <x v="6"/>
    <x v="1"/>
    <n v="108"/>
  </r>
  <r>
    <x v="1094"/>
    <x v="1"/>
    <x v="2"/>
    <m/>
    <x v="11"/>
    <x v="20"/>
    <x v="7"/>
    <x v="6"/>
    <x v="1"/>
    <n v="108"/>
  </r>
  <r>
    <x v="1095"/>
    <x v="1"/>
    <x v="3"/>
    <n v="85"/>
    <x v="4"/>
    <x v="118"/>
    <x v="6"/>
    <x v="5"/>
    <x v="1"/>
    <n v="770"/>
  </r>
  <r>
    <x v="1096"/>
    <x v="60"/>
    <x v="9"/>
    <n v="200"/>
    <x v="0"/>
    <x v="404"/>
    <x v="24"/>
    <x v="6"/>
    <x v="6"/>
    <n v="194"/>
  </r>
  <r>
    <x v="1097"/>
    <x v="37"/>
    <x v="12"/>
    <m/>
    <x v="20"/>
    <x v="83"/>
    <x v="2"/>
    <x v="6"/>
    <x v="1"/>
    <m/>
  </r>
  <r>
    <x v="1098"/>
    <x v="5"/>
    <x v="12"/>
    <m/>
    <x v="7"/>
    <x v="6"/>
    <x v="4"/>
    <x v="3"/>
    <x v="3"/>
    <n v="290"/>
  </r>
  <r>
    <x v="1099"/>
    <x v="4"/>
    <x v="1"/>
    <n v="119"/>
    <x v="3"/>
    <x v="128"/>
    <x v="12"/>
    <x v="6"/>
    <x v="1"/>
    <n v="218"/>
  </r>
  <r>
    <x v="1100"/>
    <x v="4"/>
    <x v="28"/>
    <m/>
    <x v="0"/>
    <x v="205"/>
    <x v="3"/>
    <x v="8"/>
    <x v="1"/>
    <n v="657"/>
  </r>
  <r>
    <x v="1100"/>
    <x v="4"/>
    <x v="1"/>
    <n v="495"/>
    <x v="0"/>
    <x v="405"/>
    <x v="15"/>
    <x v="8"/>
    <x v="1"/>
    <n v="657"/>
  </r>
  <r>
    <x v="1100"/>
    <x v="4"/>
    <x v="1"/>
    <n v="500"/>
    <x v="10"/>
    <x v="177"/>
    <x v="8"/>
    <x v="8"/>
    <x v="1"/>
    <n v="657"/>
  </r>
  <r>
    <x v="1101"/>
    <x v="14"/>
    <x v="30"/>
    <n v="60"/>
    <x v="0"/>
    <x v="284"/>
    <x v="8"/>
    <x v="5"/>
    <x v="1"/>
    <n v="213"/>
  </r>
  <r>
    <x v="1101"/>
    <x v="14"/>
    <x v="30"/>
    <n v="110"/>
    <x v="9"/>
    <x v="45"/>
    <x v="6"/>
    <x v="5"/>
    <x v="1"/>
    <n v="213"/>
  </r>
  <r>
    <x v="1102"/>
    <x v="60"/>
    <x v="1"/>
    <m/>
    <x v="8"/>
    <x v="168"/>
    <x v="6"/>
    <x v="3"/>
    <x v="6"/>
    <n v="41"/>
  </r>
  <r>
    <x v="1103"/>
    <x v="142"/>
    <x v="13"/>
    <n v="240"/>
    <x v="60"/>
    <x v="159"/>
    <x v="16"/>
    <x v="2"/>
    <x v="1"/>
    <n v="158"/>
  </r>
  <r>
    <x v="1104"/>
    <x v="35"/>
    <x v="22"/>
    <n v="100"/>
    <x v="23"/>
    <x v="406"/>
    <x v="4"/>
    <x v="11"/>
    <x v="17"/>
    <n v="1"/>
  </r>
  <r>
    <x v="1105"/>
    <x v="146"/>
    <x v="12"/>
    <n v="62"/>
    <x v="31"/>
    <x v="49"/>
    <x v="10"/>
    <x v="3"/>
    <x v="47"/>
    <n v="78"/>
  </r>
  <r>
    <x v="1106"/>
    <x v="14"/>
    <x v="13"/>
    <n v="20"/>
    <x v="57"/>
    <x v="106"/>
    <x v="5"/>
    <x v="6"/>
    <x v="1"/>
    <n v="85"/>
  </r>
  <r>
    <x v="1107"/>
    <x v="16"/>
    <x v="5"/>
    <m/>
    <x v="20"/>
    <x v="27"/>
    <x v="8"/>
    <x v="3"/>
    <x v="7"/>
    <n v="42"/>
  </r>
  <r>
    <x v="1107"/>
    <x v="16"/>
    <x v="12"/>
    <n v="45"/>
    <x v="7"/>
    <x v="41"/>
    <x v="17"/>
    <x v="3"/>
    <x v="7"/>
    <n v="42"/>
  </r>
  <r>
    <x v="1108"/>
    <x v="1"/>
    <x v="0"/>
    <n v="7"/>
    <x v="0"/>
    <x v="4"/>
    <x v="1"/>
    <x v="5"/>
    <x v="1"/>
    <n v="2100"/>
  </r>
  <r>
    <x v="1108"/>
    <x v="1"/>
    <x v="0"/>
    <n v="300"/>
    <x v="7"/>
    <x v="199"/>
    <x v="2"/>
    <x v="5"/>
    <x v="1"/>
    <n v="2100"/>
  </r>
  <r>
    <x v="1109"/>
    <x v="1"/>
    <x v="18"/>
    <n v="270"/>
    <x v="30"/>
    <x v="19"/>
    <x v="4"/>
    <x v="0"/>
    <x v="1"/>
    <n v="1100"/>
  </r>
  <r>
    <x v="1110"/>
    <x v="4"/>
    <x v="5"/>
    <n v="110"/>
    <x v="37"/>
    <x v="363"/>
    <x v="7"/>
    <x v="10"/>
    <x v="1"/>
    <n v="1400"/>
  </r>
  <r>
    <x v="1111"/>
    <x v="1"/>
    <x v="17"/>
    <n v="80"/>
    <x v="9"/>
    <x v="184"/>
    <x v="4"/>
    <x v="4"/>
    <x v="1"/>
    <n v="175"/>
  </r>
  <r>
    <x v="1112"/>
    <x v="29"/>
    <x v="18"/>
    <m/>
    <x v="37"/>
    <x v="333"/>
    <x v="8"/>
    <x v="6"/>
    <x v="1"/>
    <n v="58"/>
  </r>
  <r>
    <x v="1113"/>
    <x v="1"/>
    <x v="11"/>
    <n v="75"/>
    <x v="6"/>
    <x v="235"/>
    <x v="14"/>
    <x v="6"/>
    <x v="1"/>
    <m/>
  </r>
  <r>
    <x v="1114"/>
    <x v="147"/>
    <x v="9"/>
    <m/>
    <x v="0"/>
    <x v="83"/>
    <x v="2"/>
    <x v="0"/>
    <x v="5"/>
    <n v="441"/>
  </r>
  <r>
    <x v="1115"/>
    <x v="1"/>
    <x v="10"/>
    <m/>
    <x v="0"/>
    <x v="136"/>
    <x v="12"/>
    <x v="4"/>
    <x v="1"/>
    <n v="214"/>
  </r>
  <r>
    <x v="1116"/>
    <x v="143"/>
    <x v="5"/>
    <n v="20"/>
    <x v="61"/>
    <x v="119"/>
    <x v="2"/>
    <x v="2"/>
    <x v="1"/>
    <n v="11"/>
  </r>
  <r>
    <x v="1117"/>
    <x v="148"/>
    <x v="5"/>
    <m/>
    <x v="24"/>
    <x v="142"/>
    <x v="0"/>
    <x v="2"/>
    <x v="24"/>
    <n v="8"/>
  </r>
  <r>
    <x v="1118"/>
    <x v="149"/>
    <x v="9"/>
    <n v="70"/>
    <x v="1"/>
    <x v="93"/>
    <x v="2"/>
    <x v="6"/>
    <x v="48"/>
    <n v="479"/>
  </r>
  <r>
    <x v="1118"/>
    <x v="149"/>
    <x v="9"/>
    <n v="70"/>
    <x v="26"/>
    <x v="93"/>
    <x v="2"/>
    <x v="6"/>
    <x v="48"/>
    <n v="477"/>
  </r>
  <r>
    <x v="1118"/>
    <x v="149"/>
    <x v="9"/>
    <n v="70"/>
    <x v="26"/>
    <x v="93"/>
    <x v="2"/>
    <x v="6"/>
    <x v="5"/>
    <n v="377"/>
  </r>
  <r>
    <x v="1119"/>
    <x v="48"/>
    <x v="23"/>
    <m/>
    <x v="11"/>
    <x v="222"/>
    <x v="2"/>
    <x v="0"/>
    <x v="1"/>
    <n v="355"/>
  </r>
  <r>
    <x v="1120"/>
    <x v="9"/>
    <x v="4"/>
    <m/>
    <x v="19"/>
    <x v="83"/>
    <x v="2"/>
    <x v="6"/>
    <x v="1"/>
    <n v="381"/>
  </r>
  <r>
    <x v="1121"/>
    <x v="49"/>
    <x v="1"/>
    <n v="16"/>
    <x v="0"/>
    <x v="163"/>
    <x v="3"/>
    <x v="2"/>
    <x v="1"/>
    <n v="14"/>
  </r>
  <r>
    <x v="1122"/>
    <x v="1"/>
    <x v="9"/>
    <n v="40"/>
    <x v="0"/>
    <x v="129"/>
    <x v="14"/>
    <x v="11"/>
    <x v="1"/>
    <n v="20"/>
  </r>
  <r>
    <x v="1123"/>
    <x v="74"/>
    <x v="12"/>
    <n v="30"/>
    <x v="0"/>
    <x v="407"/>
    <x v="29"/>
    <x v="3"/>
    <x v="6"/>
    <n v="85"/>
  </r>
  <r>
    <x v="1124"/>
    <x v="1"/>
    <x v="22"/>
    <n v="24"/>
    <x v="0"/>
    <x v="94"/>
    <x v="4"/>
    <x v="0"/>
    <x v="1"/>
    <n v="1200"/>
  </r>
  <r>
    <x v="1124"/>
    <x v="1"/>
    <x v="22"/>
    <n v="300"/>
    <x v="13"/>
    <x v="97"/>
    <x v="12"/>
    <x v="0"/>
    <x v="1"/>
    <n v="1200"/>
  </r>
  <r>
    <x v="1125"/>
    <x v="60"/>
    <x v="0"/>
    <n v="200"/>
    <x v="0"/>
    <x v="88"/>
    <x v="3"/>
    <x v="16"/>
    <x v="6"/>
    <n v="5000"/>
  </r>
  <r>
    <x v="1125"/>
    <x v="60"/>
    <x v="0"/>
    <n v="200"/>
    <x v="0"/>
    <x v="408"/>
    <x v="7"/>
    <x v="16"/>
    <x v="6"/>
    <n v="5000"/>
  </r>
  <r>
    <x v="1125"/>
    <x v="60"/>
    <x v="0"/>
    <n v="1000"/>
    <x v="0"/>
    <x v="233"/>
    <x v="1"/>
    <x v="16"/>
    <x v="6"/>
    <n v="5000"/>
  </r>
  <r>
    <x v="1125"/>
    <x v="60"/>
    <x v="0"/>
    <n v="1400"/>
    <x v="46"/>
    <x v="355"/>
    <x v="10"/>
    <x v="16"/>
    <x v="6"/>
    <n v="3800"/>
  </r>
  <r>
    <x v="1126"/>
    <x v="55"/>
    <x v="4"/>
    <m/>
    <x v="0"/>
    <x v="96"/>
    <x v="3"/>
    <x v="1"/>
    <x v="3"/>
    <n v="322"/>
  </r>
  <r>
    <x v="1126"/>
    <x v="55"/>
    <x v="4"/>
    <m/>
    <x v="0"/>
    <x v="47"/>
    <x v="17"/>
    <x v="1"/>
    <x v="3"/>
    <n v="322"/>
  </r>
  <r>
    <x v="1127"/>
    <x v="49"/>
    <x v="1"/>
    <n v="450"/>
    <x v="21"/>
    <x v="200"/>
    <x v="1"/>
    <x v="12"/>
    <x v="1"/>
    <n v="856"/>
  </r>
  <r>
    <x v="1128"/>
    <x v="49"/>
    <x v="1"/>
    <n v="215"/>
    <x v="46"/>
    <x v="128"/>
    <x v="12"/>
    <x v="12"/>
    <x v="1"/>
    <n v="856"/>
  </r>
  <r>
    <x v="1129"/>
    <x v="70"/>
    <x v="2"/>
    <n v="1500"/>
    <x v="6"/>
    <x v="96"/>
    <x v="3"/>
    <x v="7"/>
    <x v="28"/>
    <m/>
  </r>
  <r>
    <x v="1130"/>
    <x v="74"/>
    <x v="2"/>
    <n v="250"/>
    <x v="0"/>
    <x v="409"/>
    <x v="27"/>
    <x v="7"/>
    <x v="6"/>
    <n v="28"/>
  </r>
  <r>
    <x v="1131"/>
    <x v="5"/>
    <x v="12"/>
    <n v="136"/>
    <x v="21"/>
    <x v="225"/>
    <x v="5"/>
    <x v="3"/>
    <x v="3"/>
    <n v="26"/>
  </r>
  <r>
    <x v="1132"/>
    <x v="43"/>
    <x v="19"/>
    <m/>
    <x v="0"/>
    <x v="26"/>
    <x v="12"/>
    <x v="3"/>
    <x v="1"/>
    <n v="137"/>
  </r>
  <r>
    <x v="1133"/>
    <x v="1"/>
    <x v="6"/>
    <n v="72"/>
    <x v="9"/>
    <x v="397"/>
    <x v="17"/>
    <x v="2"/>
    <x v="1"/>
    <n v="20"/>
  </r>
  <r>
    <x v="1133"/>
    <x v="1"/>
    <x v="6"/>
    <n v="73"/>
    <x v="37"/>
    <x v="6"/>
    <x v="4"/>
    <x v="2"/>
    <x v="1"/>
    <n v="20"/>
  </r>
  <r>
    <x v="1134"/>
    <x v="4"/>
    <x v="12"/>
    <m/>
    <x v="0"/>
    <x v="315"/>
    <x v="23"/>
    <x v="0"/>
    <x v="1"/>
    <n v="1200"/>
  </r>
  <r>
    <x v="1135"/>
    <x v="16"/>
    <x v="2"/>
    <n v="62"/>
    <x v="62"/>
    <x v="61"/>
    <x v="0"/>
    <x v="5"/>
    <x v="7"/>
    <n v="442"/>
  </r>
  <r>
    <x v="1135"/>
    <x v="16"/>
    <x v="2"/>
    <n v="150"/>
    <x v="45"/>
    <x v="263"/>
    <x v="12"/>
    <x v="5"/>
    <x v="7"/>
    <n v="442"/>
  </r>
  <r>
    <x v="1136"/>
    <x v="14"/>
    <x v="1"/>
    <m/>
    <x v="9"/>
    <x v="32"/>
    <x v="0"/>
    <x v="5"/>
    <x v="1"/>
    <n v="479"/>
  </r>
  <r>
    <x v="1137"/>
    <x v="44"/>
    <x v="30"/>
    <n v="150"/>
    <x v="10"/>
    <x v="225"/>
    <x v="5"/>
    <x v="3"/>
    <x v="1"/>
    <n v="410"/>
  </r>
  <r>
    <x v="1137"/>
    <x v="44"/>
    <x v="22"/>
    <n v="950"/>
    <x v="9"/>
    <x v="170"/>
    <x v="6"/>
    <x v="4"/>
    <x v="1"/>
    <n v="926"/>
  </r>
  <r>
    <x v="1138"/>
    <x v="43"/>
    <x v="16"/>
    <n v="451"/>
    <x v="63"/>
    <x v="129"/>
    <x v="14"/>
    <x v="6"/>
    <x v="18"/>
    <n v="3000"/>
  </r>
  <r>
    <x v="1139"/>
    <x v="43"/>
    <x v="11"/>
    <m/>
    <x v="0"/>
    <x v="229"/>
    <x v="4"/>
    <x v="6"/>
    <x v="18"/>
    <m/>
  </r>
  <r>
    <x v="1140"/>
    <x v="13"/>
    <x v="2"/>
    <n v="20"/>
    <x v="0"/>
    <x v="129"/>
    <x v="14"/>
    <x v="3"/>
    <x v="1"/>
    <n v="25"/>
  </r>
  <r>
    <x v="1141"/>
    <x v="69"/>
    <x v="12"/>
    <m/>
    <x v="22"/>
    <x v="306"/>
    <x v="10"/>
    <x v="3"/>
    <x v="14"/>
    <n v="170"/>
  </r>
  <r>
    <x v="1142"/>
    <x v="5"/>
    <x v="12"/>
    <m/>
    <x v="0"/>
    <x v="410"/>
    <x v="12"/>
    <x v="5"/>
    <x v="3"/>
    <n v="140"/>
  </r>
  <r>
    <x v="1143"/>
    <x v="0"/>
    <x v="1"/>
    <n v="18"/>
    <x v="9"/>
    <x v="57"/>
    <x v="5"/>
    <x v="2"/>
    <x v="0"/>
    <n v="24"/>
  </r>
  <r>
    <x v="1144"/>
    <x v="1"/>
    <x v="23"/>
    <n v="550"/>
    <x v="26"/>
    <x v="148"/>
    <x v="2"/>
    <x v="0"/>
    <x v="1"/>
    <n v="1900"/>
  </r>
  <r>
    <x v="1144"/>
    <x v="1"/>
    <x v="23"/>
    <n v="600"/>
    <x v="46"/>
    <x v="54"/>
    <x v="5"/>
    <x v="1"/>
    <x v="1"/>
    <n v="1500"/>
  </r>
  <r>
    <x v="1145"/>
    <x v="54"/>
    <x v="12"/>
    <n v="83"/>
    <x v="20"/>
    <x v="290"/>
    <x v="12"/>
    <x v="0"/>
    <x v="4"/>
    <n v="299"/>
  </r>
  <r>
    <x v="1146"/>
    <x v="4"/>
    <x v="5"/>
    <m/>
    <x v="7"/>
    <x v="64"/>
    <x v="1"/>
    <x v="4"/>
    <x v="1"/>
    <n v="427"/>
  </r>
  <r>
    <x v="1147"/>
    <x v="38"/>
    <x v="13"/>
    <m/>
    <x v="4"/>
    <x v="108"/>
    <x v="3"/>
    <x v="0"/>
    <x v="0"/>
    <n v="1100"/>
  </r>
  <r>
    <x v="1148"/>
    <x v="35"/>
    <x v="11"/>
    <n v="14"/>
    <x v="13"/>
    <x v="45"/>
    <x v="6"/>
    <x v="1"/>
    <x v="17"/>
    <n v="223"/>
  </r>
  <r>
    <x v="1149"/>
    <x v="3"/>
    <x v="2"/>
    <n v="35"/>
    <x v="6"/>
    <x v="84"/>
    <x v="5"/>
    <x v="6"/>
    <x v="1"/>
    <n v="70"/>
  </r>
  <r>
    <x v="1150"/>
    <x v="1"/>
    <x v="12"/>
    <n v="155"/>
    <x v="10"/>
    <x v="128"/>
    <x v="12"/>
    <x v="0"/>
    <x v="1"/>
    <n v="566"/>
  </r>
  <r>
    <x v="1151"/>
    <x v="1"/>
    <x v="2"/>
    <n v="60"/>
    <x v="6"/>
    <x v="411"/>
    <x v="23"/>
    <x v="5"/>
    <x v="1"/>
    <n v="251"/>
  </r>
  <r>
    <x v="1152"/>
    <x v="1"/>
    <x v="20"/>
    <m/>
    <x v="0"/>
    <x v="71"/>
    <x v="3"/>
    <x v="0"/>
    <x v="1"/>
    <m/>
  </r>
  <r>
    <x v="1152"/>
    <x v="1"/>
    <x v="20"/>
    <m/>
    <x v="0"/>
    <x v="229"/>
    <x v="4"/>
    <x v="0"/>
    <x v="1"/>
    <m/>
  </r>
  <r>
    <x v="1152"/>
    <x v="1"/>
    <x v="20"/>
    <n v="200"/>
    <x v="0"/>
    <x v="93"/>
    <x v="2"/>
    <x v="0"/>
    <x v="1"/>
    <m/>
  </r>
  <r>
    <x v="1153"/>
    <x v="1"/>
    <x v="20"/>
    <m/>
    <x v="0"/>
    <x v="253"/>
    <x v="4"/>
    <x v="2"/>
    <x v="1"/>
    <n v="20"/>
  </r>
  <r>
    <x v="1154"/>
    <x v="133"/>
    <x v="1"/>
    <n v="62"/>
    <x v="14"/>
    <x v="78"/>
    <x v="8"/>
    <x v="6"/>
    <x v="17"/>
    <n v="86"/>
  </r>
  <r>
    <x v="1155"/>
    <x v="4"/>
    <x v="23"/>
    <m/>
    <x v="10"/>
    <x v="109"/>
    <x v="6"/>
    <x v="5"/>
    <x v="1"/>
    <n v="472"/>
  </r>
  <r>
    <x v="1155"/>
    <x v="4"/>
    <x v="23"/>
    <n v="180"/>
    <x v="0"/>
    <x v="2"/>
    <x v="2"/>
    <x v="5"/>
    <x v="1"/>
    <n v="472"/>
  </r>
  <r>
    <x v="1156"/>
    <x v="32"/>
    <x v="12"/>
    <n v="400"/>
    <x v="7"/>
    <x v="204"/>
    <x v="10"/>
    <x v="3"/>
    <x v="16"/>
    <n v="175"/>
  </r>
  <r>
    <x v="1157"/>
    <x v="4"/>
    <x v="1"/>
    <n v="70"/>
    <x v="13"/>
    <x v="252"/>
    <x v="5"/>
    <x v="6"/>
    <x v="1"/>
    <n v="1300"/>
  </r>
  <r>
    <x v="1158"/>
    <x v="35"/>
    <x v="0"/>
    <m/>
    <x v="0"/>
    <x v="412"/>
    <x v="4"/>
    <x v="0"/>
    <x v="17"/>
    <n v="231"/>
  </r>
  <r>
    <x v="1158"/>
    <x v="35"/>
    <x v="0"/>
    <n v="80"/>
    <x v="31"/>
    <x v="44"/>
    <x v="0"/>
    <x v="0"/>
    <x v="17"/>
    <n v="231"/>
  </r>
  <r>
    <x v="1159"/>
    <x v="1"/>
    <x v="0"/>
    <m/>
    <x v="10"/>
    <x v="17"/>
    <x v="7"/>
    <x v="0"/>
    <x v="1"/>
    <n v="282"/>
  </r>
  <r>
    <x v="1159"/>
    <x v="1"/>
    <x v="0"/>
    <m/>
    <x v="10"/>
    <x v="413"/>
    <x v="16"/>
    <x v="3"/>
    <x v="1"/>
    <n v="132"/>
  </r>
  <r>
    <x v="1160"/>
    <x v="29"/>
    <x v="2"/>
    <n v="52"/>
    <x v="40"/>
    <x v="235"/>
    <x v="14"/>
    <x v="4"/>
    <x v="1"/>
    <n v="48"/>
  </r>
  <r>
    <x v="1161"/>
    <x v="4"/>
    <x v="2"/>
    <n v="38"/>
    <x v="16"/>
    <x v="282"/>
    <x v="1"/>
    <x v="0"/>
    <x v="1"/>
    <n v="394"/>
  </r>
  <r>
    <x v="1162"/>
    <x v="1"/>
    <x v="0"/>
    <m/>
    <x v="0"/>
    <x v="181"/>
    <x v="18"/>
    <x v="4"/>
    <x v="1"/>
    <n v="75"/>
  </r>
  <r>
    <x v="1163"/>
    <x v="9"/>
    <x v="8"/>
    <n v="60"/>
    <x v="13"/>
    <x v="184"/>
    <x v="4"/>
    <x v="13"/>
    <x v="1"/>
    <n v="489"/>
  </r>
  <r>
    <x v="1163"/>
    <x v="9"/>
    <x v="8"/>
    <n v="70"/>
    <x v="11"/>
    <x v="74"/>
    <x v="12"/>
    <x v="13"/>
    <x v="1"/>
    <n v="489"/>
  </r>
  <r>
    <x v="1164"/>
    <x v="1"/>
    <x v="6"/>
    <n v="31"/>
    <x v="26"/>
    <x v="158"/>
    <x v="1"/>
    <x v="5"/>
    <x v="1"/>
    <n v="240"/>
  </r>
  <r>
    <x v="1164"/>
    <x v="1"/>
    <x v="6"/>
    <n v="43"/>
    <x v="9"/>
    <x v="112"/>
    <x v="0"/>
    <x v="5"/>
    <x v="1"/>
    <n v="240"/>
  </r>
  <r>
    <x v="1165"/>
    <x v="46"/>
    <x v="11"/>
    <m/>
    <x v="5"/>
    <x v="83"/>
    <x v="2"/>
    <x v="3"/>
    <x v="1"/>
    <n v="174"/>
  </r>
  <r>
    <x v="1165"/>
    <x v="46"/>
    <x v="11"/>
    <n v="87"/>
    <x v="6"/>
    <x v="370"/>
    <x v="17"/>
    <x v="3"/>
    <x v="1"/>
    <n v="174"/>
  </r>
  <r>
    <x v="1166"/>
    <x v="4"/>
    <x v="11"/>
    <n v="30"/>
    <x v="15"/>
    <x v="235"/>
    <x v="14"/>
    <x v="3"/>
    <x v="1"/>
    <n v="35"/>
  </r>
  <r>
    <x v="1167"/>
    <x v="143"/>
    <x v="1"/>
    <m/>
    <x v="0"/>
    <x v="90"/>
    <x v="1"/>
    <x v="0"/>
    <x v="1"/>
    <n v="178"/>
  </r>
  <r>
    <x v="1168"/>
    <x v="4"/>
    <x v="22"/>
    <n v="170"/>
    <x v="3"/>
    <x v="83"/>
    <x v="2"/>
    <x v="1"/>
    <x v="1"/>
    <n v="507"/>
  </r>
  <r>
    <x v="1169"/>
    <x v="74"/>
    <x v="0"/>
    <n v="40"/>
    <x v="7"/>
    <x v="118"/>
    <x v="6"/>
    <x v="6"/>
    <x v="6"/>
    <n v="13"/>
  </r>
  <r>
    <x v="1170"/>
    <x v="58"/>
    <x v="14"/>
    <m/>
    <x v="0"/>
    <x v="323"/>
    <x v="18"/>
    <x v="8"/>
    <x v="1"/>
    <n v="3200"/>
  </r>
  <r>
    <x v="1170"/>
    <x v="80"/>
    <x v="14"/>
    <n v="600"/>
    <x v="0"/>
    <x v="187"/>
    <x v="0"/>
    <x v="8"/>
    <x v="6"/>
    <n v="4000"/>
  </r>
  <r>
    <x v="1170"/>
    <x v="80"/>
    <x v="14"/>
    <n v="600"/>
    <x v="0"/>
    <x v="414"/>
    <x v="11"/>
    <x v="8"/>
    <x v="6"/>
    <n v="3200"/>
  </r>
  <r>
    <x v="1170"/>
    <x v="43"/>
    <x v="14"/>
    <n v="150"/>
    <x v="0"/>
    <x v="113"/>
    <x v="10"/>
    <x v="8"/>
    <x v="18"/>
    <n v="2400"/>
  </r>
  <r>
    <x v="1170"/>
    <x v="5"/>
    <x v="14"/>
    <n v="500"/>
    <x v="0"/>
    <x v="415"/>
    <x v="5"/>
    <x v="8"/>
    <x v="3"/>
    <n v="2400"/>
  </r>
  <r>
    <x v="1171"/>
    <x v="131"/>
    <x v="19"/>
    <m/>
    <x v="0"/>
    <x v="209"/>
    <x v="3"/>
    <x v="4"/>
    <x v="1"/>
    <n v="224"/>
  </r>
  <r>
    <x v="1171"/>
    <x v="131"/>
    <x v="19"/>
    <m/>
    <x v="0"/>
    <x v="96"/>
    <x v="3"/>
    <x v="4"/>
    <x v="1"/>
    <n v="224"/>
  </r>
  <r>
    <x v="1172"/>
    <x v="1"/>
    <x v="11"/>
    <m/>
    <x v="20"/>
    <x v="416"/>
    <x v="32"/>
    <x v="4"/>
    <x v="1"/>
    <n v="70"/>
  </r>
  <r>
    <x v="1173"/>
    <x v="1"/>
    <x v="23"/>
    <n v="100"/>
    <x v="8"/>
    <x v="177"/>
    <x v="8"/>
    <x v="4"/>
    <x v="1"/>
    <n v="217"/>
  </r>
  <r>
    <x v="1174"/>
    <x v="4"/>
    <x v="4"/>
    <n v="138"/>
    <x v="7"/>
    <x v="265"/>
    <x v="4"/>
    <x v="6"/>
    <x v="1"/>
    <n v="472"/>
  </r>
  <r>
    <x v="1175"/>
    <x v="1"/>
    <x v="1"/>
    <n v="94"/>
    <x v="0"/>
    <x v="294"/>
    <x v="1"/>
    <x v="4"/>
    <x v="1"/>
    <n v="200"/>
  </r>
  <r>
    <x v="1176"/>
    <x v="43"/>
    <x v="12"/>
    <m/>
    <x v="4"/>
    <x v="209"/>
    <x v="3"/>
    <x v="5"/>
    <x v="18"/>
    <n v="293"/>
  </r>
  <r>
    <x v="1177"/>
    <x v="60"/>
    <x v="19"/>
    <n v="80"/>
    <x v="0"/>
    <x v="417"/>
    <x v="35"/>
    <x v="2"/>
    <x v="6"/>
    <n v="17"/>
  </r>
  <r>
    <x v="1178"/>
    <x v="4"/>
    <x v="12"/>
    <n v="140"/>
    <x v="7"/>
    <x v="14"/>
    <x v="3"/>
    <x v="0"/>
    <x v="1"/>
    <n v="571"/>
  </r>
  <r>
    <x v="1179"/>
    <x v="5"/>
    <x v="12"/>
    <n v="500"/>
    <x v="11"/>
    <x v="234"/>
    <x v="3"/>
    <x v="0"/>
    <x v="3"/>
    <m/>
  </r>
  <r>
    <x v="1180"/>
    <x v="1"/>
    <x v="17"/>
    <m/>
    <x v="11"/>
    <x v="163"/>
    <x v="3"/>
    <x v="0"/>
    <x v="1"/>
    <n v="173"/>
  </r>
  <r>
    <x v="1181"/>
    <x v="5"/>
    <x v="12"/>
    <m/>
    <x v="11"/>
    <x v="205"/>
    <x v="3"/>
    <x v="0"/>
    <x v="3"/>
    <m/>
  </r>
  <r>
    <x v="1182"/>
    <x v="80"/>
    <x v="12"/>
    <n v="1500"/>
    <x v="31"/>
    <x v="328"/>
    <x v="18"/>
    <x v="13"/>
    <x v="6"/>
    <n v="496"/>
  </r>
  <r>
    <x v="1183"/>
    <x v="26"/>
    <x v="13"/>
    <n v="75"/>
    <x v="12"/>
    <x v="74"/>
    <x v="12"/>
    <x v="0"/>
    <x v="1"/>
    <n v="3000"/>
  </r>
  <r>
    <x v="1184"/>
    <x v="26"/>
    <x v="14"/>
    <n v="18"/>
    <x v="0"/>
    <x v="22"/>
    <x v="5"/>
    <x v="2"/>
    <x v="1"/>
    <n v="11"/>
  </r>
  <r>
    <x v="1185"/>
    <x v="1"/>
    <x v="3"/>
    <n v="6"/>
    <x v="36"/>
    <x v="340"/>
    <x v="14"/>
    <x v="11"/>
    <x v="1"/>
    <n v="1"/>
  </r>
  <r>
    <x v="1186"/>
    <x v="37"/>
    <x v="20"/>
    <m/>
    <x v="6"/>
    <x v="4"/>
    <x v="1"/>
    <x v="5"/>
    <x v="1"/>
    <n v="241"/>
  </r>
  <r>
    <x v="1187"/>
    <x v="150"/>
    <x v="18"/>
    <n v="60"/>
    <x v="0"/>
    <x v="118"/>
    <x v="6"/>
    <x v="6"/>
    <x v="1"/>
    <n v="8"/>
  </r>
  <r>
    <x v="1188"/>
    <x v="1"/>
    <x v="9"/>
    <m/>
    <x v="0"/>
    <x v="418"/>
    <x v="23"/>
    <x v="6"/>
    <x v="1"/>
    <n v="13"/>
  </r>
  <r>
    <x v="1189"/>
    <x v="75"/>
    <x v="3"/>
    <n v="60"/>
    <x v="36"/>
    <x v="5"/>
    <x v="3"/>
    <x v="3"/>
    <x v="1"/>
    <n v="36"/>
  </r>
  <r>
    <x v="1190"/>
    <x v="1"/>
    <x v="19"/>
    <n v="40"/>
    <x v="9"/>
    <x v="54"/>
    <x v="5"/>
    <x v="4"/>
    <x v="1"/>
    <n v="72"/>
  </r>
  <r>
    <x v="1191"/>
    <x v="0"/>
    <x v="8"/>
    <n v="40"/>
    <x v="7"/>
    <x v="163"/>
    <x v="3"/>
    <x v="3"/>
    <x v="0"/>
    <n v="36"/>
  </r>
  <r>
    <x v="1192"/>
    <x v="131"/>
    <x v="0"/>
    <n v="44"/>
    <x v="0"/>
    <x v="123"/>
    <x v="14"/>
    <x v="5"/>
    <x v="1"/>
    <n v="123"/>
  </r>
  <r>
    <x v="1193"/>
    <x v="1"/>
    <x v="9"/>
    <m/>
    <x v="20"/>
    <x v="208"/>
    <x v="7"/>
    <x v="6"/>
    <x v="1"/>
    <m/>
  </r>
  <r>
    <x v="1194"/>
    <x v="3"/>
    <x v="1"/>
    <n v="100"/>
    <x v="7"/>
    <x v="22"/>
    <x v="5"/>
    <x v="3"/>
    <x v="1"/>
    <n v="75"/>
  </r>
  <r>
    <x v="1195"/>
    <x v="1"/>
    <x v="11"/>
    <n v="5"/>
    <x v="0"/>
    <x v="68"/>
    <x v="7"/>
    <x v="8"/>
    <x v="1"/>
    <n v="413"/>
  </r>
  <r>
    <x v="1195"/>
    <x v="1"/>
    <x v="11"/>
    <n v="30"/>
    <x v="35"/>
    <x v="179"/>
    <x v="5"/>
    <x v="5"/>
    <x v="1"/>
    <n v="165"/>
  </r>
  <r>
    <x v="1195"/>
    <x v="1"/>
    <x v="11"/>
    <n v="36"/>
    <x v="0"/>
    <x v="419"/>
    <x v="34"/>
    <x v="5"/>
    <x v="1"/>
    <n v="165"/>
  </r>
  <r>
    <x v="1195"/>
    <x v="1"/>
    <x v="11"/>
    <n v="80"/>
    <x v="3"/>
    <x v="218"/>
    <x v="7"/>
    <x v="8"/>
    <x v="1"/>
    <n v="413"/>
  </r>
  <r>
    <x v="1196"/>
    <x v="1"/>
    <x v="18"/>
    <n v="96"/>
    <x v="64"/>
    <x v="333"/>
    <x v="8"/>
    <x v="5"/>
    <x v="1"/>
    <n v="103"/>
  </r>
  <r>
    <x v="1197"/>
    <x v="14"/>
    <x v="19"/>
    <n v="46"/>
    <x v="0"/>
    <x v="98"/>
    <x v="5"/>
    <x v="6"/>
    <x v="1"/>
    <m/>
  </r>
  <r>
    <x v="1198"/>
    <x v="51"/>
    <x v="19"/>
    <n v="200"/>
    <x v="7"/>
    <x v="243"/>
    <x v="9"/>
    <x v="1"/>
    <x v="20"/>
    <n v="495"/>
  </r>
  <r>
    <x v="1199"/>
    <x v="1"/>
    <x v="12"/>
    <n v="27"/>
    <x v="9"/>
    <x v="84"/>
    <x v="5"/>
    <x v="3"/>
    <x v="1"/>
    <n v="71"/>
  </r>
  <r>
    <x v="1200"/>
    <x v="1"/>
    <x v="12"/>
    <n v="83"/>
    <x v="0"/>
    <x v="47"/>
    <x v="17"/>
    <x v="0"/>
    <x v="1"/>
    <n v="216"/>
  </r>
  <r>
    <x v="1200"/>
    <x v="1"/>
    <x v="12"/>
    <n v="2000"/>
    <x v="11"/>
    <x v="108"/>
    <x v="3"/>
    <x v="0"/>
    <x v="1"/>
    <n v="216"/>
  </r>
  <r>
    <x v="1201"/>
    <x v="12"/>
    <x v="12"/>
    <n v="40"/>
    <x v="0"/>
    <x v="420"/>
    <x v="23"/>
    <x v="7"/>
    <x v="6"/>
    <n v="26"/>
  </r>
  <r>
    <x v="1202"/>
    <x v="74"/>
    <x v="12"/>
    <n v="500"/>
    <x v="0"/>
    <x v="179"/>
    <x v="5"/>
    <x v="6"/>
    <x v="6"/>
    <n v="2200"/>
  </r>
  <r>
    <x v="1203"/>
    <x v="70"/>
    <x v="12"/>
    <n v="150"/>
    <x v="1"/>
    <x v="421"/>
    <x v="0"/>
    <x v="7"/>
    <x v="28"/>
    <m/>
  </r>
  <r>
    <x v="1204"/>
    <x v="14"/>
    <x v="1"/>
    <n v="59"/>
    <x v="29"/>
    <x v="203"/>
    <x v="2"/>
    <x v="0"/>
    <x v="1"/>
    <n v="409"/>
  </r>
  <r>
    <x v="1204"/>
    <x v="14"/>
    <x v="1"/>
    <n v="59"/>
    <x v="29"/>
    <x v="67"/>
    <x v="2"/>
    <x v="0"/>
    <x v="1"/>
    <n v="409"/>
  </r>
  <r>
    <x v="1204"/>
    <x v="14"/>
    <x v="1"/>
    <n v="25"/>
    <x v="2"/>
    <x v="1"/>
    <x v="1"/>
    <x v="0"/>
    <x v="1"/>
    <n v="409"/>
  </r>
  <r>
    <x v="1205"/>
    <x v="4"/>
    <x v="2"/>
    <m/>
    <x v="56"/>
    <x v="22"/>
    <x v="5"/>
    <x v="4"/>
    <x v="1"/>
    <n v="81"/>
  </r>
  <r>
    <x v="1206"/>
    <x v="35"/>
    <x v="13"/>
    <n v="30"/>
    <x v="9"/>
    <x v="107"/>
    <x v="3"/>
    <x v="4"/>
    <x v="17"/>
    <n v="116"/>
  </r>
  <r>
    <x v="1207"/>
    <x v="18"/>
    <x v="14"/>
    <n v="45"/>
    <x v="0"/>
    <x v="257"/>
    <x v="14"/>
    <x v="3"/>
    <x v="1"/>
    <n v="39"/>
  </r>
  <r>
    <x v="1208"/>
    <x v="151"/>
    <x v="19"/>
    <m/>
    <x v="24"/>
    <x v="309"/>
    <x v="14"/>
    <x v="6"/>
    <x v="1"/>
    <n v="47"/>
  </r>
  <r>
    <x v="1209"/>
    <x v="1"/>
    <x v="23"/>
    <n v="41"/>
    <x v="36"/>
    <x v="123"/>
    <x v="14"/>
    <x v="3"/>
    <x v="1"/>
    <n v="34"/>
  </r>
  <r>
    <x v="1210"/>
    <x v="3"/>
    <x v="12"/>
    <n v="51"/>
    <x v="8"/>
    <x v="161"/>
    <x v="14"/>
    <x v="4"/>
    <x v="1"/>
    <n v="110"/>
  </r>
  <r>
    <x v="1210"/>
    <x v="3"/>
    <x v="12"/>
    <n v="75"/>
    <x v="0"/>
    <x v="41"/>
    <x v="17"/>
    <x v="4"/>
    <x v="1"/>
    <n v="121"/>
  </r>
  <r>
    <x v="1210"/>
    <x v="3"/>
    <x v="23"/>
    <m/>
    <x v="0"/>
    <x v="162"/>
    <x v="12"/>
    <x v="4"/>
    <x v="1"/>
    <n v="121"/>
  </r>
  <r>
    <x v="1211"/>
    <x v="14"/>
    <x v="19"/>
    <n v="245"/>
    <x v="30"/>
    <x v="189"/>
    <x v="3"/>
    <x v="0"/>
    <x v="1"/>
    <m/>
  </r>
  <r>
    <x v="1212"/>
    <x v="4"/>
    <x v="28"/>
    <n v="500"/>
    <x v="5"/>
    <x v="105"/>
    <x v="8"/>
    <x v="0"/>
    <x v="1"/>
    <n v="1900"/>
  </r>
  <r>
    <x v="1212"/>
    <x v="4"/>
    <x v="28"/>
    <n v="784"/>
    <x v="35"/>
    <x v="253"/>
    <x v="4"/>
    <x v="0"/>
    <x v="1"/>
    <n v="1900"/>
  </r>
  <r>
    <x v="1212"/>
    <x v="4"/>
    <x v="28"/>
    <n v="2800"/>
    <x v="7"/>
    <x v="422"/>
    <x v="29"/>
    <x v="0"/>
    <x v="1"/>
    <n v="1900"/>
  </r>
  <r>
    <x v="1213"/>
    <x v="103"/>
    <x v="17"/>
    <n v="45"/>
    <x v="13"/>
    <x v="270"/>
    <x v="7"/>
    <x v="8"/>
    <x v="1"/>
    <n v="469"/>
  </r>
  <r>
    <x v="1214"/>
    <x v="1"/>
    <x v="2"/>
    <n v="30"/>
    <x v="26"/>
    <x v="147"/>
    <x v="5"/>
    <x v="4"/>
    <x v="1"/>
    <n v="100"/>
  </r>
  <r>
    <x v="1214"/>
    <x v="1"/>
    <x v="8"/>
    <m/>
    <x v="0"/>
    <x v="90"/>
    <x v="1"/>
    <x v="5"/>
    <x v="1"/>
    <n v="200"/>
  </r>
  <r>
    <x v="1215"/>
    <x v="1"/>
    <x v="19"/>
    <m/>
    <x v="0"/>
    <x v="57"/>
    <x v="5"/>
    <x v="2"/>
    <x v="1"/>
    <n v="7"/>
  </r>
  <r>
    <x v="1216"/>
    <x v="14"/>
    <x v="0"/>
    <m/>
    <x v="20"/>
    <x v="229"/>
    <x v="4"/>
    <x v="2"/>
    <x v="1"/>
    <n v="20"/>
  </r>
  <r>
    <x v="1217"/>
    <x v="35"/>
    <x v="22"/>
    <n v="20"/>
    <x v="4"/>
    <x v="32"/>
    <x v="0"/>
    <x v="4"/>
    <x v="17"/>
    <n v="165"/>
  </r>
  <r>
    <x v="1218"/>
    <x v="35"/>
    <x v="2"/>
    <n v="20"/>
    <x v="13"/>
    <x v="261"/>
    <x v="4"/>
    <x v="0"/>
    <x v="17"/>
    <n v="76"/>
  </r>
  <r>
    <x v="1219"/>
    <x v="43"/>
    <x v="19"/>
    <m/>
    <x v="0"/>
    <x v="423"/>
    <x v="23"/>
    <x v="6"/>
    <x v="18"/>
    <n v="30"/>
  </r>
  <r>
    <x v="1220"/>
    <x v="15"/>
    <x v="19"/>
    <n v="10"/>
    <x v="10"/>
    <x v="145"/>
    <x v="5"/>
    <x v="10"/>
    <x v="1"/>
    <n v="50"/>
  </r>
  <r>
    <x v="1221"/>
    <x v="43"/>
    <x v="2"/>
    <n v="30"/>
    <x v="5"/>
    <x v="337"/>
    <x v="4"/>
    <x v="4"/>
    <x v="18"/>
    <n v="105"/>
  </r>
  <r>
    <x v="1222"/>
    <x v="1"/>
    <x v="1"/>
    <m/>
    <x v="8"/>
    <x v="198"/>
    <x v="3"/>
    <x v="0"/>
    <x v="1"/>
    <n v="225"/>
  </r>
  <r>
    <x v="1223"/>
    <x v="4"/>
    <x v="10"/>
    <n v="30"/>
    <x v="4"/>
    <x v="107"/>
    <x v="3"/>
    <x v="10"/>
    <x v="1"/>
    <n v="178"/>
  </r>
  <r>
    <x v="1224"/>
    <x v="7"/>
    <x v="1"/>
    <m/>
    <x v="0"/>
    <x v="374"/>
    <x v="1"/>
    <x v="11"/>
    <x v="4"/>
    <n v="2"/>
  </r>
  <r>
    <x v="1225"/>
    <x v="1"/>
    <x v="20"/>
    <m/>
    <x v="20"/>
    <x v="313"/>
    <x v="7"/>
    <x v="11"/>
    <x v="1"/>
    <n v="6"/>
  </r>
  <r>
    <x v="1226"/>
    <x v="4"/>
    <x v="12"/>
    <m/>
    <x v="0"/>
    <x v="267"/>
    <x v="10"/>
    <x v="3"/>
    <x v="1"/>
    <n v="47"/>
  </r>
  <r>
    <x v="1226"/>
    <x v="4"/>
    <x v="12"/>
    <m/>
    <x v="0"/>
    <x v="401"/>
    <x v="4"/>
    <x v="5"/>
    <x v="1"/>
    <n v="704"/>
  </r>
  <r>
    <x v="1227"/>
    <x v="5"/>
    <x v="4"/>
    <n v="94"/>
    <x v="0"/>
    <x v="212"/>
    <x v="12"/>
    <x v="4"/>
    <x v="3"/>
    <n v="225"/>
  </r>
  <r>
    <x v="1228"/>
    <x v="60"/>
    <x v="1"/>
    <m/>
    <x v="22"/>
    <x v="244"/>
    <x v="12"/>
    <x v="3"/>
    <x v="6"/>
    <n v="40"/>
  </r>
  <r>
    <x v="1229"/>
    <x v="12"/>
    <x v="1"/>
    <m/>
    <x v="0"/>
    <x v="112"/>
    <x v="0"/>
    <x v="6"/>
    <x v="6"/>
    <n v="1600"/>
  </r>
  <r>
    <x v="1229"/>
    <x v="12"/>
    <x v="1"/>
    <n v="40"/>
    <x v="0"/>
    <x v="228"/>
    <x v="6"/>
    <x v="6"/>
    <x v="6"/>
    <n v="1600"/>
  </r>
  <r>
    <x v="1230"/>
    <x v="70"/>
    <x v="1"/>
    <n v="4000"/>
    <x v="13"/>
    <x v="216"/>
    <x v="8"/>
    <x v="0"/>
    <x v="28"/>
    <m/>
  </r>
  <r>
    <x v="1230"/>
    <x v="70"/>
    <x v="1"/>
    <n v="6000"/>
    <x v="35"/>
    <x v="96"/>
    <x v="3"/>
    <x v="0"/>
    <x v="28"/>
    <m/>
  </r>
  <r>
    <x v="1231"/>
    <x v="39"/>
    <x v="14"/>
    <n v="70"/>
    <x v="46"/>
    <x v="260"/>
    <x v="10"/>
    <x v="2"/>
    <x v="6"/>
    <n v="3"/>
  </r>
  <r>
    <x v="1232"/>
    <x v="9"/>
    <x v="9"/>
    <m/>
    <x v="0"/>
    <x v="26"/>
    <x v="12"/>
    <x v="6"/>
    <x v="1"/>
    <n v="52"/>
  </r>
  <r>
    <x v="1233"/>
    <x v="1"/>
    <x v="20"/>
    <n v="400"/>
    <x v="7"/>
    <x v="251"/>
    <x v="12"/>
    <x v="7"/>
    <x v="1"/>
    <n v="62"/>
  </r>
  <r>
    <x v="1234"/>
    <x v="9"/>
    <x v="9"/>
    <m/>
    <x v="20"/>
    <x v="43"/>
    <x v="5"/>
    <x v="2"/>
    <x v="1"/>
    <n v="15"/>
  </r>
  <r>
    <x v="1235"/>
    <x v="37"/>
    <x v="3"/>
    <n v="90"/>
    <x v="4"/>
    <x v="366"/>
    <x v="17"/>
    <x v="4"/>
    <x v="1"/>
    <n v="195"/>
  </r>
  <r>
    <x v="1236"/>
    <x v="5"/>
    <x v="12"/>
    <n v="111"/>
    <x v="65"/>
    <x v="53"/>
    <x v="3"/>
    <x v="3"/>
    <x v="3"/>
    <n v="42"/>
  </r>
  <r>
    <x v="1237"/>
    <x v="1"/>
    <x v="3"/>
    <m/>
    <x v="0"/>
    <x v="281"/>
    <x v="2"/>
    <x v="0"/>
    <x v="1"/>
    <n v="1500"/>
  </r>
  <r>
    <x v="1237"/>
    <x v="1"/>
    <x v="3"/>
    <n v="150"/>
    <x v="0"/>
    <x v="26"/>
    <x v="12"/>
    <x v="0"/>
    <x v="1"/>
    <n v="1500"/>
  </r>
  <r>
    <x v="1238"/>
    <x v="152"/>
    <x v="8"/>
    <n v="31"/>
    <x v="0"/>
    <x v="40"/>
    <x v="10"/>
    <x v="4"/>
    <x v="49"/>
    <n v="90"/>
  </r>
  <r>
    <x v="1238"/>
    <x v="152"/>
    <x v="8"/>
    <n v="143"/>
    <x v="6"/>
    <x v="203"/>
    <x v="2"/>
    <x v="10"/>
    <x v="49"/>
    <n v="90"/>
  </r>
  <r>
    <x v="1239"/>
    <x v="153"/>
    <x v="22"/>
    <n v="22"/>
    <x v="35"/>
    <x v="109"/>
    <x v="6"/>
    <x v="6"/>
    <x v="1"/>
    <n v="19"/>
  </r>
  <r>
    <x v="1240"/>
    <x v="16"/>
    <x v="2"/>
    <n v="59"/>
    <x v="8"/>
    <x v="151"/>
    <x v="7"/>
    <x v="3"/>
    <x v="7"/>
    <n v="137"/>
  </r>
  <r>
    <x v="1241"/>
    <x v="29"/>
    <x v="18"/>
    <m/>
    <x v="0"/>
    <x v="129"/>
    <x v="14"/>
    <x v="12"/>
    <x v="1"/>
    <n v="273"/>
  </r>
  <r>
    <x v="1242"/>
    <x v="1"/>
    <x v="9"/>
    <m/>
    <x v="0"/>
    <x v="383"/>
    <x v="4"/>
    <x v="6"/>
    <x v="1"/>
    <m/>
  </r>
  <r>
    <x v="1243"/>
    <x v="1"/>
    <x v="12"/>
    <n v="260"/>
    <x v="7"/>
    <x v="227"/>
    <x v="0"/>
    <x v="5"/>
    <x v="1"/>
    <n v="734"/>
  </r>
  <r>
    <x v="1244"/>
    <x v="16"/>
    <x v="20"/>
    <n v="200"/>
    <x v="20"/>
    <x v="130"/>
    <x v="2"/>
    <x v="7"/>
    <x v="7"/>
    <n v="5"/>
  </r>
  <r>
    <x v="1245"/>
    <x v="1"/>
    <x v="19"/>
    <n v="29"/>
    <x v="31"/>
    <x v="265"/>
    <x v="4"/>
    <x v="11"/>
    <x v="1"/>
    <n v="3"/>
  </r>
  <r>
    <x v="1246"/>
    <x v="4"/>
    <x v="3"/>
    <n v="65"/>
    <x v="20"/>
    <x v="299"/>
    <x v="8"/>
    <x v="7"/>
    <x v="1"/>
    <n v="10"/>
  </r>
  <r>
    <x v="1247"/>
    <x v="35"/>
    <x v="3"/>
    <n v="250"/>
    <x v="1"/>
    <x v="165"/>
    <x v="17"/>
    <x v="0"/>
    <x v="17"/>
    <m/>
  </r>
  <r>
    <x v="1247"/>
    <x v="35"/>
    <x v="3"/>
    <n v="600"/>
    <x v="6"/>
    <x v="61"/>
    <x v="0"/>
    <x v="0"/>
    <x v="17"/>
    <m/>
  </r>
  <r>
    <x v="1248"/>
    <x v="23"/>
    <x v="12"/>
    <n v="150"/>
    <x v="6"/>
    <x v="35"/>
    <x v="2"/>
    <x v="4"/>
    <x v="1"/>
    <n v="428"/>
  </r>
  <r>
    <x v="1249"/>
    <x v="128"/>
    <x v="12"/>
    <m/>
    <x v="24"/>
    <x v="146"/>
    <x v="2"/>
    <x v="2"/>
    <x v="27"/>
    <n v="13"/>
  </r>
  <r>
    <x v="1250"/>
    <x v="35"/>
    <x v="13"/>
    <n v="12"/>
    <x v="2"/>
    <x v="55"/>
    <x v="4"/>
    <x v="5"/>
    <x v="17"/>
    <n v="205"/>
  </r>
  <r>
    <x v="1251"/>
    <x v="60"/>
    <x v="1"/>
    <n v="36"/>
    <x v="10"/>
    <x v="72"/>
    <x v="2"/>
    <x v="2"/>
    <x v="6"/>
    <n v="20"/>
  </r>
  <r>
    <x v="1252"/>
    <x v="18"/>
    <x v="6"/>
    <n v="400"/>
    <x v="7"/>
    <x v="126"/>
    <x v="0"/>
    <x v="7"/>
    <x v="1"/>
    <n v="192"/>
  </r>
  <r>
    <x v="1253"/>
    <x v="154"/>
    <x v="20"/>
    <m/>
    <x v="10"/>
    <x v="248"/>
    <x v="3"/>
    <x v="3"/>
    <x v="1"/>
    <n v="43"/>
  </r>
  <r>
    <x v="1254"/>
    <x v="12"/>
    <x v="11"/>
    <n v="50"/>
    <x v="9"/>
    <x v="193"/>
    <x v="12"/>
    <x v="6"/>
    <x v="6"/>
    <n v="19"/>
  </r>
  <r>
    <x v="1255"/>
    <x v="21"/>
    <x v="2"/>
    <n v="21"/>
    <x v="20"/>
    <x v="424"/>
    <x v="19"/>
    <x v="6"/>
    <x v="9"/>
    <n v="20"/>
  </r>
  <r>
    <x v="1256"/>
    <x v="143"/>
    <x v="10"/>
    <m/>
    <x v="5"/>
    <x v="157"/>
    <x v="0"/>
    <x v="5"/>
    <x v="1"/>
    <n v="419"/>
  </r>
  <r>
    <x v="1257"/>
    <x v="1"/>
    <x v="3"/>
    <n v="10"/>
    <x v="0"/>
    <x v="76"/>
    <x v="14"/>
    <x v="2"/>
    <x v="1"/>
    <n v="13"/>
  </r>
  <r>
    <x v="1258"/>
    <x v="4"/>
    <x v="12"/>
    <n v="170"/>
    <x v="9"/>
    <x v="201"/>
    <x v="6"/>
    <x v="1"/>
    <x v="1"/>
    <n v="286"/>
  </r>
  <r>
    <x v="1259"/>
    <x v="6"/>
    <x v="11"/>
    <n v="13"/>
    <x v="0"/>
    <x v="179"/>
    <x v="5"/>
    <x v="6"/>
    <x v="1"/>
    <m/>
  </r>
  <r>
    <x v="1260"/>
    <x v="43"/>
    <x v="2"/>
    <m/>
    <x v="20"/>
    <x v="337"/>
    <x v="4"/>
    <x v="4"/>
    <x v="18"/>
    <n v="238"/>
  </r>
  <r>
    <x v="1260"/>
    <x v="43"/>
    <x v="14"/>
    <n v="69"/>
    <x v="21"/>
    <x v="272"/>
    <x v="10"/>
    <x v="3"/>
    <x v="18"/>
    <n v="88"/>
  </r>
  <r>
    <x v="1260"/>
    <x v="43"/>
    <x v="14"/>
    <n v="200"/>
    <x v="37"/>
    <x v="210"/>
    <x v="17"/>
    <x v="4"/>
    <x v="18"/>
    <n v="238"/>
  </r>
  <r>
    <x v="1261"/>
    <x v="155"/>
    <x v="12"/>
    <n v="47"/>
    <x v="6"/>
    <x v="240"/>
    <x v="0"/>
    <x v="4"/>
    <x v="1"/>
    <n v="184"/>
  </r>
  <r>
    <x v="1262"/>
    <x v="60"/>
    <x v="5"/>
    <n v="100"/>
    <x v="7"/>
    <x v="162"/>
    <x v="12"/>
    <x v="6"/>
    <x v="6"/>
    <n v="451"/>
  </r>
  <r>
    <x v="1263"/>
    <x v="156"/>
    <x v="4"/>
    <n v="55"/>
    <x v="4"/>
    <x v="141"/>
    <x v="7"/>
    <x v="6"/>
    <x v="50"/>
    <n v="120"/>
  </r>
  <r>
    <x v="1264"/>
    <x v="4"/>
    <x v="28"/>
    <m/>
    <x v="20"/>
    <x v="79"/>
    <x v="14"/>
    <x v="6"/>
    <x v="1"/>
    <n v="13"/>
  </r>
  <r>
    <x v="1265"/>
    <x v="1"/>
    <x v="4"/>
    <m/>
    <x v="12"/>
    <x v="287"/>
    <x v="12"/>
    <x v="7"/>
    <x v="1"/>
    <n v="153"/>
  </r>
  <r>
    <x v="1266"/>
    <x v="1"/>
    <x v="9"/>
    <n v="180"/>
    <x v="6"/>
    <x v="425"/>
    <x v="19"/>
    <x v="7"/>
    <x v="1"/>
    <n v="763"/>
  </r>
  <r>
    <x v="1267"/>
    <x v="1"/>
    <x v="2"/>
    <n v="43"/>
    <x v="0"/>
    <x v="426"/>
    <x v="6"/>
    <x v="4"/>
    <x v="1"/>
    <n v="106"/>
  </r>
  <r>
    <x v="1268"/>
    <x v="15"/>
    <x v="4"/>
    <m/>
    <x v="0"/>
    <x v="252"/>
    <x v="5"/>
    <x v="7"/>
    <x v="1"/>
    <n v="78"/>
  </r>
  <r>
    <x v="1269"/>
    <x v="157"/>
    <x v="6"/>
    <m/>
    <x v="0"/>
    <x v="173"/>
    <x v="2"/>
    <x v="6"/>
    <x v="6"/>
    <n v="14"/>
  </r>
  <r>
    <x v="1270"/>
    <x v="14"/>
    <x v="6"/>
    <n v="26"/>
    <x v="13"/>
    <x v="170"/>
    <x v="6"/>
    <x v="4"/>
    <x v="1"/>
    <n v="100"/>
  </r>
  <r>
    <x v="1271"/>
    <x v="142"/>
    <x v="5"/>
    <m/>
    <x v="37"/>
    <x v="96"/>
    <x v="3"/>
    <x v="3"/>
    <x v="1"/>
    <n v="176"/>
  </r>
  <r>
    <x v="1272"/>
    <x v="43"/>
    <x v="12"/>
    <n v="85"/>
    <x v="37"/>
    <x v="61"/>
    <x v="0"/>
    <x v="3"/>
    <x v="18"/>
    <n v="73"/>
  </r>
  <r>
    <x v="1273"/>
    <x v="1"/>
    <x v="13"/>
    <m/>
    <x v="40"/>
    <x v="198"/>
    <x v="3"/>
    <x v="3"/>
    <x v="1"/>
    <n v="56"/>
  </r>
  <r>
    <x v="1274"/>
    <x v="43"/>
    <x v="13"/>
    <n v="20"/>
    <x v="0"/>
    <x v="188"/>
    <x v="19"/>
    <x v="4"/>
    <x v="18"/>
    <n v="150"/>
  </r>
  <r>
    <x v="1275"/>
    <x v="3"/>
    <x v="27"/>
    <n v="180"/>
    <x v="2"/>
    <x v="427"/>
    <x v="23"/>
    <x v="6"/>
    <x v="1"/>
    <n v="649"/>
  </r>
  <r>
    <x v="1276"/>
    <x v="1"/>
    <x v="17"/>
    <n v="100"/>
    <x v="7"/>
    <x v="83"/>
    <x v="2"/>
    <x v="5"/>
    <x v="1"/>
    <m/>
  </r>
  <r>
    <x v="1277"/>
    <x v="15"/>
    <x v="15"/>
    <n v="63"/>
    <x v="13"/>
    <x v="99"/>
    <x v="1"/>
    <x v="6"/>
    <x v="1"/>
    <n v="817"/>
  </r>
  <r>
    <x v="1278"/>
    <x v="0"/>
    <x v="23"/>
    <n v="71"/>
    <x v="0"/>
    <x v="83"/>
    <x v="2"/>
    <x v="3"/>
    <x v="0"/>
    <n v="154"/>
  </r>
  <r>
    <x v="1279"/>
    <x v="158"/>
    <x v="23"/>
    <m/>
    <x v="31"/>
    <x v="144"/>
    <x v="6"/>
    <x v="2"/>
    <x v="51"/>
    <n v="33"/>
  </r>
  <r>
    <x v="1279"/>
    <x v="158"/>
    <x v="23"/>
    <m/>
    <x v="20"/>
    <x v="218"/>
    <x v="7"/>
    <x v="2"/>
    <x v="51"/>
    <n v="33"/>
  </r>
  <r>
    <x v="1280"/>
    <x v="70"/>
    <x v="20"/>
    <m/>
    <x v="8"/>
    <x v="205"/>
    <x v="3"/>
    <x v="6"/>
    <x v="28"/>
    <m/>
  </r>
  <r>
    <x v="1281"/>
    <x v="9"/>
    <x v="5"/>
    <m/>
    <x v="31"/>
    <x v="243"/>
    <x v="9"/>
    <x v="2"/>
    <x v="1"/>
    <n v="70"/>
  </r>
  <r>
    <x v="1282"/>
    <x v="1"/>
    <x v="0"/>
    <n v="300"/>
    <x v="0"/>
    <x v="198"/>
    <x v="3"/>
    <x v="0"/>
    <x v="1"/>
    <n v="1200"/>
  </r>
  <r>
    <x v="1283"/>
    <x v="1"/>
    <x v="11"/>
    <n v="60"/>
    <x v="20"/>
    <x v="83"/>
    <x v="2"/>
    <x v="7"/>
    <x v="1"/>
    <m/>
  </r>
  <r>
    <x v="1284"/>
    <x v="1"/>
    <x v="5"/>
    <n v="89"/>
    <x v="7"/>
    <x v="302"/>
    <x v="12"/>
    <x v="6"/>
    <x v="1"/>
    <n v="10"/>
  </r>
  <r>
    <x v="1285"/>
    <x v="14"/>
    <x v="8"/>
    <m/>
    <x v="0"/>
    <x v="146"/>
    <x v="2"/>
    <x v="2"/>
    <x v="1"/>
    <n v="20"/>
  </r>
  <r>
    <x v="1286"/>
    <x v="15"/>
    <x v="9"/>
    <m/>
    <x v="0"/>
    <x v="35"/>
    <x v="2"/>
    <x v="4"/>
    <x v="1"/>
    <n v="150"/>
  </r>
  <r>
    <x v="1287"/>
    <x v="67"/>
    <x v="20"/>
    <n v="1500"/>
    <x v="0"/>
    <x v="183"/>
    <x v="1"/>
    <x v="4"/>
    <x v="23"/>
    <n v="184"/>
  </r>
  <r>
    <x v="1288"/>
    <x v="1"/>
    <x v="22"/>
    <n v="78"/>
    <x v="0"/>
    <x v="428"/>
    <x v="11"/>
    <x v="7"/>
    <x v="1"/>
    <m/>
  </r>
  <r>
    <x v="1289"/>
    <x v="13"/>
    <x v="18"/>
    <m/>
    <x v="6"/>
    <x v="137"/>
    <x v="4"/>
    <x v="7"/>
    <x v="1"/>
    <n v="189"/>
  </r>
  <r>
    <x v="1289"/>
    <x v="13"/>
    <x v="18"/>
    <n v="50"/>
    <x v="10"/>
    <x v="123"/>
    <x v="14"/>
    <x v="8"/>
    <x v="1"/>
    <n v="149"/>
  </r>
  <r>
    <x v="1290"/>
    <x v="1"/>
    <x v="5"/>
    <m/>
    <x v="20"/>
    <x v="206"/>
    <x v="5"/>
    <x v="11"/>
    <x v="1"/>
    <n v="1"/>
  </r>
  <r>
    <x v="1291"/>
    <x v="0"/>
    <x v="20"/>
    <n v="50"/>
    <x v="4"/>
    <x v="265"/>
    <x v="4"/>
    <x v="4"/>
    <x v="0"/>
    <n v="91"/>
  </r>
  <r>
    <x v="1292"/>
    <x v="137"/>
    <x v="6"/>
    <m/>
    <x v="20"/>
    <x v="138"/>
    <x v="8"/>
    <x v="11"/>
    <x v="6"/>
    <m/>
  </r>
  <r>
    <x v="1293"/>
    <x v="78"/>
    <x v="26"/>
    <n v="153"/>
    <x v="0"/>
    <x v="429"/>
    <x v="0"/>
    <x v="0"/>
    <x v="1"/>
    <m/>
  </r>
  <r>
    <x v="1294"/>
    <x v="18"/>
    <x v="20"/>
    <n v="270"/>
    <x v="13"/>
    <x v="209"/>
    <x v="3"/>
    <x v="0"/>
    <x v="1"/>
    <n v="400"/>
  </r>
  <r>
    <x v="1295"/>
    <x v="16"/>
    <x v="9"/>
    <n v="87"/>
    <x v="7"/>
    <x v="430"/>
    <x v="24"/>
    <x v="7"/>
    <x v="7"/>
    <n v="39"/>
  </r>
  <r>
    <x v="1296"/>
    <x v="1"/>
    <x v="0"/>
    <n v="72"/>
    <x v="0"/>
    <x v="224"/>
    <x v="0"/>
    <x v="0"/>
    <x v="1"/>
    <n v="175"/>
  </r>
  <r>
    <x v="1297"/>
    <x v="1"/>
    <x v="2"/>
    <n v="30"/>
    <x v="13"/>
    <x v="185"/>
    <x v="5"/>
    <x v="4"/>
    <x v="1"/>
    <n v="65"/>
  </r>
  <r>
    <x v="1297"/>
    <x v="1"/>
    <x v="2"/>
    <n v="40"/>
    <x v="1"/>
    <x v="233"/>
    <x v="1"/>
    <x v="4"/>
    <x v="1"/>
    <n v="65"/>
  </r>
  <r>
    <x v="1298"/>
    <x v="14"/>
    <x v="1"/>
    <n v="130"/>
    <x v="9"/>
    <x v="19"/>
    <x v="4"/>
    <x v="0"/>
    <x v="1"/>
    <n v="533"/>
  </r>
  <r>
    <x v="1299"/>
    <x v="5"/>
    <x v="12"/>
    <n v="28"/>
    <x v="29"/>
    <x v="90"/>
    <x v="1"/>
    <x v="2"/>
    <x v="3"/>
    <n v="15"/>
  </r>
  <r>
    <x v="1300"/>
    <x v="77"/>
    <x v="1"/>
    <m/>
    <x v="5"/>
    <x v="96"/>
    <x v="3"/>
    <x v="0"/>
    <x v="1"/>
    <n v="425"/>
  </r>
  <r>
    <x v="1301"/>
    <x v="4"/>
    <x v="11"/>
    <n v="80"/>
    <x v="24"/>
    <x v="256"/>
    <x v="10"/>
    <x v="7"/>
    <x v="1"/>
    <m/>
  </r>
  <r>
    <x v="1302"/>
    <x v="3"/>
    <x v="11"/>
    <m/>
    <x v="20"/>
    <x v="431"/>
    <x v="27"/>
    <x v="10"/>
    <x v="1"/>
    <n v="1800"/>
  </r>
  <r>
    <x v="1303"/>
    <x v="5"/>
    <x v="0"/>
    <n v="60"/>
    <x v="0"/>
    <x v="247"/>
    <x v="7"/>
    <x v="7"/>
    <x v="3"/>
    <n v="28"/>
  </r>
  <r>
    <x v="1304"/>
    <x v="69"/>
    <x v="5"/>
    <n v="20"/>
    <x v="7"/>
    <x v="372"/>
    <x v="2"/>
    <x v="6"/>
    <x v="14"/>
    <n v="3"/>
  </r>
  <r>
    <x v="1305"/>
    <x v="34"/>
    <x v="11"/>
    <m/>
    <x v="0"/>
    <x v="128"/>
    <x v="12"/>
    <x v="6"/>
    <x v="1"/>
    <m/>
  </r>
  <r>
    <x v="1306"/>
    <x v="5"/>
    <x v="23"/>
    <n v="88"/>
    <x v="4"/>
    <x v="147"/>
    <x v="5"/>
    <x v="5"/>
    <x v="3"/>
    <n v="335"/>
  </r>
  <r>
    <x v="1306"/>
    <x v="5"/>
    <x v="23"/>
    <n v="160"/>
    <x v="30"/>
    <x v="132"/>
    <x v="15"/>
    <x v="1"/>
    <x v="3"/>
    <n v="755"/>
  </r>
  <r>
    <x v="1307"/>
    <x v="9"/>
    <x v="13"/>
    <n v="80"/>
    <x v="19"/>
    <x v="118"/>
    <x v="6"/>
    <x v="1"/>
    <x v="1"/>
    <n v="347"/>
  </r>
  <r>
    <x v="1308"/>
    <x v="1"/>
    <x v="3"/>
    <m/>
    <x v="0"/>
    <x v="248"/>
    <x v="3"/>
    <x v="5"/>
    <x v="1"/>
    <n v="226"/>
  </r>
  <r>
    <x v="1309"/>
    <x v="48"/>
    <x v="21"/>
    <m/>
    <x v="22"/>
    <x v="114"/>
    <x v="5"/>
    <x v="11"/>
    <x v="1"/>
    <n v="4"/>
  </r>
  <r>
    <x v="1310"/>
    <x v="9"/>
    <x v="0"/>
    <n v="63"/>
    <x v="10"/>
    <x v="16"/>
    <x v="1"/>
    <x v="5"/>
    <x v="1"/>
    <n v="329"/>
  </r>
  <r>
    <x v="1310"/>
    <x v="9"/>
    <x v="0"/>
    <n v="100"/>
    <x v="23"/>
    <x v="432"/>
    <x v="15"/>
    <x v="5"/>
    <x v="1"/>
    <n v="329"/>
  </r>
  <r>
    <x v="1311"/>
    <x v="159"/>
    <x v="12"/>
    <m/>
    <x v="0"/>
    <x v="201"/>
    <x v="6"/>
    <x v="3"/>
    <x v="52"/>
    <n v="202"/>
  </r>
  <r>
    <x v="1312"/>
    <x v="18"/>
    <x v="2"/>
    <m/>
    <x v="0"/>
    <x v="98"/>
    <x v="5"/>
    <x v="10"/>
    <x v="1"/>
    <n v="41"/>
  </r>
  <r>
    <x v="1313"/>
    <x v="78"/>
    <x v="27"/>
    <n v="60"/>
    <x v="0"/>
    <x v="129"/>
    <x v="14"/>
    <x v="2"/>
    <x v="1"/>
    <n v="12"/>
  </r>
  <r>
    <x v="1314"/>
    <x v="0"/>
    <x v="17"/>
    <n v="78"/>
    <x v="8"/>
    <x v="235"/>
    <x v="14"/>
    <x v="6"/>
    <x v="0"/>
    <m/>
  </r>
  <r>
    <x v="1315"/>
    <x v="76"/>
    <x v="9"/>
    <m/>
    <x v="0"/>
    <x v="71"/>
    <x v="3"/>
    <x v="6"/>
    <x v="30"/>
    <n v="2300"/>
  </r>
  <r>
    <x v="1316"/>
    <x v="35"/>
    <x v="12"/>
    <m/>
    <x v="0"/>
    <x v="305"/>
    <x v="2"/>
    <x v="6"/>
    <x v="17"/>
    <n v="770"/>
  </r>
  <r>
    <x v="1317"/>
    <x v="16"/>
    <x v="13"/>
    <n v="59"/>
    <x v="24"/>
    <x v="433"/>
    <x v="13"/>
    <x v="3"/>
    <x v="7"/>
    <n v="40"/>
  </r>
  <r>
    <x v="1318"/>
    <x v="29"/>
    <x v="12"/>
    <m/>
    <x v="0"/>
    <x v="71"/>
    <x v="3"/>
    <x v="7"/>
    <x v="1"/>
    <n v="2"/>
  </r>
  <r>
    <x v="1319"/>
    <x v="57"/>
    <x v="4"/>
    <m/>
    <x v="5"/>
    <x v="0"/>
    <x v="0"/>
    <x v="2"/>
    <x v="0"/>
    <n v="30"/>
  </r>
  <r>
    <x v="1320"/>
    <x v="1"/>
    <x v="23"/>
    <n v="140"/>
    <x v="20"/>
    <x v="383"/>
    <x v="4"/>
    <x v="3"/>
    <x v="1"/>
    <n v="117"/>
  </r>
  <r>
    <x v="1321"/>
    <x v="9"/>
    <x v="1"/>
    <n v="11"/>
    <x v="13"/>
    <x v="16"/>
    <x v="1"/>
    <x v="3"/>
    <x v="1"/>
    <n v="42"/>
  </r>
  <r>
    <x v="1321"/>
    <x v="9"/>
    <x v="1"/>
    <n v="40"/>
    <x v="35"/>
    <x v="179"/>
    <x v="5"/>
    <x v="3"/>
    <x v="1"/>
    <n v="42"/>
  </r>
  <r>
    <x v="1322"/>
    <x v="1"/>
    <x v="23"/>
    <m/>
    <x v="0"/>
    <x v="141"/>
    <x v="7"/>
    <x v="7"/>
    <x v="1"/>
    <m/>
  </r>
  <r>
    <x v="1323"/>
    <x v="12"/>
    <x v="9"/>
    <m/>
    <x v="12"/>
    <x v="234"/>
    <x v="3"/>
    <x v="6"/>
    <x v="6"/>
    <n v="548"/>
  </r>
  <r>
    <x v="1324"/>
    <x v="3"/>
    <x v="12"/>
    <n v="84"/>
    <x v="3"/>
    <x v="324"/>
    <x v="8"/>
    <x v="3"/>
    <x v="1"/>
    <n v="277"/>
  </r>
  <r>
    <x v="1325"/>
    <x v="37"/>
    <x v="5"/>
    <n v="235"/>
    <x v="0"/>
    <x v="227"/>
    <x v="0"/>
    <x v="2"/>
    <x v="1"/>
    <n v="55"/>
  </r>
  <r>
    <x v="1326"/>
    <x v="54"/>
    <x v="4"/>
    <m/>
    <x v="23"/>
    <x v="14"/>
    <x v="3"/>
    <x v="0"/>
    <x v="4"/>
    <n v="55"/>
  </r>
  <r>
    <x v="1327"/>
    <x v="21"/>
    <x v="14"/>
    <m/>
    <x v="0"/>
    <x v="110"/>
    <x v="5"/>
    <x v="4"/>
    <x v="9"/>
    <n v="134"/>
  </r>
  <r>
    <x v="1327"/>
    <x v="21"/>
    <x v="14"/>
    <m/>
    <x v="10"/>
    <x v="185"/>
    <x v="5"/>
    <x v="4"/>
    <x v="9"/>
    <n v="134"/>
  </r>
  <r>
    <x v="1328"/>
    <x v="4"/>
    <x v="1"/>
    <n v="67"/>
    <x v="7"/>
    <x v="333"/>
    <x v="8"/>
    <x v="4"/>
    <x v="1"/>
    <n v="315"/>
  </r>
  <r>
    <x v="1329"/>
    <x v="9"/>
    <x v="23"/>
    <n v="236"/>
    <x v="11"/>
    <x v="98"/>
    <x v="5"/>
    <x v="0"/>
    <x v="1"/>
    <n v="319"/>
  </r>
  <r>
    <x v="1329"/>
    <x v="9"/>
    <x v="23"/>
    <n v="470"/>
    <x v="4"/>
    <x v="31"/>
    <x v="6"/>
    <x v="0"/>
    <x v="1"/>
    <n v="319"/>
  </r>
  <r>
    <x v="1329"/>
    <x v="9"/>
    <x v="23"/>
    <n v="862"/>
    <x v="35"/>
    <x v="72"/>
    <x v="2"/>
    <x v="0"/>
    <x v="1"/>
    <n v="320"/>
  </r>
  <r>
    <x v="1330"/>
    <x v="160"/>
    <x v="1"/>
    <n v="44"/>
    <x v="9"/>
    <x v="328"/>
    <x v="18"/>
    <x v="4"/>
    <x v="1"/>
    <n v="50"/>
  </r>
  <r>
    <x v="1331"/>
    <x v="35"/>
    <x v="0"/>
    <n v="31"/>
    <x v="33"/>
    <x v="128"/>
    <x v="12"/>
    <x v="0"/>
    <x v="17"/>
    <n v="317"/>
  </r>
  <r>
    <x v="1332"/>
    <x v="37"/>
    <x v="0"/>
    <n v="750"/>
    <x v="13"/>
    <x v="274"/>
    <x v="17"/>
    <x v="6"/>
    <x v="1"/>
    <n v="1500"/>
  </r>
  <r>
    <x v="1333"/>
    <x v="1"/>
    <x v="6"/>
    <m/>
    <x v="0"/>
    <x v="119"/>
    <x v="2"/>
    <x v="3"/>
    <x v="1"/>
    <n v="81"/>
  </r>
  <r>
    <x v="1334"/>
    <x v="15"/>
    <x v="30"/>
    <n v="150"/>
    <x v="10"/>
    <x v="227"/>
    <x v="0"/>
    <x v="10"/>
    <x v="1"/>
    <n v="125"/>
  </r>
  <r>
    <x v="1335"/>
    <x v="60"/>
    <x v="19"/>
    <n v="40"/>
    <x v="7"/>
    <x v="5"/>
    <x v="3"/>
    <x v="9"/>
    <x v="6"/>
    <m/>
  </r>
  <r>
    <x v="1336"/>
    <x v="3"/>
    <x v="11"/>
    <m/>
    <x v="0"/>
    <x v="136"/>
    <x v="12"/>
    <x v="3"/>
    <x v="1"/>
    <n v="63"/>
  </r>
  <r>
    <x v="1337"/>
    <x v="29"/>
    <x v="1"/>
    <n v="82"/>
    <x v="0"/>
    <x v="365"/>
    <x v="27"/>
    <x v="2"/>
    <x v="1"/>
    <n v="13"/>
  </r>
  <r>
    <x v="1338"/>
    <x v="4"/>
    <x v="10"/>
    <m/>
    <x v="0"/>
    <x v="127"/>
    <x v="1"/>
    <x v="2"/>
    <x v="1"/>
    <n v="38"/>
  </r>
  <r>
    <x v="1339"/>
    <x v="1"/>
    <x v="19"/>
    <n v="100"/>
    <x v="2"/>
    <x v="77"/>
    <x v="1"/>
    <x v="4"/>
    <x v="1"/>
    <n v="496"/>
  </r>
  <r>
    <x v="1340"/>
    <x v="15"/>
    <x v="14"/>
    <n v="50"/>
    <x v="31"/>
    <x v="79"/>
    <x v="14"/>
    <x v="3"/>
    <x v="1"/>
    <n v="17"/>
  </r>
  <r>
    <x v="1341"/>
    <x v="69"/>
    <x v="12"/>
    <n v="391"/>
    <x v="31"/>
    <x v="84"/>
    <x v="5"/>
    <x v="6"/>
    <x v="14"/>
    <m/>
  </r>
  <r>
    <x v="1342"/>
    <x v="28"/>
    <x v="27"/>
    <n v="70"/>
    <x v="5"/>
    <x v="6"/>
    <x v="4"/>
    <x v="3"/>
    <x v="0"/>
    <n v="163"/>
  </r>
  <r>
    <x v="1342"/>
    <x v="28"/>
    <x v="27"/>
    <n v="210"/>
    <x v="38"/>
    <x v="324"/>
    <x v="8"/>
    <x v="3"/>
    <x v="0"/>
    <n v="163"/>
  </r>
  <r>
    <x v="1343"/>
    <x v="4"/>
    <x v="4"/>
    <m/>
    <x v="0"/>
    <x v="434"/>
    <x v="14"/>
    <x v="8"/>
    <x v="1"/>
    <n v="541"/>
  </r>
  <r>
    <x v="1343"/>
    <x v="4"/>
    <x v="4"/>
    <m/>
    <x v="47"/>
    <x v="247"/>
    <x v="7"/>
    <x v="0"/>
    <x v="1"/>
    <n v="526"/>
  </r>
  <r>
    <x v="1344"/>
    <x v="14"/>
    <x v="1"/>
    <n v="65"/>
    <x v="31"/>
    <x v="101"/>
    <x v="2"/>
    <x v="3"/>
    <x v="1"/>
    <n v="257"/>
  </r>
  <r>
    <x v="1345"/>
    <x v="3"/>
    <x v="18"/>
    <n v="50"/>
    <x v="0"/>
    <x v="165"/>
    <x v="17"/>
    <x v="4"/>
    <x v="1"/>
    <n v="85"/>
  </r>
  <r>
    <x v="1346"/>
    <x v="16"/>
    <x v="20"/>
    <n v="25"/>
    <x v="10"/>
    <x v="50"/>
    <x v="2"/>
    <x v="5"/>
    <x v="7"/>
    <n v="87"/>
  </r>
  <r>
    <x v="1347"/>
    <x v="1"/>
    <x v="5"/>
    <m/>
    <x v="0"/>
    <x v="223"/>
    <x v="12"/>
    <x v="6"/>
    <x v="1"/>
    <m/>
  </r>
  <r>
    <x v="1348"/>
    <x v="3"/>
    <x v="9"/>
    <n v="175"/>
    <x v="0"/>
    <x v="129"/>
    <x v="14"/>
    <x v="4"/>
    <x v="1"/>
    <n v="127"/>
  </r>
  <r>
    <x v="1349"/>
    <x v="29"/>
    <x v="13"/>
    <n v="85"/>
    <x v="0"/>
    <x v="143"/>
    <x v="8"/>
    <x v="5"/>
    <x v="1"/>
    <n v="30"/>
  </r>
  <r>
    <x v="1350"/>
    <x v="28"/>
    <x v="13"/>
    <n v="24"/>
    <x v="8"/>
    <x v="0"/>
    <x v="0"/>
    <x v="2"/>
    <x v="0"/>
    <n v="26"/>
  </r>
  <r>
    <x v="1351"/>
    <x v="43"/>
    <x v="12"/>
    <n v="60"/>
    <x v="16"/>
    <x v="195"/>
    <x v="10"/>
    <x v="5"/>
    <x v="18"/>
    <n v="837"/>
  </r>
  <r>
    <x v="1352"/>
    <x v="4"/>
    <x v="23"/>
    <n v="57"/>
    <x v="7"/>
    <x v="435"/>
    <x v="29"/>
    <x v="6"/>
    <x v="1"/>
    <n v="133"/>
  </r>
  <r>
    <x v="1353"/>
    <x v="1"/>
    <x v="27"/>
    <n v="16"/>
    <x v="27"/>
    <x v="106"/>
    <x v="5"/>
    <x v="3"/>
    <x v="1"/>
    <n v="35"/>
  </r>
  <r>
    <x v="1354"/>
    <x v="4"/>
    <x v="23"/>
    <n v="136"/>
    <x v="0"/>
    <x v="10"/>
    <x v="1"/>
    <x v="4"/>
    <x v="1"/>
    <n v="405"/>
  </r>
  <r>
    <x v="1354"/>
    <x v="4"/>
    <x v="23"/>
    <n v="170"/>
    <x v="63"/>
    <x v="203"/>
    <x v="2"/>
    <x v="4"/>
    <x v="1"/>
    <n v="405"/>
  </r>
  <r>
    <x v="1355"/>
    <x v="1"/>
    <x v="0"/>
    <n v="35"/>
    <x v="6"/>
    <x v="256"/>
    <x v="10"/>
    <x v="3"/>
    <x v="1"/>
    <n v="73"/>
  </r>
  <r>
    <x v="1356"/>
    <x v="1"/>
    <x v="26"/>
    <m/>
    <x v="40"/>
    <x v="410"/>
    <x v="12"/>
    <x v="0"/>
    <x v="1"/>
    <n v="298"/>
  </r>
  <r>
    <x v="1357"/>
    <x v="29"/>
    <x v="7"/>
    <n v="120"/>
    <x v="9"/>
    <x v="161"/>
    <x v="14"/>
    <x v="5"/>
    <x v="1"/>
    <n v="423"/>
  </r>
  <r>
    <x v="1358"/>
    <x v="1"/>
    <x v="20"/>
    <m/>
    <x v="10"/>
    <x v="72"/>
    <x v="2"/>
    <x v="0"/>
    <x v="1"/>
    <n v="44"/>
  </r>
  <r>
    <x v="1358"/>
    <x v="1"/>
    <x v="20"/>
    <n v="30"/>
    <x v="0"/>
    <x v="71"/>
    <x v="3"/>
    <x v="0"/>
    <x v="1"/>
    <n v="44"/>
  </r>
  <r>
    <x v="1358"/>
    <x v="1"/>
    <x v="10"/>
    <n v="50"/>
    <x v="0"/>
    <x v="6"/>
    <x v="4"/>
    <x v="0"/>
    <x v="1"/>
    <n v="44"/>
  </r>
  <r>
    <x v="1359"/>
    <x v="3"/>
    <x v="3"/>
    <n v="46"/>
    <x v="0"/>
    <x v="198"/>
    <x v="3"/>
    <x v="7"/>
    <x v="1"/>
    <n v="21"/>
  </r>
  <r>
    <x v="1360"/>
    <x v="0"/>
    <x v="9"/>
    <n v="23"/>
    <x v="14"/>
    <x v="125"/>
    <x v="6"/>
    <x v="4"/>
    <x v="0"/>
    <n v="134"/>
  </r>
  <r>
    <x v="1360"/>
    <x v="0"/>
    <x v="9"/>
    <n v="196"/>
    <x v="66"/>
    <x v="7"/>
    <x v="5"/>
    <x v="4"/>
    <x v="0"/>
    <n v="112"/>
  </r>
  <r>
    <x v="1361"/>
    <x v="45"/>
    <x v="0"/>
    <m/>
    <x v="1"/>
    <x v="26"/>
    <x v="12"/>
    <x v="0"/>
    <x v="1"/>
    <n v="10700"/>
  </r>
  <r>
    <x v="1361"/>
    <x v="45"/>
    <x v="0"/>
    <n v="40"/>
    <x v="12"/>
    <x v="226"/>
    <x v="18"/>
    <x v="10"/>
    <x v="1"/>
    <n v="3100"/>
  </r>
  <r>
    <x v="1361"/>
    <x v="45"/>
    <x v="0"/>
    <n v="840"/>
    <x v="1"/>
    <x v="241"/>
    <x v="1"/>
    <x v="0"/>
    <x v="1"/>
    <n v="10700"/>
  </r>
  <r>
    <x v="1362"/>
    <x v="4"/>
    <x v="1"/>
    <m/>
    <x v="26"/>
    <x v="109"/>
    <x v="6"/>
    <x v="6"/>
    <x v="1"/>
    <n v="1000"/>
  </r>
  <r>
    <x v="1363"/>
    <x v="1"/>
    <x v="12"/>
    <n v="340"/>
    <x v="2"/>
    <x v="164"/>
    <x v="15"/>
    <x v="0"/>
    <x v="1"/>
    <n v="5600"/>
  </r>
  <r>
    <x v="1363"/>
    <x v="1"/>
    <x v="12"/>
    <n v="713"/>
    <x v="15"/>
    <x v="184"/>
    <x v="4"/>
    <x v="0"/>
    <x v="1"/>
    <n v="5600"/>
  </r>
  <r>
    <x v="1364"/>
    <x v="121"/>
    <x v="2"/>
    <n v="100"/>
    <x v="7"/>
    <x v="145"/>
    <x v="5"/>
    <x v="2"/>
    <x v="3"/>
    <n v="1"/>
  </r>
  <r>
    <x v="1364"/>
    <x v="37"/>
    <x v="2"/>
    <m/>
    <x v="6"/>
    <x v="53"/>
    <x v="3"/>
    <x v="3"/>
    <x v="1"/>
    <n v="34"/>
  </r>
  <r>
    <x v="1365"/>
    <x v="1"/>
    <x v="11"/>
    <n v="200"/>
    <x v="11"/>
    <x v="2"/>
    <x v="2"/>
    <x v="0"/>
    <x v="1"/>
    <n v="208"/>
  </r>
  <r>
    <x v="1366"/>
    <x v="1"/>
    <x v="23"/>
    <m/>
    <x v="7"/>
    <x v="95"/>
    <x v="8"/>
    <x v="1"/>
    <x v="1"/>
    <n v="365"/>
  </r>
  <r>
    <x v="1367"/>
    <x v="49"/>
    <x v="12"/>
    <n v="137"/>
    <x v="7"/>
    <x v="72"/>
    <x v="2"/>
    <x v="0"/>
    <x v="1"/>
    <n v="527"/>
  </r>
  <r>
    <x v="1367"/>
    <x v="49"/>
    <x v="12"/>
    <n v="330"/>
    <x v="0"/>
    <x v="436"/>
    <x v="31"/>
    <x v="0"/>
    <x v="1"/>
    <n v="527"/>
  </r>
  <r>
    <x v="1368"/>
    <x v="143"/>
    <x v="4"/>
    <m/>
    <x v="0"/>
    <x v="86"/>
    <x v="0"/>
    <x v="6"/>
    <x v="1"/>
    <n v="481"/>
  </r>
  <r>
    <x v="1369"/>
    <x v="9"/>
    <x v="3"/>
    <n v="194"/>
    <x v="67"/>
    <x v="30"/>
    <x v="14"/>
    <x v="13"/>
    <x v="1"/>
    <n v="310"/>
  </r>
  <r>
    <x v="1370"/>
    <x v="16"/>
    <x v="20"/>
    <n v="18"/>
    <x v="8"/>
    <x v="118"/>
    <x v="6"/>
    <x v="3"/>
    <x v="7"/>
    <n v="25"/>
  </r>
  <r>
    <x v="1371"/>
    <x v="24"/>
    <x v="6"/>
    <m/>
    <x v="0"/>
    <x v="199"/>
    <x v="2"/>
    <x v="6"/>
    <x v="12"/>
    <n v="205"/>
  </r>
  <r>
    <x v="1372"/>
    <x v="9"/>
    <x v="22"/>
    <m/>
    <x v="20"/>
    <x v="437"/>
    <x v="20"/>
    <x v="2"/>
    <x v="1"/>
    <n v="14"/>
  </r>
  <r>
    <x v="1373"/>
    <x v="3"/>
    <x v="2"/>
    <n v="50"/>
    <x v="4"/>
    <x v="306"/>
    <x v="10"/>
    <x v="0"/>
    <x v="1"/>
    <n v="60"/>
  </r>
  <r>
    <x v="1374"/>
    <x v="161"/>
    <x v="20"/>
    <m/>
    <x v="33"/>
    <x v="83"/>
    <x v="2"/>
    <x v="0"/>
    <x v="1"/>
    <n v="382"/>
  </r>
  <r>
    <x v="1375"/>
    <x v="14"/>
    <x v="1"/>
    <m/>
    <x v="52"/>
    <x v="35"/>
    <x v="2"/>
    <x v="0"/>
    <x v="1"/>
    <n v="445"/>
  </r>
  <r>
    <x v="1375"/>
    <x v="14"/>
    <x v="1"/>
    <n v="160"/>
    <x v="36"/>
    <x v="218"/>
    <x v="7"/>
    <x v="0"/>
    <x v="1"/>
    <n v="445"/>
  </r>
  <r>
    <x v="1376"/>
    <x v="1"/>
    <x v="18"/>
    <n v="57"/>
    <x v="0"/>
    <x v="37"/>
    <x v="10"/>
    <x v="1"/>
    <x v="1"/>
    <n v="553"/>
  </r>
  <r>
    <x v="1377"/>
    <x v="3"/>
    <x v="4"/>
    <n v="100"/>
    <x v="0"/>
    <x v="3"/>
    <x v="3"/>
    <x v="11"/>
    <x v="1"/>
    <m/>
  </r>
  <r>
    <x v="1378"/>
    <x v="60"/>
    <x v="12"/>
    <n v="50"/>
    <x v="0"/>
    <x v="270"/>
    <x v="7"/>
    <x v="6"/>
    <x v="6"/>
    <n v="172"/>
  </r>
  <r>
    <x v="1378"/>
    <x v="60"/>
    <x v="12"/>
    <n v="180"/>
    <x v="6"/>
    <x v="144"/>
    <x v="6"/>
    <x v="6"/>
    <x v="6"/>
    <n v="172"/>
  </r>
  <r>
    <x v="1379"/>
    <x v="3"/>
    <x v="20"/>
    <m/>
    <x v="33"/>
    <x v="101"/>
    <x v="2"/>
    <x v="7"/>
    <x v="1"/>
    <m/>
  </r>
  <r>
    <x v="1380"/>
    <x v="1"/>
    <x v="13"/>
    <n v="27"/>
    <x v="9"/>
    <x v="73"/>
    <x v="6"/>
    <x v="3"/>
    <x v="1"/>
    <n v="61"/>
  </r>
  <r>
    <x v="1381"/>
    <x v="14"/>
    <x v="1"/>
    <n v="340"/>
    <x v="68"/>
    <x v="98"/>
    <x v="5"/>
    <x v="0"/>
    <x v="1"/>
    <n v="438"/>
  </r>
  <r>
    <x v="1382"/>
    <x v="4"/>
    <x v="4"/>
    <n v="100"/>
    <x v="13"/>
    <x v="198"/>
    <x v="3"/>
    <x v="6"/>
    <x v="1"/>
    <n v="965"/>
  </r>
  <r>
    <x v="1383"/>
    <x v="27"/>
    <x v="8"/>
    <n v="20"/>
    <x v="0"/>
    <x v="95"/>
    <x v="8"/>
    <x v="10"/>
    <x v="1"/>
    <n v="5"/>
  </r>
  <r>
    <x v="1384"/>
    <x v="1"/>
    <x v="8"/>
    <n v="90"/>
    <x v="0"/>
    <x v="299"/>
    <x v="8"/>
    <x v="0"/>
    <x v="1"/>
    <n v="65"/>
  </r>
  <r>
    <x v="1384"/>
    <x v="1"/>
    <x v="8"/>
    <n v="1000"/>
    <x v="18"/>
    <x v="238"/>
    <x v="2"/>
    <x v="0"/>
    <x v="1"/>
    <n v="65"/>
  </r>
  <r>
    <x v="1384"/>
    <x v="1"/>
    <x v="8"/>
    <n v="1000"/>
    <x v="69"/>
    <x v="367"/>
    <x v="30"/>
    <x v="0"/>
    <x v="1"/>
    <n v="65"/>
  </r>
  <r>
    <x v="1384"/>
    <x v="1"/>
    <x v="8"/>
    <n v="8000"/>
    <x v="10"/>
    <x v="66"/>
    <x v="3"/>
    <x v="0"/>
    <x v="1"/>
    <n v="65"/>
  </r>
  <r>
    <x v="1385"/>
    <x v="44"/>
    <x v="8"/>
    <n v="55"/>
    <x v="0"/>
    <x v="49"/>
    <x v="10"/>
    <x v="5"/>
    <x v="1"/>
    <n v="145"/>
  </r>
  <r>
    <x v="1385"/>
    <x v="44"/>
    <x v="8"/>
    <n v="100"/>
    <x v="10"/>
    <x v="290"/>
    <x v="12"/>
    <x v="7"/>
    <x v="1"/>
    <n v="245"/>
  </r>
  <r>
    <x v="1386"/>
    <x v="14"/>
    <x v="4"/>
    <n v="60"/>
    <x v="35"/>
    <x v="57"/>
    <x v="5"/>
    <x v="5"/>
    <x v="1"/>
    <n v="97"/>
  </r>
  <r>
    <x v="1386"/>
    <x v="14"/>
    <x v="4"/>
    <n v="90"/>
    <x v="33"/>
    <x v="67"/>
    <x v="2"/>
    <x v="8"/>
    <x v="1"/>
    <n v="452"/>
  </r>
  <r>
    <x v="1387"/>
    <x v="1"/>
    <x v="13"/>
    <m/>
    <x v="0"/>
    <x v="247"/>
    <x v="7"/>
    <x v="3"/>
    <x v="1"/>
    <n v="84"/>
  </r>
  <r>
    <x v="1388"/>
    <x v="5"/>
    <x v="1"/>
    <n v="75"/>
    <x v="6"/>
    <x v="31"/>
    <x v="6"/>
    <x v="6"/>
    <x v="3"/>
    <n v="36"/>
  </r>
  <r>
    <x v="1389"/>
    <x v="1"/>
    <x v="15"/>
    <n v="300"/>
    <x v="26"/>
    <x v="355"/>
    <x v="10"/>
    <x v="8"/>
    <x v="1"/>
    <n v="530"/>
  </r>
  <r>
    <x v="1390"/>
    <x v="9"/>
    <x v="1"/>
    <m/>
    <x v="6"/>
    <x v="281"/>
    <x v="2"/>
    <x v="2"/>
    <x v="1"/>
    <n v="700"/>
  </r>
  <r>
    <x v="1391"/>
    <x v="29"/>
    <x v="19"/>
    <m/>
    <x v="19"/>
    <x v="290"/>
    <x v="12"/>
    <x v="3"/>
    <x v="1"/>
    <n v="106"/>
  </r>
  <r>
    <x v="1392"/>
    <x v="5"/>
    <x v="1"/>
    <n v="60"/>
    <x v="7"/>
    <x v="56"/>
    <x v="6"/>
    <x v="6"/>
    <x v="3"/>
    <n v="11"/>
  </r>
  <r>
    <x v="1393"/>
    <x v="1"/>
    <x v="3"/>
    <n v="80"/>
    <x v="43"/>
    <x v="113"/>
    <x v="10"/>
    <x v="2"/>
    <x v="1"/>
    <n v="82"/>
  </r>
  <r>
    <x v="1394"/>
    <x v="162"/>
    <x v="20"/>
    <n v="3000"/>
    <x v="16"/>
    <x v="248"/>
    <x v="3"/>
    <x v="0"/>
    <x v="7"/>
    <n v="1300"/>
  </r>
  <r>
    <x v="1395"/>
    <x v="60"/>
    <x v="20"/>
    <n v="300"/>
    <x v="0"/>
    <x v="287"/>
    <x v="12"/>
    <x v="15"/>
    <x v="6"/>
    <n v="1300"/>
  </r>
  <r>
    <x v="1396"/>
    <x v="1"/>
    <x v="18"/>
    <n v="30"/>
    <x v="6"/>
    <x v="7"/>
    <x v="5"/>
    <x v="6"/>
    <x v="1"/>
    <n v="151"/>
  </r>
  <r>
    <x v="1397"/>
    <x v="24"/>
    <x v="9"/>
    <m/>
    <x v="13"/>
    <x v="227"/>
    <x v="0"/>
    <x v="4"/>
    <x v="12"/>
    <n v="139"/>
  </r>
  <r>
    <x v="1398"/>
    <x v="1"/>
    <x v="13"/>
    <m/>
    <x v="7"/>
    <x v="215"/>
    <x v="3"/>
    <x v="1"/>
    <x v="1"/>
    <n v="602"/>
  </r>
  <r>
    <x v="1399"/>
    <x v="29"/>
    <x v="12"/>
    <n v="90"/>
    <x v="70"/>
    <x v="264"/>
    <x v="18"/>
    <x v="4"/>
    <x v="1"/>
    <n v="103"/>
  </r>
  <r>
    <x v="1400"/>
    <x v="163"/>
    <x v="18"/>
    <n v="120"/>
    <x v="10"/>
    <x v="174"/>
    <x v="18"/>
    <x v="6"/>
    <x v="53"/>
    <m/>
  </r>
  <r>
    <x v="1401"/>
    <x v="3"/>
    <x v="1"/>
    <n v="90"/>
    <x v="0"/>
    <x v="203"/>
    <x v="2"/>
    <x v="0"/>
    <x v="1"/>
    <n v="347"/>
  </r>
  <r>
    <x v="1402"/>
    <x v="1"/>
    <x v="0"/>
    <m/>
    <x v="0"/>
    <x v="178"/>
    <x v="20"/>
    <x v="4"/>
    <x v="1"/>
    <n v="95"/>
  </r>
  <r>
    <x v="1402"/>
    <x v="1"/>
    <x v="0"/>
    <n v="92"/>
    <x v="37"/>
    <x v="185"/>
    <x v="5"/>
    <x v="4"/>
    <x v="1"/>
    <n v="95"/>
  </r>
  <r>
    <x v="1403"/>
    <x v="43"/>
    <x v="19"/>
    <m/>
    <x v="2"/>
    <x v="163"/>
    <x v="3"/>
    <x v="3"/>
    <x v="18"/>
    <n v="23"/>
  </r>
  <r>
    <x v="1404"/>
    <x v="60"/>
    <x v="4"/>
    <n v="350"/>
    <x v="0"/>
    <x v="433"/>
    <x v="13"/>
    <x v="0"/>
    <x v="6"/>
    <n v="8600"/>
  </r>
  <r>
    <x v="1404"/>
    <x v="21"/>
    <x v="3"/>
    <m/>
    <x v="0"/>
    <x v="58"/>
    <x v="7"/>
    <x v="0"/>
    <x v="9"/>
    <n v="8600"/>
  </r>
  <r>
    <x v="1405"/>
    <x v="1"/>
    <x v="12"/>
    <m/>
    <x v="0"/>
    <x v="18"/>
    <x v="6"/>
    <x v="2"/>
    <x v="1"/>
    <n v="7"/>
  </r>
  <r>
    <x v="1406"/>
    <x v="4"/>
    <x v="6"/>
    <n v="32"/>
    <x v="0"/>
    <x v="438"/>
    <x v="17"/>
    <x v="2"/>
    <x v="1"/>
    <n v="37"/>
  </r>
  <r>
    <x v="1407"/>
    <x v="44"/>
    <x v="22"/>
    <n v="212"/>
    <x v="2"/>
    <x v="290"/>
    <x v="12"/>
    <x v="0"/>
    <x v="1"/>
    <n v="83"/>
  </r>
  <r>
    <x v="1408"/>
    <x v="42"/>
    <x v="15"/>
    <n v="90"/>
    <x v="0"/>
    <x v="184"/>
    <x v="4"/>
    <x v="6"/>
    <x v="1"/>
    <n v="107"/>
  </r>
  <r>
    <x v="1409"/>
    <x v="1"/>
    <x v="13"/>
    <n v="50"/>
    <x v="10"/>
    <x v="306"/>
    <x v="10"/>
    <x v="5"/>
    <x v="1"/>
    <n v="283"/>
  </r>
  <r>
    <x v="1410"/>
    <x v="16"/>
    <x v="4"/>
    <n v="28"/>
    <x v="0"/>
    <x v="200"/>
    <x v="1"/>
    <x v="6"/>
    <x v="7"/>
    <n v="766"/>
  </r>
  <r>
    <x v="1411"/>
    <x v="100"/>
    <x v="1"/>
    <n v="250"/>
    <x v="35"/>
    <x v="160"/>
    <x v="4"/>
    <x v="0"/>
    <x v="1"/>
    <n v="791"/>
  </r>
  <r>
    <x v="1411"/>
    <x v="100"/>
    <x v="1"/>
    <n v="500"/>
    <x v="0"/>
    <x v="203"/>
    <x v="2"/>
    <x v="0"/>
    <x v="1"/>
    <n v="791"/>
  </r>
  <r>
    <x v="1412"/>
    <x v="7"/>
    <x v="9"/>
    <n v="300"/>
    <x v="20"/>
    <x v="156"/>
    <x v="17"/>
    <x v="11"/>
    <x v="4"/>
    <n v="3"/>
  </r>
  <r>
    <x v="1413"/>
    <x v="164"/>
    <x v="15"/>
    <m/>
    <x v="10"/>
    <x v="119"/>
    <x v="2"/>
    <x v="4"/>
    <x v="1"/>
    <n v="200"/>
  </r>
  <r>
    <x v="1414"/>
    <x v="7"/>
    <x v="15"/>
    <n v="27"/>
    <x v="5"/>
    <x v="46"/>
    <x v="1"/>
    <x v="4"/>
    <x v="4"/>
    <n v="69"/>
  </r>
  <r>
    <x v="1415"/>
    <x v="1"/>
    <x v="2"/>
    <m/>
    <x v="23"/>
    <x v="232"/>
    <x v="6"/>
    <x v="4"/>
    <x v="1"/>
    <n v="152"/>
  </r>
  <r>
    <x v="1416"/>
    <x v="87"/>
    <x v="15"/>
    <n v="30"/>
    <x v="10"/>
    <x v="184"/>
    <x v="4"/>
    <x v="3"/>
    <x v="34"/>
    <n v="26"/>
  </r>
  <r>
    <x v="1416"/>
    <x v="87"/>
    <x v="15"/>
    <n v="54"/>
    <x v="7"/>
    <x v="184"/>
    <x v="4"/>
    <x v="3"/>
    <x v="34"/>
    <n v="26"/>
  </r>
  <r>
    <x v="1417"/>
    <x v="0"/>
    <x v="12"/>
    <n v="17"/>
    <x v="7"/>
    <x v="22"/>
    <x v="5"/>
    <x v="3"/>
    <x v="0"/>
    <n v="50"/>
  </r>
  <r>
    <x v="1418"/>
    <x v="3"/>
    <x v="14"/>
    <m/>
    <x v="20"/>
    <x v="334"/>
    <x v="14"/>
    <x v="11"/>
    <x v="1"/>
    <n v="5"/>
  </r>
  <r>
    <x v="1418"/>
    <x v="3"/>
    <x v="14"/>
    <m/>
    <x v="20"/>
    <x v="257"/>
    <x v="14"/>
    <x v="11"/>
    <x v="1"/>
    <n v="5"/>
  </r>
  <r>
    <x v="1419"/>
    <x v="3"/>
    <x v="8"/>
    <n v="221"/>
    <x v="4"/>
    <x v="136"/>
    <x v="12"/>
    <x v="13"/>
    <x v="1"/>
    <n v="1100"/>
  </r>
  <r>
    <x v="1420"/>
    <x v="47"/>
    <x v="12"/>
    <m/>
    <x v="7"/>
    <x v="439"/>
    <x v="13"/>
    <x v="0"/>
    <x v="1"/>
    <n v="301"/>
  </r>
  <r>
    <x v="1421"/>
    <x v="28"/>
    <x v="5"/>
    <n v="21"/>
    <x v="9"/>
    <x v="3"/>
    <x v="3"/>
    <x v="2"/>
    <x v="0"/>
    <n v="45"/>
  </r>
  <r>
    <x v="1422"/>
    <x v="16"/>
    <x v="0"/>
    <n v="150"/>
    <x v="32"/>
    <x v="61"/>
    <x v="0"/>
    <x v="7"/>
    <x v="7"/>
    <m/>
  </r>
  <r>
    <x v="1423"/>
    <x v="60"/>
    <x v="3"/>
    <n v="100"/>
    <x v="0"/>
    <x v="240"/>
    <x v="0"/>
    <x v="6"/>
    <x v="6"/>
    <n v="1700"/>
  </r>
  <r>
    <x v="1423"/>
    <x v="60"/>
    <x v="3"/>
    <n v="500"/>
    <x v="7"/>
    <x v="234"/>
    <x v="3"/>
    <x v="12"/>
    <x v="6"/>
    <n v="1700"/>
  </r>
  <r>
    <x v="1423"/>
    <x v="60"/>
    <x v="2"/>
    <n v="101"/>
    <x v="9"/>
    <x v="355"/>
    <x v="10"/>
    <x v="5"/>
    <x v="6"/>
    <n v="222"/>
  </r>
  <r>
    <x v="1424"/>
    <x v="1"/>
    <x v="2"/>
    <n v="18"/>
    <x v="0"/>
    <x v="331"/>
    <x v="23"/>
    <x v="5"/>
    <x v="1"/>
    <n v="38"/>
  </r>
  <r>
    <x v="1425"/>
    <x v="1"/>
    <x v="9"/>
    <n v="29"/>
    <x v="0"/>
    <x v="201"/>
    <x v="6"/>
    <x v="2"/>
    <x v="1"/>
    <n v="28"/>
  </r>
  <r>
    <x v="1426"/>
    <x v="9"/>
    <x v="9"/>
    <n v="43"/>
    <x v="0"/>
    <x v="233"/>
    <x v="1"/>
    <x v="3"/>
    <x v="1"/>
    <n v="58"/>
  </r>
  <r>
    <x v="1427"/>
    <x v="0"/>
    <x v="14"/>
    <n v="22"/>
    <x v="0"/>
    <x v="233"/>
    <x v="1"/>
    <x v="6"/>
    <x v="0"/>
    <n v="11"/>
  </r>
  <r>
    <x v="1428"/>
    <x v="1"/>
    <x v="0"/>
    <m/>
    <x v="0"/>
    <x v="19"/>
    <x v="4"/>
    <x v="0"/>
    <x v="1"/>
    <n v="504"/>
  </r>
  <r>
    <x v="1429"/>
    <x v="15"/>
    <x v="15"/>
    <m/>
    <x v="11"/>
    <x v="314"/>
    <x v="4"/>
    <x v="1"/>
    <x v="1"/>
    <n v="330"/>
  </r>
  <r>
    <x v="1430"/>
    <x v="1"/>
    <x v="15"/>
    <n v="60"/>
    <x v="7"/>
    <x v="35"/>
    <x v="2"/>
    <x v="1"/>
    <x v="1"/>
    <n v="154"/>
  </r>
  <r>
    <x v="1431"/>
    <x v="3"/>
    <x v="4"/>
    <n v="20"/>
    <x v="31"/>
    <x v="84"/>
    <x v="5"/>
    <x v="11"/>
    <x v="1"/>
    <n v="2"/>
  </r>
  <r>
    <x v="1432"/>
    <x v="1"/>
    <x v="4"/>
    <n v="48"/>
    <x v="8"/>
    <x v="19"/>
    <x v="4"/>
    <x v="4"/>
    <x v="1"/>
    <n v="114"/>
  </r>
  <r>
    <x v="1433"/>
    <x v="12"/>
    <x v="4"/>
    <n v="200"/>
    <x v="24"/>
    <x v="54"/>
    <x v="5"/>
    <x v="4"/>
    <x v="6"/>
    <n v="19"/>
  </r>
  <r>
    <x v="1434"/>
    <x v="24"/>
    <x v="9"/>
    <m/>
    <x v="0"/>
    <x v="203"/>
    <x v="2"/>
    <x v="6"/>
    <x v="12"/>
    <m/>
  </r>
  <r>
    <x v="1434"/>
    <x v="24"/>
    <x v="9"/>
    <m/>
    <x v="0"/>
    <x v="440"/>
    <x v="7"/>
    <x v="6"/>
    <x v="12"/>
    <m/>
  </r>
  <r>
    <x v="1434"/>
    <x v="21"/>
    <x v="9"/>
    <m/>
    <x v="0"/>
    <x v="31"/>
    <x v="6"/>
    <x v="6"/>
    <x v="9"/>
    <m/>
  </r>
  <r>
    <x v="1435"/>
    <x v="165"/>
    <x v="4"/>
    <n v="30"/>
    <x v="0"/>
    <x v="357"/>
    <x v="30"/>
    <x v="0"/>
    <x v="0"/>
    <n v="122"/>
  </r>
  <r>
    <x v="1435"/>
    <x v="165"/>
    <x v="4"/>
    <n v="50"/>
    <x v="0"/>
    <x v="77"/>
    <x v="1"/>
    <x v="0"/>
    <x v="0"/>
    <n v="122"/>
  </r>
  <r>
    <x v="1435"/>
    <x v="165"/>
    <x v="4"/>
    <n v="70"/>
    <x v="0"/>
    <x v="9"/>
    <x v="7"/>
    <x v="0"/>
    <x v="0"/>
    <n v="122"/>
  </r>
  <r>
    <x v="1435"/>
    <x v="165"/>
    <x v="4"/>
    <n v="1000"/>
    <x v="10"/>
    <x v="282"/>
    <x v="1"/>
    <x v="0"/>
    <x v="0"/>
    <n v="122"/>
  </r>
  <r>
    <x v="1436"/>
    <x v="60"/>
    <x v="4"/>
    <m/>
    <x v="20"/>
    <x v="396"/>
    <x v="4"/>
    <x v="6"/>
    <x v="6"/>
    <n v="56"/>
  </r>
  <r>
    <x v="1437"/>
    <x v="15"/>
    <x v="2"/>
    <n v="52"/>
    <x v="5"/>
    <x v="22"/>
    <x v="5"/>
    <x v="5"/>
    <x v="1"/>
    <n v="159"/>
  </r>
  <r>
    <x v="1438"/>
    <x v="1"/>
    <x v="4"/>
    <n v="360"/>
    <x v="0"/>
    <x v="205"/>
    <x v="3"/>
    <x v="7"/>
    <x v="1"/>
    <n v="50"/>
  </r>
  <r>
    <x v="1438"/>
    <x v="1"/>
    <x v="4"/>
    <n v="800"/>
    <x v="0"/>
    <x v="441"/>
    <x v="19"/>
    <x v="7"/>
    <x v="1"/>
    <n v="50"/>
  </r>
  <r>
    <x v="1439"/>
    <x v="74"/>
    <x v="0"/>
    <n v="40"/>
    <x v="0"/>
    <x v="7"/>
    <x v="5"/>
    <x v="4"/>
    <x v="6"/>
    <n v="122"/>
  </r>
  <r>
    <x v="1440"/>
    <x v="1"/>
    <x v="23"/>
    <m/>
    <x v="0"/>
    <x v="104"/>
    <x v="8"/>
    <x v="6"/>
    <x v="1"/>
    <n v="313"/>
  </r>
  <r>
    <x v="1440"/>
    <x v="1"/>
    <x v="23"/>
    <m/>
    <x v="10"/>
    <x v="8"/>
    <x v="6"/>
    <x v="6"/>
    <x v="1"/>
    <n v="313"/>
  </r>
  <r>
    <x v="1441"/>
    <x v="3"/>
    <x v="1"/>
    <n v="110"/>
    <x v="24"/>
    <x v="168"/>
    <x v="6"/>
    <x v="4"/>
    <x v="1"/>
    <n v="163"/>
  </r>
  <r>
    <x v="1442"/>
    <x v="1"/>
    <x v="22"/>
    <m/>
    <x v="0"/>
    <x v="256"/>
    <x v="10"/>
    <x v="5"/>
    <x v="1"/>
    <n v="106"/>
  </r>
  <r>
    <x v="1443"/>
    <x v="166"/>
    <x v="20"/>
    <n v="64"/>
    <x v="0"/>
    <x v="237"/>
    <x v="15"/>
    <x v="7"/>
    <x v="20"/>
    <n v="277"/>
  </r>
  <r>
    <x v="1444"/>
    <x v="167"/>
    <x v="22"/>
    <m/>
    <x v="0"/>
    <x v="148"/>
    <x v="2"/>
    <x v="7"/>
    <x v="48"/>
    <n v="8"/>
  </r>
  <r>
    <x v="1445"/>
    <x v="4"/>
    <x v="20"/>
    <n v="120"/>
    <x v="10"/>
    <x v="67"/>
    <x v="2"/>
    <x v="0"/>
    <x v="1"/>
    <n v="235"/>
  </r>
  <r>
    <x v="1446"/>
    <x v="4"/>
    <x v="2"/>
    <n v="6"/>
    <x v="0"/>
    <x v="252"/>
    <x v="5"/>
    <x v="4"/>
    <x v="1"/>
    <n v="68"/>
  </r>
  <r>
    <x v="1447"/>
    <x v="13"/>
    <x v="12"/>
    <m/>
    <x v="20"/>
    <x v="442"/>
    <x v="19"/>
    <x v="7"/>
    <x v="1"/>
    <n v="15"/>
  </r>
  <r>
    <x v="1448"/>
    <x v="23"/>
    <x v="9"/>
    <n v="150"/>
    <x v="20"/>
    <x v="270"/>
    <x v="7"/>
    <x v="6"/>
    <x v="11"/>
    <n v="173"/>
  </r>
  <r>
    <x v="1449"/>
    <x v="11"/>
    <x v="20"/>
    <n v="150"/>
    <x v="0"/>
    <x v="13"/>
    <x v="8"/>
    <x v="0"/>
    <x v="5"/>
    <n v="1500"/>
  </r>
  <r>
    <x v="1450"/>
    <x v="1"/>
    <x v="2"/>
    <m/>
    <x v="0"/>
    <x v="252"/>
    <x v="5"/>
    <x v="3"/>
    <x v="1"/>
    <n v="50"/>
  </r>
  <r>
    <x v="1451"/>
    <x v="24"/>
    <x v="4"/>
    <n v="160"/>
    <x v="4"/>
    <x v="305"/>
    <x v="2"/>
    <x v="3"/>
    <x v="12"/>
    <n v="92"/>
  </r>
  <r>
    <x v="1452"/>
    <x v="9"/>
    <x v="30"/>
    <n v="130"/>
    <x v="6"/>
    <x v="205"/>
    <x v="3"/>
    <x v="5"/>
    <x v="1"/>
    <n v="171"/>
  </r>
  <r>
    <x v="1453"/>
    <x v="4"/>
    <x v="11"/>
    <n v="475"/>
    <x v="4"/>
    <x v="59"/>
    <x v="9"/>
    <x v="0"/>
    <x v="1"/>
    <n v="525"/>
  </r>
  <r>
    <x v="1454"/>
    <x v="4"/>
    <x v="13"/>
    <n v="80"/>
    <x v="2"/>
    <x v="252"/>
    <x v="5"/>
    <x v="8"/>
    <x v="1"/>
    <n v="274"/>
  </r>
  <r>
    <x v="1455"/>
    <x v="47"/>
    <x v="2"/>
    <n v="40"/>
    <x v="0"/>
    <x v="30"/>
    <x v="14"/>
    <x v="6"/>
    <x v="1"/>
    <n v="55"/>
  </r>
  <r>
    <x v="1456"/>
    <x v="35"/>
    <x v="2"/>
    <n v="30"/>
    <x v="30"/>
    <x v="241"/>
    <x v="1"/>
    <x v="1"/>
    <x v="17"/>
    <n v="60"/>
  </r>
  <r>
    <x v="1457"/>
    <x v="1"/>
    <x v="19"/>
    <n v="31"/>
    <x v="4"/>
    <x v="265"/>
    <x v="4"/>
    <x v="4"/>
    <x v="1"/>
    <n v="114"/>
  </r>
  <r>
    <x v="1458"/>
    <x v="168"/>
    <x v="20"/>
    <n v="80"/>
    <x v="0"/>
    <x v="177"/>
    <x v="8"/>
    <x v="2"/>
    <x v="28"/>
    <n v="20"/>
  </r>
  <r>
    <x v="1459"/>
    <x v="4"/>
    <x v="6"/>
    <m/>
    <x v="0"/>
    <x v="265"/>
    <x v="4"/>
    <x v="6"/>
    <x v="1"/>
    <n v="136"/>
  </r>
  <r>
    <x v="1459"/>
    <x v="4"/>
    <x v="6"/>
    <n v="31"/>
    <x v="0"/>
    <x v="8"/>
    <x v="6"/>
    <x v="6"/>
    <x v="1"/>
    <n v="136"/>
  </r>
  <r>
    <x v="1460"/>
    <x v="1"/>
    <x v="3"/>
    <m/>
    <x v="0"/>
    <x v="11"/>
    <x v="4"/>
    <x v="0"/>
    <x v="1"/>
    <n v="287"/>
  </r>
  <r>
    <x v="1460"/>
    <x v="1"/>
    <x v="3"/>
    <n v="21"/>
    <x v="0"/>
    <x v="110"/>
    <x v="5"/>
    <x v="5"/>
    <x v="1"/>
    <n v="132"/>
  </r>
  <r>
    <x v="1460"/>
    <x v="1"/>
    <x v="3"/>
    <n v="70"/>
    <x v="10"/>
    <x v="370"/>
    <x v="17"/>
    <x v="0"/>
    <x v="1"/>
    <n v="287"/>
  </r>
  <r>
    <x v="1461"/>
    <x v="169"/>
    <x v="9"/>
    <n v="350"/>
    <x v="0"/>
    <x v="68"/>
    <x v="7"/>
    <x v="7"/>
    <x v="0"/>
    <n v="6"/>
  </r>
  <r>
    <x v="1462"/>
    <x v="60"/>
    <x v="10"/>
    <n v="115"/>
    <x v="0"/>
    <x v="53"/>
    <x v="3"/>
    <x v="3"/>
    <x v="6"/>
    <n v="28"/>
  </r>
  <r>
    <x v="1463"/>
    <x v="170"/>
    <x v="14"/>
    <n v="300"/>
    <x v="7"/>
    <x v="443"/>
    <x v="23"/>
    <x v="7"/>
    <x v="18"/>
    <n v="197"/>
  </r>
  <r>
    <x v="1464"/>
    <x v="99"/>
    <x v="23"/>
    <n v="50"/>
    <x v="9"/>
    <x v="30"/>
    <x v="14"/>
    <x v="7"/>
    <x v="1"/>
    <m/>
  </r>
  <r>
    <x v="1465"/>
    <x v="4"/>
    <x v="12"/>
    <m/>
    <x v="0"/>
    <x v="185"/>
    <x v="5"/>
    <x v="2"/>
    <x v="1"/>
    <n v="35"/>
  </r>
  <r>
    <x v="1466"/>
    <x v="58"/>
    <x v="15"/>
    <m/>
    <x v="0"/>
    <x v="360"/>
    <x v="4"/>
    <x v="3"/>
    <x v="1"/>
    <n v="76"/>
  </r>
  <r>
    <x v="1467"/>
    <x v="13"/>
    <x v="20"/>
    <m/>
    <x v="0"/>
    <x v="16"/>
    <x v="1"/>
    <x v="10"/>
    <x v="1"/>
    <m/>
  </r>
  <r>
    <x v="1468"/>
    <x v="95"/>
    <x v="11"/>
    <n v="120"/>
    <x v="24"/>
    <x v="53"/>
    <x v="3"/>
    <x v="8"/>
    <x v="1"/>
    <n v="410"/>
  </r>
  <r>
    <x v="1469"/>
    <x v="9"/>
    <x v="20"/>
    <n v="85"/>
    <x v="16"/>
    <x v="251"/>
    <x v="12"/>
    <x v="0"/>
    <x v="1"/>
    <n v="152"/>
  </r>
  <r>
    <x v="1470"/>
    <x v="16"/>
    <x v="12"/>
    <n v="100"/>
    <x v="10"/>
    <x v="81"/>
    <x v="4"/>
    <x v="6"/>
    <x v="7"/>
    <n v="188"/>
  </r>
  <r>
    <x v="1470"/>
    <x v="16"/>
    <x v="12"/>
    <n v="100"/>
    <x v="6"/>
    <x v="148"/>
    <x v="2"/>
    <x v="6"/>
    <x v="7"/>
    <n v="188"/>
  </r>
  <r>
    <x v="1471"/>
    <x v="171"/>
    <x v="19"/>
    <m/>
    <x v="0"/>
    <x v="81"/>
    <x v="4"/>
    <x v="6"/>
    <x v="1"/>
    <n v="221"/>
  </r>
  <r>
    <x v="1472"/>
    <x v="3"/>
    <x v="3"/>
    <n v="1280"/>
    <x v="7"/>
    <x v="81"/>
    <x v="4"/>
    <x v="0"/>
    <x v="1"/>
    <n v="4900"/>
  </r>
  <r>
    <x v="1473"/>
    <x v="18"/>
    <x v="12"/>
    <m/>
    <x v="0"/>
    <x v="30"/>
    <x v="14"/>
    <x v="6"/>
    <x v="1"/>
    <m/>
  </r>
  <r>
    <x v="1474"/>
    <x v="1"/>
    <x v="23"/>
    <m/>
    <x v="10"/>
    <x v="55"/>
    <x v="4"/>
    <x v="5"/>
    <x v="1"/>
    <n v="253"/>
  </r>
  <r>
    <x v="1474"/>
    <x v="1"/>
    <x v="23"/>
    <m/>
    <x v="6"/>
    <x v="35"/>
    <x v="2"/>
    <x v="5"/>
    <x v="1"/>
    <n v="253"/>
  </r>
  <r>
    <x v="1475"/>
    <x v="4"/>
    <x v="2"/>
    <n v="100"/>
    <x v="8"/>
    <x v="139"/>
    <x v="3"/>
    <x v="4"/>
    <x v="1"/>
    <n v="104"/>
  </r>
  <r>
    <x v="1476"/>
    <x v="0"/>
    <x v="14"/>
    <m/>
    <x v="0"/>
    <x v="444"/>
    <x v="23"/>
    <x v="2"/>
    <x v="0"/>
    <n v="22"/>
  </r>
  <r>
    <x v="1477"/>
    <x v="43"/>
    <x v="13"/>
    <n v="40"/>
    <x v="0"/>
    <x v="97"/>
    <x v="12"/>
    <x v="3"/>
    <x v="1"/>
    <n v="55"/>
  </r>
  <r>
    <x v="1478"/>
    <x v="14"/>
    <x v="22"/>
    <n v="30"/>
    <x v="0"/>
    <x v="18"/>
    <x v="6"/>
    <x v="8"/>
    <x v="1"/>
    <n v="849"/>
  </r>
  <r>
    <x v="1478"/>
    <x v="14"/>
    <x v="22"/>
    <n v="198"/>
    <x v="23"/>
    <x v="216"/>
    <x v="8"/>
    <x v="8"/>
    <x v="1"/>
    <n v="849"/>
  </r>
  <r>
    <x v="1479"/>
    <x v="85"/>
    <x v="12"/>
    <n v="69"/>
    <x v="35"/>
    <x v="190"/>
    <x v="6"/>
    <x v="1"/>
    <x v="1"/>
    <n v="646"/>
  </r>
  <r>
    <x v="1479"/>
    <x v="85"/>
    <x v="12"/>
    <n v="104"/>
    <x v="19"/>
    <x v="107"/>
    <x v="3"/>
    <x v="1"/>
    <x v="1"/>
    <n v="646"/>
  </r>
  <r>
    <x v="1480"/>
    <x v="1"/>
    <x v="12"/>
    <m/>
    <x v="0"/>
    <x v="96"/>
    <x v="3"/>
    <x v="0"/>
    <x v="1"/>
    <n v="3000"/>
  </r>
  <r>
    <x v="1480"/>
    <x v="1"/>
    <x v="12"/>
    <n v="112"/>
    <x v="11"/>
    <x v="355"/>
    <x v="10"/>
    <x v="10"/>
    <x v="1"/>
    <n v="2500"/>
  </r>
  <r>
    <x v="1481"/>
    <x v="172"/>
    <x v="13"/>
    <n v="200"/>
    <x v="30"/>
    <x v="108"/>
    <x v="3"/>
    <x v="0"/>
    <x v="7"/>
    <n v="344"/>
  </r>
  <r>
    <x v="1482"/>
    <x v="1"/>
    <x v="2"/>
    <n v="300"/>
    <x v="31"/>
    <x v="57"/>
    <x v="5"/>
    <x v="5"/>
    <x v="1"/>
    <n v="162"/>
  </r>
  <r>
    <x v="1483"/>
    <x v="16"/>
    <x v="12"/>
    <m/>
    <x v="10"/>
    <x v="398"/>
    <x v="7"/>
    <x v="6"/>
    <x v="7"/>
    <n v="385"/>
  </r>
  <r>
    <x v="1484"/>
    <x v="35"/>
    <x v="10"/>
    <n v="120"/>
    <x v="20"/>
    <x v="445"/>
    <x v="1"/>
    <x v="7"/>
    <x v="17"/>
    <n v="18"/>
  </r>
  <r>
    <x v="1485"/>
    <x v="1"/>
    <x v="14"/>
    <n v="100"/>
    <x v="23"/>
    <x v="243"/>
    <x v="9"/>
    <x v="0"/>
    <x v="1"/>
    <n v="839"/>
  </r>
  <r>
    <x v="1485"/>
    <x v="1"/>
    <x v="14"/>
    <n v="250"/>
    <x v="17"/>
    <x v="359"/>
    <x v="6"/>
    <x v="0"/>
    <x v="1"/>
    <n v="839"/>
  </r>
  <r>
    <x v="1485"/>
    <x v="1"/>
    <x v="14"/>
    <n v="400"/>
    <x v="37"/>
    <x v="309"/>
    <x v="14"/>
    <x v="5"/>
    <x v="1"/>
    <n v="359"/>
  </r>
  <r>
    <x v="1486"/>
    <x v="26"/>
    <x v="1"/>
    <m/>
    <x v="6"/>
    <x v="0"/>
    <x v="0"/>
    <x v="4"/>
    <x v="1"/>
    <n v="183"/>
  </r>
  <r>
    <x v="1487"/>
    <x v="41"/>
    <x v="0"/>
    <n v="300"/>
    <x v="0"/>
    <x v="74"/>
    <x v="12"/>
    <x v="0"/>
    <x v="7"/>
    <n v="126"/>
  </r>
  <r>
    <x v="1488"/>
    <x v="4"/>
    <x v="3"/>
    <n v="174"/>
    <x v="5"/>
    <x v="323"/>
    <x v="18"/>
    <x v="0"/>
    <x v="1"/>
    <n v="455"/>
  </r>
  <r>
    <x v="1489"/>
    <x v="173"/>
    <x v="22"/>
    <n v="450"/>
    <x v="10"/>
    <x v="14"/>
    <x v="3"/>
    <x v="7"/>
    <x v="1"/>
    <n v="125"/>
  </r>
  <r>
    <x v="1490"/>
    <x v="24"/>
    <x v="4"/>
    <m/>
    <x v="20"/>
    <x v="219"/>
    <x v="23"/>
    <x v="3"/>
    <x v="12"/>
    <n v="27"/>
  </r>
  <r>
    <x v="1491"/>
    <x v="16"/>
    <x v="3"/>
    <m/>
    <x v="7"/>
    <x v="137"/>
    <x v="4"/>
    <x v="6"/>
    <x v="7"/>
    <n v="542"/>
  </r>
  <r>
    <x v="1492"/>
    <x v="1"/>
    <x v="20"/>
    <n v="45"/>
    <x v="10"/>
    <x v="119"/>
    <x v="2"/>
    <x v="0"/>
    <x v="1"/>
    <n v="326"/>
  </r>
  <r>
    <x v="1492"/>
    <x v="1"/>
    <x v="20"/>
    <n v="200"/>
    <x v="31"/>
    <x v="107"/>
    <x v="3"/>
    <x v="0"/>
    <x v="1"/>
    <n v="326"/>
  </r>
  <r>
    <x v="1493"/>
    <x v="1"/>
    <x v="17"/>
    <n v="24"/>
    <x v="4"/>
    <x v="246"/>
    <x v="6"/>
    <x v="5"/>
    <x v="1"/>
    <n v="248"/>
  </r>
  <r>
    <x v="1494"/>
    <x v="3"/>
    <x v="11"/>
    <m/>
    <x v="0"/>
    <x v="446"/>
    <x v="30"/>
    <x v="7"/>
    <x v="1"/>
    <n v="10"/>
  </r>
  <r>
    <x v="1495"/>
    <x v="7"/>
    <x v="12"/>
    <m/>
    <x v="0"/>
    <x v="198"/>
    <x v="3"/>
    <x v="2"/>
    <x v="4"/>
    <n v="41"/>
  </r>
  <r>
    <x v="1496"/>
    <x v="1"/>
    <x v="0"/>
    <m/>
    <x v="9"/>
    <x v="447"/>
    <x v="31"/>
    <x v="7"/>
    <x v="1"/>
    <n v="8"/>
  </r>
  <r>
    <x v="1496"/>
    <x v="1"/>
    <x v="0"/>
    <n v="78"/>
    <x v="10"/>
    <x v="208"/>
    <x v="7"/>
    <x v="7"/>
    <x v="1"/>
    <n v="8"/>
  </r>
  <r>
    <x v="1497"/>
    <x v="4"/>
    <x v="11"/>
    <n v="23"/>
    <x v="0"/>
    <x v="87"/>
    <x v="1"/>
    <x v="5"/>
    <x v="1"/>
    <n v="159"/>
  </r>
  <r>
    <x v="1498"/>
    <x v="1"/>
    <x v="13"/>
    <n v="70"/>
    <x v="18"/>
    <x v="328"/>
    <x v="18"/>
    <x v="0"/>
    <x v="1"/>
    <n v="40"/>
  </r>
  <r>
    <x v="1498"/>
    <x v="1"/>
    <x v="13"/>
    <n v="325"/>
    <x v="30"/>
    <x v="26"/>
    <x v="12"/>
    <x v="0"/>
    <x v="1"/>
    <n v="2400"/>
  </r>
  <r>
    <x v="1499"/>
    <x v="43"/>
    <x v="0"/>
    <n v="57"/>
    <x v="0"/>
    <x v="199"/>
    <x v="2"/>
    <x v="3"/>
    <x v="18"/>
    <n v="34"/>
  </r>
  <r>
    <x v="1500"/>
    <x v="15"/>
    <x v="0"/>
    <m/>
    <x v="0"/>
    <x v="309"/>
    <x v="14"/>
    <x v="5"/>
    <x v="1"/>
    <n v="117"/>
  </r>
  <r>
    <x v="1500"/>
    <x v="15"/>
    <x v="0"/>
    <n v="40"/>
    <x v="17"/>
    <x v="254"/>
    <x v="18"/>
    <x v="5"/>
    <x v="1"/>
    <n v="117"/>
  </r>
  <r>
    <x v="1501"/>
    <x v="11"/>
    <x v="11"/>
    <m/>
    <x v="0"/>
    <x v="105"/>
    <x v="8"/>
    <x v="0"/>
    <x v="5"/>
    <n v="2100"/>
  </r>
  <r>
    <x v="1501"/>
    <x v="11"/>
    <x v="11"/>
    <m/>
    <x v="0"/>
    <x v="72"/>
    <x v="2"/>
    <x v="0"/>
    <x v="5"/>
    <n v="2100"/>
  </r>
  <r>
    <x v="1501"/>
    <x v="11"/>
    <x v="11"/>
    <n v="600"/>
    <x v="1"/>
    <x v="169"/>
    <x v="3"/>
    <x v="0"/>
    <x v="5"/>
    <n v="2100"/>
  </r>
  <r>
    <x v="1502"/>
    <x v="29"/>
    <x v="4"/>
    <m/>
    <x v="0"/>
    <x v="324"/>
    <x v="8"/>
    <x v="9"/>
    <x v="1"/>
    <m/>
  </r>
  <r>
    <x v="1503"/>
    <x v="1"/>
    <x v="4"/>
    <m/>
    <x v="0"/>
    <x v="42"/>
    <x v="1"/>
    <x v="6"/>
    <x v="1"/>
    <n v="61"/>
  </r>
  <r>
    <x v="1504"/>
    <x v="37"/>
    <x v="8"/>
    <n v="37"/>
    <x v="15"/>
    <x v="157"/>
    <x v="0"/>
    <x v="0"/>
    <x v="1"/>
    <n v="32"/>
  </r>
  <r>
    <x v="1505"/>
    <x v="174"/>
    <x v="9"/>
    <m/>
    <x v="46"/>
    <x v="33"/>
    <x v="8"/>
    <x v="4"/>
    <x v="7"/>
    <n v="11"/>
  </r>
  <r>
    <x v="1506"/>
    <x v="4"/>
    <x v="10"/>
    <m/>
    <x v="0"/>
    <x v="448"/>
    <x v="18"/>
    <x v="8"/>
    <x v="1"/>
    <n v="228"/>
  </r>
  <r>
    <x v="1506"/>
    <x v="4"/>
    <x v="10"/>
    <n v="50"/>
    <x v="0"/>
    <x v="125"/>
    <x v="6"/>
    <x v="0"/>
    <x v="1"/>
    <n v="429"/>
  </r>
  <r>
    <x v="1506"/>
    <x v="4"/>
    <x v="10"/>
    <n v="100"/>
    <x v="30"/>
    <x v="136"/>
    <x v="12"/>
    <x v="0"/>
    <x v="1"/>
    <n v="429"/>
  </r>
  <r>
    <x v="1507"/>
    <x v="14"/>
    <x v="9"/>
    <n v="4"/>
    <x v="5"/>
    <x v="185"/>
    <x v="5"/>
    <x v="2"/>
    <x v="1"/>
    <n v="26"/>
  </r>
  <r>
    <x v="1508"/>
    <x v="4"/>
    <x v="13"/>
    <n v="30"/>
    <x v="26"/>
    <x v="77"/>
    <x v="1"/>
    <x v="3"/>
    <x v="1"/>
    <n v="77"/>
  </r>
  <r>
    <x v="1509"/>
    <x v="49"/>
    <x v="23"/>
    <m/>
    <x v="0"/>
    <x v="206"/>
    <x v="5"/>
    <x v="2"/>
    <x v="1"/>
    <n v="2"/>
  </r>
  <r>
    <x v="1510"/>
    <x v="14"/>
    <x v="1"/>
    <m/>
    <x v="56"/>
    <x v="157"/>
    <x v="0"/>
    <x v="0"/>
    <x v="1"/>
    <n v="229"/>
  </r>
  <r>
    <x v="1511"/>
    <x v="28"/>
    <x v="4"/>
    <n v="138"/>
    <x v="11"/>
    <x v="3"/>
    <x v="3"/>
    <x v="2"/>
    <x v="0"/>
    <m/>
  </r>
  <r>
    <x v="1512"/>
    <x v="4"/>
    <x v="21"/>
    <n v="40"/>
    <x v="6"/>
    <x v="40"/>
    <x v="10"/>
    <x v="5"/>
    <x v="1"/>
    <n v="68"/>
  </r>
  <r>
    <x v="1513"/>
    <x v="14"/>
    <x v="20"/>
    <m/>
    <x v="31"/>
    <x v="95"/>
    <x v="8"/>
    <x v="0"/>
    <x v="1"/>
    <n v="260"/>
  </r>
  <r>
    <x v="1513"/>
    <x v="14"/>
    <x v="20"/>
    <n v="100"/>
    <x v="47"/>
    <x v="14"/>
    <x v="3"/>
    <x v="0"/>
    <x v="1"/>
    <n v="260"/>
  </r>
  <r>
    <x v="1514"/>
    <x v="1"/>
    <x v="0"/>
    <m/>
    <x v="33"/>
    <x v="170"/>
    <x v="6"/>
    <x v="3"/>
    <x v="1"/>
    <n v="197"/>
  </r>
  <r>
    <x v="1515"/>
    <x v="152"/>
    <x v="0"/>
    <n v="30"/>
    <x v="0"/>
    <x v="161"/>
    <x v="14"/>
    <x v="2"/>
    <x v="49"/>
    <n v="82"/>
  </r>
  <r>
    <x v="1516"/>
    <x v="4"/>
    <x v="12"/>
    <n v="32"/>
    <x v="4"/>
    <x v="32"/>
    <x v="0"/>
    <x v="6"/>
    <x v="1"/>
    <n v="480"/>
  </r>
  <r>
    <x v="1517"/>
    <x v="4"/>
    <x v="12"/>
    <n v="40"/>
    <x v="4"/>
    <x v="18"/>
    <x v="6"/>
    <x v="6"/>
    <x v="1"/>
    <n v="480"/>
  </r>
  <r>
    <x v="1518"/>
    <x v="21"/>
    <x v="12"/>
    <n v="31"/>
    <x v="23"/>
    <x v="170"/>
    <x v="6"/>
    <x v="5"/>
    <x v="9"/>
    <n v="61"/>
  </r>
  <r>
    <x v="1519"/>
    <x v="175"/>
    <x v="12"/>
    <n v="24"/>
    <x v="0"/>
    <x v="287"/>
    <x v="12"/>
    <x v="5"/>
    <x v="1"/>
    <n v="263"/>
  </r>
  <r>
    <x v="1520"/>
    <x v="153"/>
    <x v="14"/>
    <n v="221"/>
    <x v="20"/>
    <x v="355"/>
    <x v="10"/>
    <x v="3"/>
    <x v="1"/>
    <n v="62"/>
  </r>
  <r>
    <x v="1521"/>
    <x v="46"/>
    <x v="17"/>
    <n v="23"/>
    <x v="8"/>
    <x v="184"/>
    <x v="4"/>
    <x v="3"/>
    <x v="1"/>
    <n v="75"/>
  </r>
  <r>
    <x v="1522"/>
    <x v="43"/>
    <x v="19"/>
    <n v="28"/>
    <x v="7"/>
    <x v="200"/>
    <x v="1"/>
    <x v="6"/>
    <x v="18"/>
    <m/>
  </r>
  <r>
    <x v="1523"/>
    <x v="1"/>
    <x v="4"/>
    <m/>
    <x v="7"/>
    <x v="107"/>
    <x v="3"/>
    <x v="0"/>
    <x v="1"/>
    <n v="79"/>
  </r>
  <r>
    <x v="1523"/>
    <x v="1"/>
    <x v="4"/>
    <n v="330"/>
    <x v="6"/>
    <x v="170"/>
    <x v="6"/>
    <x v="0"/>
    <x v="1"/>
    <n v="79"/>
  </r>
  <r>
    <x v="1523"/>
    <x v="1"/>
    <x v="4"/>
    <n v="1400"/>
    <x v="26"/>
    <x v="255"/>
    <x v="18"/>
    <x v="0"/>
    <x v="1"/>
    <n v="79"/>
  </r>
  <r>
    <x v="1524"/>
    <x v="1"/>
    <x v="4"/>
    <m/>
    <x v="20"/>
    <x v="249"/>
    <x v="18"/>
    <x v="3"/>
    <x v="1"/>
    <n v="10"/>
  </r>
  <r>
    <x v="1525"/>
    <x v="45"/>
    <x v="4"/>
    <n v="80"/>
    <x v="0"/>
    <x v="168"/>
    <x v="6"/>
    <x v="1"/>
    <x v="1"/>
    <n v="690"/>
  </r>
  <r>
    <x v="1525"/>
    <x v="45"/>
    <x v="4"/>
    <n v="100"/>
    <x v="5"/>
    <x v="252"/>
    <x v="5"/>
    <x v="4"/>
    <x v="1"/>
    <n v="160"/>
  </r>
  <r>
    <x v="1525"/>
    <x v="45"/>
    <x v="4"/>
    <n v="120"/>
    <x v="4"/>
    <x v="168"/>
    <x v="6"/>
    <x v="1"/>
    <x v="1"/>
    <n v="690"/>
  </r>
  <r>
    <x v="1526"/>
    <x v="5"/>
    <x v="12"/>
    <n v="1300"/>
    <x v="7"/>
    <x v="267"/>
    <x v="10"/>
    <x v="0"/>
    <x v="3"/>
    <m/>
  </r>
  <r>
    <x v="1527"/>
    <x v="24"/>
    <x v="9"/>
    <n v="250"/>
    <x v="20"/>
    <x v="415"/>
    <x v="5"/>
    <x v="2"/>
    <x v="12"/>
    <m/>
  </r>
  <r>
    <x v="1528"/>
    <x v="44"/>
    <x v="15"/>
    <n v="59"/>
    <x v="4"/>
    <x v="201"/>
    <x v="6"/>
    <x v="5"/>
    <x v="1"/>
    <n v="325"/>
  </r>
  <r>
    <x v="1529"/>
    <x v="6"/>
    <x v="11"/>
    <m/>
    <x v="9"/>
    <x v="199"/>
    <x v="2"/>
    <x v="7"/>
    <x v="1"/>
    <n v="18"/>
  </r>
  <r>
    <x v="1530"/>
    <x v="11"/>
    <x v="11"/>
    <n v="100"/>
    <x v="10"/>
    <x v="449"/>
    <x v="13"/>
    <x v="0"/>
    <x v="5"/>
    <n v="275"/>
  </r>
  <r>
    <x v="1531"/>
    <x v="1"/>
    <x v="28"/>
    <m/>
    <x v="23"/>
    <x v="157"/>
    <x v="0"/>
    <x v="8"/>
    <x v="1"/>
    <n v="151"/>
  </r>
  <r>
    <x v="1532"/>
    <x v="46"/>
    <x v="17"/>
    <n v="20"/>
    <x v="5"/>
    <x v="18"/>
    <x v="6"/>
    <x v="3"/>
    <x v="1"/>
    <n v="58"/>
  </r>
  <r>
    <x v="1533"/>
    <x v="35"/>
    <x v="11"/>
    <m/>
    <x v="7"/>
    <x v="109"/>
    <x v="6"/>
    <x v="3"/>
    <x v="17"/>
    <n v="111"/>
  </r>
  <r>
    <x v="1533"/>
    <x v="35"/>
    <x v="11"/>
    <n v="40"/>
    <x v="7"/>
    <x v="5"/>
    <x v="3"/>
    <x v="3"/>
    <x v="17"/>
    <n v="111"/>
  </r>
  <r>
    <x v="1534"/>
    <x v="1"/>
    <x v="13"/>
    <m/>
    <x v="0"/>
    <x v="450"/>
    <x v="30"/>
    <x v="4"/>
    <x v="1"/>
    <n v="76"/>
  </r>
  <r>
    <x v="1535"/>
    <x v="43"/>
    <x v="13"/>
    <m/>
    <x v="0"/>
    <x v="180"/>
    <x v="0"/>
    <x v="6"/>
    <x v="18"/>
    <n v="63"/>
  </r>
  <r>
    <x v="1536"/>
    <x v="1"/>
    <x v="12"/>
    <n v="50"/>
    <x v="0"/>
    <x v="336"/>
    <x v="4"/>
    <x v="12"/>
    <x v="1"/>
    <n v="2300"/>
  </r>
  <r>
    <x v="1536"/>
    <x v="1"/>
    <x v="12"/>
    <n v="1000"/>
    <x v="23"/>
    <x v="35"/>
    <x v="2"/>
    <x v="12"/>
    <x v="1"/>
    <n v="2300"/>
  </r>
  <r>
    <x v="1537"/>
    <x v="1"/>
    <x v="18"/>
    <n v="40"/>
    <x v="0"/>
    <x v="263"/>
    <x v="12"/>
    <x v="3"/>
    <x v="1"/>
    <n v="76"/>
  </r>
  <r>
    <x v="1538"/>
    <x v="1"/>
    <x v="3"/>
    <m/>
    <x v="0"/>
    <x v="6"/>
    <x v="4"/>
    <x v="7"/>
    <x v="1"/>
    <n v="59"/>
  </r>
  <r>
    <x v="1538"/>
    <x v="1"/>
    <x v="3"/>
    <n v="200"/>
    <x v="0"/>
    <x v="167"/>
    <x v="10"/>
    <x v="7"/>
    <x v="1"/>
    <n v="19"/>
  </r>
  <r>
    <x v="1539"/>
    <x v="1"/>
    <x v="6"/>
    <m/>
    <x v="0"/>
    <x v="35"/>
    <x v="2"/>
    <x v="3"/>
    <x v="1"/>
    <n v="50"/>
  </r>
  <r>
    <x v="1539"/>
    <x v="1"/>
    <x v="6"/>
    <n v="33"/>
    <x v="24"/>
    <x v="115"/>
    <x v="6"/>
    <x v="3"/>
    <x v="1"/>
    <n v="50"/>
  </r>
  <r>
    <x v="1540"/>
    <x v="16"/>
    <x v="6"/>
    <n v="70"/>
    <x v="0"/>
    <x v="281"/>
    <x v="2"/>
    <x v="2"/>
    <x v="7"/>
    <n v="64"/>
  </r>
  <r>
    <x v="1541"/>
    <x v="1"/>
    <x v="3"/>
    <m/>
    <x v="3"/>
    <x v="99"/>
    <x v="1"/>
    <x v="4"/>
    <x v="1"/>
    <n v="40"/>
  </r>
  <r>
    <x v="1542"/>
    <x v="1"/>
    <x v="22"/>
    <n v="19"/>
    <x v="9"/>
    <x v="74"/>
    <x v="12"/>
    <x v="3"/>
    <x v="1"/>
    <n v="126"/>
  </r>
  <r>
    <x v="1543"/>
    <x v="136"/>
    <x v="20"/>
    <n v="30"/>
    <x v="7"/>
    <x v="415"/>
    <x v="5"/>
    <x v="3"/>
    <x v="1"/>
    <n v="17"/>
  </r>
  <r>
    <x v="1544"/>
    <x v="3"/>
    <x v="18"/>
    <m/>
    <x v="0"/>
    <x v="451"/>
    <x v="28"/>
    <x v="3"/>
    <x v="1"/>
    <m/>
  </r>
  <r>
    <x v="1544"/>
    <x v="3"/>
    <x v="18"/>
    <m/>
    <x v="20"/>
    <x v="245"/>
    <x v="17"/>
    <x v="3"/>
    <x v="1"/>
    <m/>
  </r>
  <r>
    <x v="1545"/>
    <x v="1"/>
    <x v="11"/>
    <n v="13"/>
    <x v="23"/>
    <x v="118"/>
    <x v="6"/>
    <x v="3"/>
    <x v="1"/>
    <n v="82"/>
  </r>
  <r>
    <x v="1546"/>
    <x v="1"/>
    <x v="1"/>
    <n v="101"/>
    <x v="20"/>
    <x v="85"/>
    <x v="6"/>
    <x v="6"/>
    <x v="1"/>
    <n v="7"/>
  </r>
  <r>
    <x v="1547"/>
    <x v="43"/>
    <x v="12"/>
    <m/>
    <x v="0"/>
    <x v="452"/>
    <x v="36"/>
    <x v="6"/>
    <x v="18"/>
    <n v="53"/>
  </r>
  <r>
    <x v="1547"/>
    <x v="5"/>
    <x v="12"/>
    <n v="100"/>
    <x v="16"/>
    <x v="392"/>
    <x v="17"/>
    <x v="6"/>
    <x v="3"/>
    <n v="50"/>
  </r>
  <r>
    <x v="1548"/>
    <x v="1"/>
    <x v="23"/>
    <m/>
    <x v="6"/>
    <x v="18"/>
    <x v="6"/>
    <x v="4"/>
    <x v="1"/>
    <n v="135"/>
  </r>
  <r>
    <x v="1549"/>
    <x v="44"/>
    <x v="12"/>
    <n v="90"/>
    <x v="15"/>
    <x v="131"/>
    <x v="6"/>
    <x v="2"/>
    <x v="1"/>
    <n v="124"/>
  </r>
  <r>
    <x v="1550"/>
    <x v="4"/>
    <x v="2"/>
    <n v="24"/>
    <x v="35"/>
    <x v="60"/>
    <x v="1"/>
    <x v="5"/>
    <x v="1"/>
    <n v="74"/>
  </r>
  <r>
    <x v="1551"/>
    <x v="1"/>
    <x v="3"/>
    <n v="23"/>
    <x v="29"/>
    <x v="12"/>
    <x v="6"/>
    <x v="4"/>
    <x v="1"/>
    <n v="108"/>
  </r>
  <r>
    <x v="1552"/>
    <x v="60"/>
    <x v="6"/>
    <m/>
    <x v="20"/>
    <x v="246"/>
    <x v="6"/>
    <x v="11"/>
    <x v="6"/>
    <n v="0"/>
  </r>
  <r>
    <x v="1553"/>
    <x v="40"/>
    <x v="18"/>
    <n v="30"/>
    <x v="0"/>
    <x v="446"/>
    <x v="30"/>
    <x v="0"/>
    <x v="4"/>
    <n v="36"/>
  </r>
  <r>
    <x v="1554"/>
    <x v="14"/>
    <x v="0"/>
    <n v="35"/>
    <x v="11"/>
    <x v="125"/>
    <x v="6"/>
    <x v="4"/>
    <x v="1"/>
    <n v="261"/>
  </r>
  <r>
    <x v="1555"/>
    <x v="145"/>
    <x v="5"/>
    <m/>
    <x v="8"/>
    <x v="121"/>
    <x v="3"/>
    <x v="2"/>
    <x v="1"/>
    <n v="9"/>
  </r>
  <r>
    <x v="1556"/>
    <x v="25"/>
    <x v="4"/>
    <n v="250"/>
    <x v="3"/>
    <x v="45"/>
    <x v="6"/>
    <x v="4"/>
    <x v="13"/>
    <n v="169"/>
  </r>
  <r>
    <x v="1557"/>
    <x v="24"/>
    <x v="3"/>
    <m/>
    <x v="8"/>
    <x v="54"/>
    <x v="5"/>
    <x v="2"/>
    <x v="12"/>
    <n v="7"/>
  </r>
  <r>
    <x v="1558"/>
    <x v="3"/>
    <x v="9"/>
    <m/>
    <x v="0"/>
    <x v="19"/>
    <x v="4"/>
    <x v="0"/>
    <x v="1"/>
    <n v="478"/>
  </r>
  <r>
    <x v="1558"/>
    <x v="3"/>
    <x v="9"/>
    <n v="35"/>
    <x v="10"/>
    <x v="147"/>
    <x v="5"/>
    <x v="14"/>
    <x v="1"/>
    <n v="478"/>
  </r>
  <r>
    <x v="1559"/>
    <x v="60"/>
    <x v="9"/>
    <n v="250"/>
    <x v="16"/>
    <x v="44"/>
    <x v="0"/>
    <x v="6"/>
    <x v="6"/>
    <n v="3600"/>
  </r>
  <r>
    <x v="1559"/>
    <x v="60"/>
    <x v="9"/>
    <n v="350"/>
    <x v="13"/>
    <x v="423"/>
    <x v="23"/>
    <x v="14"/>
    <x v="6"/>
    <n v="1600"/>
  </r>
  <r>
    <x v="1559"/>
    <x v="60"/>
    <x v="9"/>
    <n v="380"/>
    <x v="1"/>
    <x v="117"/>
    <x v="3"/>
    <x v="6"/>
    <x v="6"/>
    <n v="3600"/>
  </r>
  <r>
    <x v="1559"/>
    <x v="60"/>
    <x v="9"/>
    <n v="800"/>
    <x v="0"/>
    <x v="179"/>
    <x v="5"/>
    <x v="14"/>
    <x v="6"/>
    <n v="1600"/>
  </r>
  <r>
    <x v="1559"/>
    <x v="60"/>
    <x v="9"/>
    <n v="1100"/>
    <x v="23"/>
    <x v="37"/>
    <x v="10"/>
    <x v="14"/>
    <x v="6"/>
    <n v="1600"/>
  </r>
  <r>
    <x v="1560"/>
    <x v="1"/>
    <x v="6"/>
    <m/>
    <x v="0"/>
    <x v="453"/>
    <x v="16"/>
    <x v="3"/>
    <x v="1"/>
    <n v="23"/>
  </r>
  <r>
    <x v="1561"/>
    <x v="81"/>
    <x v="0"/>
    <m/>
    <x v="31"/>
    <x v="100"/>
    <x v="2"/>
    <x v="0"/>
    <x v="31"/>
    <n v="264"/>
  </r>
  <r>
    <x v="1561"/>
    <x v="50"/>
    <x v="0"/>
    <n v="400"/>
    <x v="45"/>
    <x v="392"/>
    <x v="17"/>
    <x v="0"/>
    <x v="19"/>
    <n v="132"/>
  </r>
  <r>
    <x v="1562"/>
    <x v="0"/>
    <x v="15"/>
    <n v="10"/>
    <x v="8"/>
    <x v="45"/>
    <x v="6"/>
    <x v="2"/>
    <x v="0"/>
    <n v="20"/>
  </r>
  <r>
    <x v="1563"/>
    <x v="40"/>
    <x v="5"/>
    <n v="74"/>
    <x v="17"/>
    <x v="310"/>
    <x v="4"/>
    <x v="6"/>
    <x v="4"/>
    <m/>
  </r>
  <r>
    <x v="1563"/>
    <x v="40"/>
    <x v="5"/>
    <n v="90"/>
    <x v="24"/>
    <x v="86"/>
    <x v="0"/>
    <x v="6"/>
    <x v="4"/>
    <m/>
  </r>
  <r>
    <x v="1564"/>
    <x v="57"/>
    <x v="20"/>
    <m/>
    <x v="35"/>
    <x v="2"/>
    <x v="2"/>
    <x v="4"/>
    <x v="0"/>
    <n v="148"/>
  </r>
  <r>
    <x v="1565"/>
    <x v="43"/>
    <x v="11"/>
    <n v="200"/>
    <x v="5"/>
    <x v="89"/>
    <x v="12"/>
    <x v="6"/>
    <x v="18"/>
    <m/>
  </r>
  <r>
    <x v="1566"/>
    <x v="1"/>
    <x v="12"/>
    <n v="63"/>
    <x v="61"/>
    <x v="454"/>
    <x v="18"/>
    <x v="3"/>
    <x v="1"/>
    <n v="50"/>
  </r>
  <r>
    <x v="1567"/>
    <x v="74"/>
    <x v="1"/>
    <n v="30"/>
    <x v="8"/>
    <x v="295"/>
    <x v="8"/>
    <x v="2"/>
    <x v="6"/>
    <n v="4"/>
  </r>
  <r>
    <x v="1568"/>
    <x v="18"/>
    <x v="9"/>
    <n v="5"/>
    <x v="11"/>
    <x v="7"/>
    <x v="5"/>
    <x v="2"/>
    <x v="1"/>
    <n v="6"/>
  </r>
  <r>
    <x v="1569"/>
    <x v="14"/>
    <x v="1"/>
    <m/>
    <x v="9"/>
    <x v="157"/>
    <x v="0"/>
    <x v="0"/>
    <x v="1"/>
    <n v="321"/>
  </r>
  <r>
    <x v="1570"/>
    <x v="1"/>
    <x v="20"/>
    <n v="100"/>
    <x v="0"/>
    <x v="3"/>
    <x v="3"/>
    <x v="0"/>
    <x v="1"/>
    <m/>
  </r>
  <r>
    <x v="1571"/>
    <x v="1"/>
    <x v="1"/>
    <n v="105"/>
    <x v="7"/>
    <x v="199"/>
    <x v="2"/>
    <x v="1"/>
    <x v="1"/>
    <n v="459"/>
  </r>
  <r>
    <x v="1572"/>
    <x v="35"/>
    <x v="4"/>
    <n v="13"/>
    <x v="4"/>
    <x v="158"/>
    <x v="1"/>
    <x v="4"/>
    <x v="17"/>
    <n v="71"/>
  </r>
  <r>
    <x v="1573"/>
    <x v="4"/>
    <x v="2"/>
    <n v="100"/>
    <x v="1"/>
    <x v="218"/>
    <x v="7"/>
    <x v="0"/>
    <x v="1"/>
    <n v="445"/>
  </r>
  <r>
    <x v="1574"/>
    <x v="176"/>
    <x v="20"/>
    <m/>
    <x v="6"/>
    <x v="136"/>
    <x v="12"/>
    <x v="4"/>
    <x v="1"/>
    <n v="148"/>
  </r>
  <r>
    <x v="1575"/>
    <x v="75"/>
    <x v="3"/>
    <n v="130"/>
    <x v="0"/>
    <x v="309"/>
    <x v="14"/>
    <x v="6"/>
    <x v="1"/>
    <m/>
  </r>
  <r>
    <x v="1576"/>
    <x v="1"/>
    <x v="1"/>
    <m/>
    <x v="9"/>
    <x v="364"/>
    <x v="13"/>
    <x v="0"/>
    <x v="1"/>
    <n v="8"/>
  </r>
  <r>
    <x v="1577"/>
    <x v="1"/>
    <x v="10"/>
    <m/>
    <x v="0"/>
    <x v="97"/>
    <x v="12"/>
    <x v="5"/>
    <x v="1"/>
    <n v="497"/>
  </r>
  <r>
    <x v="1577"/>
    <x v="1"/>
    <x v="10"/>
    <m/>
    <x v="0"/>
    <x v="360"/>
    <x v="4"/>
    <x v="5"/>
    <x v="1"/>
    <n v="497"/>
  </r>
  <r>
    <x v="1578"/>
    <x v="140"/>
    <x v="2"/>
    <m/>
    <x v="6"/>
    <x v="137"/>
    <x v="4"/>
    <x v="10"/>
    <x v="46"/>
    <n v="9"/>
  </r>
  <r>
    <x v="1579"/>
    <x v="1"/>
    <x v="12"/>
    <n v="28"/>
    <x v="15"/>
    <x v="49"/>
    <x v="10"/>
    <x v="4"/>
    <x v="1"/>
    <n v="92"/>
  </r>
  <r>
    <x v="1580"/>
    <x v="3"/>
    <x v="4"/>
    <n v="20"/>
    <x v="24"/>
    <x v="455"/>
    <x v="14"/>
    <x v="4"/>
    <x v="1"/>
    <n v="90"/>
  </r>
  <r>
    <x v="1581"/>
    <x v="9"/>
    <x v="22"/>
    <n v="30"/>
    <x v="0"/>
    <x v="456"/>
    <x v="25"/>
    <x v="6"/>
    <x v="1"/>
    <n v="1000"/>
  </r>
  <r>
    <x v="1582"/>
    <x v="1"/>
    <x v="11"/>
    <m/>
    <x v="0"/>
    <x v="10"/>
    <x v="1"/>
    <x v="7"/>
    <x v="1"/>
    <n v="17"/>
  </r>
  <r>
    <x v="1583"/>
    <x v="5"/>
    <x v="3"/>
    <n v="10"/>
    <x v="0"/>
    <x v="93"/>
    <x v="2"/>
    <x v="6"/>
    <x v="3"/>
    <m/>
  </r>
  <r>
    <x v="1584"/>
    <x v="3"/>
    <x v="10"/>
    <n v="52"/>
    <x v="71"/>
    <x v="246"/>
    <x v="6"/>
    <x v="0"/>
    <x v="1"/>
    <n v="279"/>
  </r>
  <r>
    <x v="1584"/>
    <x v="154"/>
    <x v="10"/>
    <n v="186"/>
    <x v="0"/>
    <x v="89"/>
    <x v="12"/>
    <x v="0"/>
    <x v="1"/>
    <n v="279"/>
  </r>
  <r>
    <x v="1585"/>
    <x v="18"/>
    <x v="5"/>
    <m/>
    <x v="0"/>
    <x v="291"/>
    <x v="0"/>
    <x v="3"/>
    <x v="1"/>
    <n v="235"/>
  </r>
  <r>
    <x v="1586"/>
    <x v="14"/>
    <x v="1"/>
    <m/>
    <x v="24"/>
    <x v="107"/>
    <x v="3"/>
    <x v="0"/>
    <x v="1"/>
    <n v="173"/>
  </r>
  <r>
    <x v="1586"/>
    <x v="14"/>
    <x v="1"/>
    <n v="30"/>
    <x v="7"/>
    <x v="81"/>
    <x v="4"/>
    <x v="0"/>
    <x v="1"/>
    <n v="173"/>
  </r>
  <r>
    <x v="1587"/>
    <x v="60"/>
    <x v="6"/>
    <n v="45"/>
    <x v="13"/>
    <x v="281"/>
    <x v="2"/>
    <x v="3"/>
    <x v="6"/>
    <n v="118"/>
  </r>
  <r>
    <x v="1588"/>
    <x v="0"/>
    <x v="20"/>
    <n v="34"/>
    <x v="19"/>
    <x v="2"/>
    <x v="2"/>
    <x v="3"/>
    <x v="0"/>
    <n v="73"/>
  </r>
  <r>
    <x v="1589"/>
    <x v="177"/>
    <x v="20"/>
    <n v="21"/>
    <x v="0"/>
    <x v="457"/>
    <x v="10"/>
    <x v="6"/>
    <x v="2"/>
    <m/>
  </r>
  <r>
    <x v="1590"/>
    <x v="69"/>
    <x v="12"/>
    <m/>
    <x v="0"/>
    <x v="185"/>
    <x v="5"/>
    <x v="6"/>
    <x v="14"/>
    <n v="1"/>
  </r>
  <r>
    <x v="1591"/>
    <x v="14"/>
    <x v="2"/>
    <n v="60"/>
    <x v="13"/>
    <x v="44"/>
    <x v="0"/>
    <x v="0"/>
    <x v="1"/>
    <n v="115"/>
  </r>
  <r>
    <x v="1592"/>
    <x v="4"/>
    <x v="1"/>
    <n v="300"/>
    <x v="1"/>
    <x v="14"/>
    <x v="3"/>
    <x v="0"/>
    <x v="1"/>
    <n v="172"/>
  </r>
  <r>
    <x v="1593"/>
    <x v="1"/>
    <x v="18"/>
    <n v="15"/>
    <x v="1"/>
    <x v="127"/>
    <x v="1"/>
    <x v="4"/>
    <x v="1"/>
    <n v="169"/>
  </r>
  <r>
    <x v="1594"/>
    <x v="1"/>
    <x v="28"/>
    <m/>
    <x v="0"/>
    <x v="25"/>
    <x v="8"/>
    <x v="4"/>
    <x v="1"/>
    <n v="298"/>
  </r>
  <r>
    <x v="1595"/>
    <x v="1"/>
    <x v="20"/>
    <n v="54"/>
    <x v="0"/>
    <x v="310"/>
    <x v="4"/>
    <x v="4"/>
    <x v="1"/>
    <n v="74"/>
  </r>
  <r>
    <x v="1596"/>
    <x v="1"/>
    <x v="13"/>
    <m/>
    <x v="0"/>
    <x v="392"/>
    <x v="17"/>
    <x v="6"/>
    <x v="1"/>
    <n v="36"/>
  </r>
  <r>
    <x v="1597"/>
    <x v="67"/>
    <x v="3"/>
    <m/>
    <x v="0"/>
    <x v="83"/>
    <x v="2"/>
    <x v="0"/>
    <x v="23"/>
    <n v="12600"/>
  </r>
  <r>
    <x v="1597"/>
    <x v="67"/>
    <x v="3"/>
    <n v="300"/>
    <x v="0"/>
    <x v="223"/>
    <x v="12"/>
    <x v="0"/>
    <x v="23"/>
    <n v="12600"/>
  </r>
  <r>
    <x v="1598"/>
    <x v="35"/>
    <x v="12"/>
    <m/>
    <x v="0"/>
    <x v="193"/>
    <x v="12"/>
    <x v="11"/>
    <x v="17"/>
    <n v="6"/>
  </r>
  <r>
    <x v="1599"/>
    <x v="44"/>
    <x v="2"/>
    <m/>
    <x v="0"/>
    <x v="51"/>
    <x v="17"/>
    <x v="4"/>
    <x v="1"/>
    <n v="120"/>
  </r>
  <r>
    <x v="1599"/>
    <x v="44"/>
    <x v="2"/>
    <m/>
    <x v="0"/>
    <x v="51"/>
    <x v="17"/>
    <x v="6"/>
    <x v="1"/>
    <n v="192"/>
  </r>
  <r>
    <x v="1600"/>
    <x v="29"/>
    <x v="0"/>
    <m/>
    <x v="10"/>
    <x v="12"/>
    <x v="6"/>
    <x v="0"/>
    <x v="1"/>
    <n v="20200"/>
  </r>
  <r>
    <x v="1601"/>
    <x v="9"/>
    <x v="21"/>
    <n v="30"/>
    <x v="7"/>
    <x v="129"/>
    <x v="14"/>
    <x v="6"/>
    <x v="1"/>
    <n v="41"/>
  </r>
  <r>
    <x v="1602"/>
    <x v="38"/>
    <x v="3"/>
    <n v="22"/>
    <x v="0"/>
    <x v="10"/>
    <x v="1"/>
    <x v="11"/>
    <x v="0"/>
    <n v="1"/>
  </r>
  <r>
    <x v="1603"/>
    <x v="178"/>
    <x v="0"/>
    <m/>
    <x v="0"/>
    <x v="322"/>
    <x v="30"/>
    <x v="11"/>
    <x v="54"/>
    <n v="2"/>
  </r>
  <r>
    <x v="1604"/>
    <x v="1"/>
    <x v="11"/>
    <n v="46"/>
    <x v="4"/>
    <x v="298"/>
    <x v="18"/>
    <x v="5"/>
    <x v="1"/>
    <n v="139"/>
  </r>
  <r>
    <x v="1605"/>
    <x v="14"/>
    <x v="4"/>
    <n v="40"/>
    <x v="20"/>
    <x v="170"/>
    <x v="6"/>
    <x v="7"/>
    <x v="1"/>
    <n v="5"/>
  </r>
  <r>
    <x v="1606"/>
    <x v="29"/>
    <x v="14"/>
    <n v="38"/>
    <x v="29"/>
    <x v="194"/>
    <x v="14"/>
    <x v="3"/>
    <x v="1"/>
    <n v="36"/>
  </r>
  <r>
    <x v="1607"/>
    <x v="7"/>
    <x v="4"/>
    <n v="69"/>
    <x v="1"/>
    <x v="263"/>
    <x v="12"/>
    <x v="6"/>
    <x v="4"/>
    <m/>
  </r>
  <r>
    <x v="1608"/>
    <x v="50"/>
    <x v="4"/>
    <m/>
    <x v="20"/>
    <x v="7"/>
    <x v="5"/>
    <x v="6"/>
    <x v="19"/>
    <m/>
  </r>
  <r>
    <x v="1609"/>
    <x v="15"/>
    <x v="19"/>
    <n v="54"/>
    <x v="6"/>
    <x v="64"/>
    <x v="1"/>
    <x v="4"/>
    <x v="1"/>
    <n v="115"/>
  </r>
  <r>
    <x v="1610"/>
    <x v="4"/>
    <x v="21"/>
    <m/>
    <x v="0"/>
    <x v="57"/>
    <x v="5"/>
    <x v="3"/>
    <x v="1"/>
    <n v="28"/>
  </r>
  <r>
    <x v="1611"/>
    <x v="74"/>
    <x v="19"/>
    <n v="13"/>
    <x v="0"/>
    <x v="137"/>
    <x v="4"/>
    <x v="3"/>
    <x v="1"/>
    <n v="39"/>
  </r>
  <r>
    <x v="1612"/>
    <x v="14"/>
    <x v="19"/>
    <n v="40"/>
    <x v="0"/>
    <x v="184"/>
    <x v="4"/>
    <x v="7"/>
    <x v="1"/>
    <n v="71"/>
  </r>
  <r>
    <x v="1612"/>
    <x v="14"/>
    <x v="19"/>
    <n v="59"/>
    <x v="9"/>
    <x v="7"/>
    <x v="5"/>
    <x v="7"/>
    <x v="1"/>
    <n v="65"/>
  </r>
  <r>
    <x v="1613"/>
    <x v="1"/>
    <x v="4"/>
    <n v="230"/>
    <x v="11"/>
    <x v="251"/>
    <x v="12"/>
    <x v="0"/>
    <x v="1"/>
    <n v="356"/>
  </r>
  <r>
    <x v="1613"/>
    <x v="1"/>
    <x v="4"/>
    <n v="235"/>
    <x v="10"/>
    <x v="110"/>
    <x v="5"/>
    <x v="0"/>
    <x v="1"/>
    <n v="358"/>
  </r>
  <r>
    <x v="1614"/>
    <x v="4"/>
    <x v="4"/>
    <n v="20"/>
    <x v="9"/>
    <x v="167"/>
    <x v="10"/>
    <x v="2"/>
    <x v="1"/>
    <n v="7"/>
  </r>
  <r>
    <x v="1615"/>
    <x v="4"/>
    <x v="23"/>
    <m/>
    <x v="31"/>
    <x v="57"/>
    <x v="5"/>
    <x v="4"/>
    <x v="1"/>
    <n v="117"/>
  </r>
  <r>
    <x v="1615"/>
    <x v="4"/>
    <x v="23"/>
    <m/>
    <x v="20"/>
    <x v="81"/>
    <x v="4"/>
    <x v="4"/>
    <x v="1"/>
    <n v="117"/>
  </r>
  <r>
    <x v="1615"/>
    <x v="4"/>
    <x v="23"/>
    <n v="56"/>
    <x v="0"/>
    <x v="331"/>
    <x v="23"/>
    <x v="4"/>
    <x v="1"/>
    <n v="117"/>
  </r>
  <r>
    <x v="1616"/>
    <x v="29"/>
    <x v="12"/>
    <n v="40"/>
    <x v="0"/>
    <x v="327"/>
    <x v="17"/>
    <x v="5"/>
    <x v="1"/>
    <n v="256"/>
  </r>
  <r>
    <x v="1616"/>
    <x v="29"/>
    <x v="12"/>
    <n v="50"/>
    <x v="0"/>
    <x v="83"/>
    <x v="2"/>
    <x v="5"/>
    <x v="1"/>
    <n v="256"/>
  </r>
  <r>
    <x v="1617"/>
    <x v="4"/>
    <x v="11"/>
    <n v="17"/>
    <x v="10"/>
    <x v="26"/>
    <x v="12"/>
    <x v="4"/>
    <x v="1"/>
    <n v="28"/>
  </r>
  <r>
    <x v="1617"/>
    <x v="4"/>
    <x v="11"/>
    <n v="26"/>
    <x v="7"/>
    <x v="113"/>
    <x v="10"/>
    <x v="4"/>
    <x v="1"/>
    <n v="28"/>
  </r>
  <r>
    <x v="1618"/>
    <x v="3"/>
    <x v="11"/>
    <m/>
    <x v="0"/>
    <x v="65"/>
    <x v="16"/>
    <x v="3"/>
    <x v="1"/>
    <n v="4"/>
  </r>
  <r>
    <x v="1619"/>
    <x v="4"/>
    <x v="29"/>
    <n v="20"/>
    <x v="37"/>
    <x v="158"/>
    <x v="1"/>
    <x v="2"/>
    <x v="1"/>
    <n v="28"/>
  </r>
  <r>
    <x v="1620"/>
    <x v="10"/>
    <x v="6"/>
    <m/>
    <x v="0"/>
    <x v="86"/>
    <x v="0"/>
    <x v="0"/>
    <x v="0"/>
    <n v="22"/>
  </r>
  <r>
    <x v="1620"/>
    <x v="10"/>
    <x v="6"/>
    <n v="76"/>
    <x v="19"/>
    <x v="5"/>
    <x v="3"/>
    <x v="0"/>
    <x v="0"/>
    <n v="22"/>
  </r>
  <r>
    <x v="1620"/>
    <x v="10"/>
    <x v="6"/>
    <n v="100"/>
    <x v="7"/>
    <x v="326"/>
    <x v="13"/>
    <x v="0"/>
    <x v="0"/>
    <n v="22"/>
  </r>
  <r>
    <x v="1621"/>
    <x v="4"/>
    <x v="4"/>
    <n v="10"/>
    <x v="0"/>
    <x v="129"/>
    <x v="14"/>
    <x v="3"/>
    <x v="1"/>
    <n v="68"/>
  </r>
  <r>
    <x v="1621"/>
    <x v="1"/>
    <x v="4"/>
    <n v="65"/>
    <x v="8"/>
    <x v="7"/>
    <x v="5"/>
    <x v="3"/>
    <x v="1"/>
    <n v="68"/>
  </r>
  <r>
    <x v="1622"/>
    <x v="4"/>
    <x v="1"/>
    <m/>
    <x v="10"/>
    <x v="401"/>
    <x v="4"/>
    <x v="4"/>
    <x v="1"/>
    <n v="209"/>
  </r>
  <r>
    <x v="1622"/>
    <x v="4"/>
    <x v="1"/>
    <n v="24"/>
    <x v="0"/>
    <x v="62"/>
    <x v="17"/>
    <x v="7"/>
    <x v="1"/>
    <n v="209"/>
  </r>
  <r>
    <x v="1623"/>
    <x v="1"/>
    <x v="13"/>
    <m/>
    <x v="0"/>
    <x v="306"/>
    <x v="10"/>
    <x v="1"/>
    <x v="1"/>
    <n v="743"/>
  </r>
  <r>
    <x v="1624"/>
    <x v="15"/>
    <x v="20"/>
    <n v="500"/>
    <x v="30"/>
    <x v="243"/>
    <x v="9"/>
    <x v="0"/>
    <x v="1"/>
    <n v="748"/>
  </r>
  <r>
    <x v="1625"/>
    <x v="14"/>
    <x v="4"/>
    <m/>
    <x v="0"/>
    <x v="458"/>
    <x v="17"/>
    <x v="6"/>
    <x v="1"/>
    <n v="3400"/>
  </r>
  <r>
    <x v="1626"/>
    <x v="43"/>
    <x v="4"/>
    <n v="30"/>
    <x v="31"/>
    <x v="281"/>
    <x v="2"/>
    <x v="7"/>
    <x v="18"/>
    <n v="40"/>
  </r>
  <r>
    <x v="1627"/>
    <x v="15"/>
    <x v="4"/>
    <m/>
    <x v="6"/>
    <x v="160"/>
    <x v="4"/>
    <x v="0"/>
    <x v="1"/>
    <n v="305"/>
  </r>
  <r>
    <x v="1627"/>
    <x v="15"/>
    <x v="4"/>
    <n v="243"/>
    <x v="0"/>
    <x v="351"/>
    <x v="24"/>
    <x v="8"/>
    <x v="1"/>
    <n v="305"/>
  </r>
  <r>
    <x v="1628"/>
    <x v="0"/>
    <x v="9"/>
    <n v="75"/>
    <x v="31"/>
    <x v="459"/>
    <x v="30"/>
    <x v="3"/>
    <x v="0"/>
    <n v="53"/>
  </r>
  <r>
    <x v="1629"/>
    <x v="1"/>
    <x v="3"/>
    <n v="160"/>
    <x v="23"/>
    <x v="291"/>
    <x v="0"/>
    <x v="14"/>
    <x v="1"/>
    <n v="698"/>
  </r>
  <r>
    <x v="1629"/>
    <x v="1"/>
    <x v="3"/>
    <n v="250"/>
    <x v="8"/>
    <x v="161"/>
    <x v="14"/>
    <x v="8"/>
    <x v="1"/>
    <n v="423"/>
  </r>
  <r>
    <x v="1630"/>
    <x v="1"/>
    <x v="1"/>
    <n v="18"/>
    <x v="24"/>
    <x v="178"/>
    <x v="20"/>
    <x v="6"/>
    <x v="1"/>
    <m/>
  </r>
  <r>
    <x v="1631"/>
    <x v="76"/>
    <x v="2"/>
    <n v="50"/>
    <x v="13"/>
    <x v="27"/>
    <x v="8"/>
    <x v="6"/>
    <x v="30"/>
    <m/>
  </r>
  <r>
    <x v="1632"/>
    <x v="16"/>
    <x v="0"/>
    <n v="80"/>
    <x v="11"/>
    <x v="205"/>
    <x v="3"/>
    <x v="5"/>
    <x v="7"/>
    <n v="646"/>
  </r>
  <r>
    <x v="1632"/>
    <x v="16"/>
    <x v="0"/>
    <n v="180"/>
    <x v="14"/>
    <x v="265"/>
    <x v="4"/>
    <x v="5"/>
    <x v="7"/>
    <n v="646"/>
  </r>
  <r>
    <x v="1633"/>
    <x v="46"/>
    <x v="5"/>
    <n v="24"/>
    <x v="10"/>
    <x v="31"/>
    <x v="6"/>
    <x v="5"/>
    <x v="1"/>
    <n v="204"/>
  </r>
  <r>
    <x v="1634"/>
    <x v="3"/>
    <x v="3"/>
    <m/>
    <x v="0"/>
    <x v="117"/>
    <x v="3"/>
    <x v="7"/>
    <x v="1"/>
    <m/>
  </r>
  <r>
    <x v="1634"/>
    <x v="3"/>
    <x v="3"/>
    <m/>
    <x v="0"/>
    <x v="294"/>
    <x v="1"/>
    <x v="7"/>
    <x v="1"/>
    <m/>
  </r>
  <r>
    <x v="1635"/>
    <x v="12"/>
    <x v="3"/>
    <n v="40"/>
    <x v="0"/>
    <x v="410"/>
    <x v="12"/>
    <x v="7"/>
    <x v="6"/>
    <n v="9400"/>
  </r>
  <r>
    <x v="1636"/>
    <x v="7"/>
    <x v="12"/>
    <n v="120"/>
    <x v="0"/>
    <x v="5"/>
    <x v="3"/>
    <x v="4"/>
    <x v="4"/>
    <n v="95"/>
  </r>
  <r>
    <x v="1637"/>
    <x v="4"/>
    <x v="3"/>
    <n v="60"/>
    <x v="23"/>
    <x v="108"/>
    <x v="3"/>
    <x v="6"/>
    <x v="1"/>
    <n v="235"/>
  </r>
  <r>
    <x v="1638"/>
    <x v="1"/>
    <x v="12"/>
    <n v="123"/>
    <x v="33"/>
    <x v="209"/>
    <x v="3"/>
    <x v="8"/>
    <x v="1"/>
    <n v="565"/>
  </r>
  <r>
    <x v="1639"/>
    <x v="14"/>
    <x v="9"/>
    <n v="1300"/>
    <x v="31"/>
    <x v="98"/>
    <x v="5"/>
    <x v="8"/>
    <x v="1"/>
    <n v="902"/>
  </r>
  <r>
    <x v="1640"/>
    <x v="100"/>
    <x v="12"/>
    <n v="44"/>
    <x v="37"/>
    <x v="165"/>
    <x v="17"/>
    <x v="2"/>
    <x v="1"/>
    <n v="110"/>
  </r>
  <r>
    <x v="1641"/>
    <x v="109"/>
    <x v="12"/>
    <n v="30"/>
    <x v="9"/>
    <x v="0"/>
    <x v="0"/>
    <x v="6"/>
    <x v="7"/>
    <n v="29"/>
  </r>
  <r>
    <x v="1642"/>
    <x v="70"/>
    <x v="0"/>
    <n v="500"/>
    <x v="10"/>
    <x v="8"/>
    <x v="6"/>
    <x v="0"/>
    <x v="28"/>
    <m/>
  </r>
  <r>
    <x v="1643"/>
    <x v="1"/>
    <x v="28"/>
    <n v="262"/>
    <x v="46"/>
    <x v="4"/>
    <x v="1"/>
    <x v="1"/>
    <x v="1"/>
    <n v="450"/>
  </r>
  <r>
    <x v="1644"/>
    <x v="1"/>
    <x v="20"/>
    <n v="23"/>
    <x v="15"/>
    <x v="45"/>
    <x v="6"/>
    <x v="3"/>
    <x v="1"/>
    <n v="83"/>
  </r>
  <r>
    <x v="1645"/>
    <x v="0"/>
    <x v="6"/>
    <n v="16"/>
    <x v="16"/>
    <x v="267"/>
    <x v="10"/>
    <x v="5"/>
    <x v="0"/>
    <n v="104"/>
  </r>
  <r>
    <x v="1646"/>
    <x v="12"/>
    <x v="6"/>
    <n v="350"/>
    <x v="0"/>
    <x v="118"/>
    <x v="6"/>
    <x v="7"/>
    <x v="6"/>
    <n v="112"/>
  </r>
  <r>
    <x v="1647"/>
    <x v="14"/>
    <x v="22"/>
    <n v="13"/>
    <x v="39"/>
    <x v="147"/>
    <x v="5"/>
    <x v="6"/>
    <x v="1"/>
    <n v="1"/>
  </r>
  <r>
    <x v="1648"/>
    <x v="0"/>
    <x v="9"/>
    <n v="131"/>
    <x v="15"/>
    <x v="110"/>
    <x v="5"/>
    <x v="1"/>
    <x v="0"/>
    <n v="224"/>
  </r>
  <r>
    <x v="1649"/>
    <x v="16"/>
    <x v="12"/>
    <m/>
    <x v="0"/>
    <x v="170"/>
    <x v="6"/>
    <x v="4"/>
    <x v="7"/>
    <n v="1200"/>
  </r>
  <r>
    <x v="1650"/>
    <x v="4"/>
    <x v="15"/>
    <n v="24"/>
    <x v="10"/>
    <x v="362"/>
    <x v="5"/>
    <x v="5"/>
    <x v="1"/>
    <n v="128"/>
  </r>
  <r>
    <x v="1651"/>
    <x v="14"/>
    <x v="22"/>
    <n v="27"/>
    <x v="11"/>
    <x v="158"/>
    <x v="1"/>
    <x v="2"/>
    <x v="1"/>
    <n v="583"/>
  </r>
  <r>
    <x v="1652"/>
    <x v="1"/>
    <x v="14"/>
    <n v="20"/>
    <x v="0"/>
    <x v="309"/>
    <x v="14"/>
    <x v="3"/>
    <x v="1"/>
    <n v="35"/>
  </r>
  <r>
    <x v="1653"/>
    <x v="24"/>
    <x v="14"/>
    <n v="100"/>
    <x v="10"/>
    <x v="57"/>
    <x v="5"/>
    <x v="6"/>
    <x v="12"/>
    <m/>
  </r>
  <r>
    <x v="1654"/>
    <x v="80"/>
    <x v="14"/>
    <n v="250"/>
    <x v="31"/>
    <x v="434"/>
    <x v="14"/>
    <x v="5"/>
    <x v="6"/>
    <n v="47"/>
  </r>
  <r>
    <x v="1655"/>
    <x v="21"/>
    <x v="4"/>
    <n v="80"/>
    <x v="4"/>
    <x v="305"/>
    <x v="2"/>
    <x v="1"/>
    <x v="9"/>
    <n v="1000"/>
  </r>
  <r>
    <x v="1655"/>
    <x v="21"/>
    <x v="4"/>
    <n v="100"/>
    <x v="5"/>
    <x v="85"/>
    <x v="6"/>
    <x v="1"/>
    <x v="9"/>
    <n v="1000"/>
  </r>
  <r>
    <x v="1655"/>
    <x v="35"/>
    <x v="4"/>
    <n v="120"/>
    <x v="10"/>
    <x v="382"/>
    <x v="10"/>
    <x v="5"/>
    <x v="17"/>
    <n v="386"/>
  </r>
  <r>
    <x v="1656"/>
    <x v="1"/>
    <x v="13"/>
    <m/>
    <x v="10"/>
    <x v="246"/>
    <x v="6"/>
    <x v="4"/>
    <x v="1"/>
    <n v="109"/>
  </r>
  <r>
    <x v="1657"/>
    <x v="13"/>
    <x v="6"/>
    <n v="41"/>
    <x v="70"/>
    <x v="213"/>
    <x v="26"/>
    <x v="3"/>
    <x v="1"/>
    <n v="12"/>
  </r>
  <r>
    <x v="1658"/>
    <x v="60"/>
    <x v="4"/>
    <n v="300"/>
    <x v="31"/>
    <x v="364"/>
    <x v="13"/>
    <x v="3"/>
    <x v="6"/>
    <n v="62"/>
  </r>
  <r>
    <x v="1659"/>
    <x v="1"/>
    <x v="1"/>
    <m/>
    <x v="51"/>
    <x v="203"/>
    <x v="2"/>
    <x v="0"/>
    <x v="1"/>
    <n v="624"/>
  </r>
  <r>
    <x v="1660"/>
    <x v="1"/>
    <x v="14"/>
    <n v="300"/>
    <x v="9"/>
    <x v="235"/>
    <x v="14"/>
    <x v="5"/>
    <x v="1"/>
    <n v="981"/>
  </r>
  <r>
    <x v="1661"/>
    <x v="14"/>
    <x v="14"/>
    <n v="900"/>
    <x v="9"/>
    <x v="84"/>
    <x v="5"/>
    <x v="0"/>
    <x v="1"/>
    <n v="3"/>
  </r>
  <r>
    <x v="1662"/>
    <x v="58"/>
    <x v="14"/>
    <n v="10"/>
    <x v="9"/>
    <x v="57"/>
    <x v="5"/>
    <x v="6"/>
    <x v="1"/>
    <m/>
  </r>
  <r>
    <x v="1663"/>
    <x v="1"/>
    <x v="21"/>
    <n v="15"/>
    <x v="3"/>
    <x v="194"/>
    <x v="14"/>
    <x v="3"/>
    <x v="1"/>
    <n v="48"/>
  </r>
  <r>
    <x v="1664"/>
    <x v="4"/>
    <x v="2"/>
    <n v="23"/>
    <x v="11"/>
    <x v="7"/>
    <x v="5"/>
    <x v="3"/>
    <x v="1"/>
    <n v="16"/>
  </r>
  <r>
    <x v="1664"/>
    <x v="4"/>
    <x v="2"/>
    <n v="100"/>
    <x v="7"/>
    <x v="410"/>
    <x v="12"/>
    <x v="7"/>
    <x v="1"/>
    <n v="16"/>
  </r>
  <r>
    <x v="1665"/>
    <x v="13"/>
    <x v="22"/>
    <m/>
    <x v="0"/>
    <x v="438"/>
    <x v="17"/>
    <x v="7"/>
    <x v="1"/>
    <n v="29"/>
  </r>
  <r>
    <x v="1666"/>
    <x v="179"/>
    <x v="14"/>
    <m/>
    <x v="0"/>
    <x v="204"/>
    <x v="10"/>
    <x v="7"/>
    <x v="7"/>
    <n v="55"/>
  </r>
  <r>
    <x v="1667"/>
    <x v="1"/>
    <x v="4"/>
    <n v="13"/>
    <x v="0"/>
    <x v="54"/>
    <x v="5"/>
    <x v="4"/>
    <x v="1"/>
    <n v="34"/>
  </r>
  <r>
    <x v="1668"/>
    <x v="180"/>
    <x v="15"/>
    <m/>
    <x v="8"/>
    <x v="8"/>
    <x v="6"/>
    <x v="11"/>
    <x v="10"/>
    <n v="17"/>
  </r>
  <r>
    <x v="1669"/>
    <x v="176"/>
    <x v="15"/>
    <m/>
    <x v="0"/>
    <x v="69"/>
    <x v="9"/>
    <x v="7"/>
    <x v="1"/>
    <m/>
  </r>
  <r>
    <x v="1670"/>
    <x v="3"/>
    <x v="0"/>
    <n v="219"/>
    <x v="8"/>
    <x v="167"/>
    <x v="10"/>
    <x v="0"/>
    <x v="1"/>
    <n v="340"/>
  </r>
  <r>
    <x v="1671"/>
    <x v="43"/>
    <x v="12"/>
    <n v="40"/>
    <x v="10"/>
    <x v="230"/>
    <x v="7"/>
    <x v="1"/>
    <x v="1"/>
    <n v="271"/>
  </r>
  <r>
    <x v="1672"/>
    <x v="1"/>
    <x v="1"/>
    <m/>
    <x v="0"/>
    <x v="38"/>
    <x v="15"/>
    <x v="5"/>
    <x v="1"/>
    <n v="255"/>
  </r>
  <r>
    <x v="1672"/>
    <x v="1"/>
    <x v="1"/>
    <m/>
    <x v="0"/>
    <x v="208"/>
    <x v="7"/>
    <x v="5"/>
    <x v="1"/>
    <n v="255"/>
  </r>
  <r>
    <x v="1672"/>
    <x v="1"/>
    <x v="1"/>
    <n v="150"/>
    <x v="6"/>
    <x v="359"/>
    <x v="6"/>
    <x v="5"/>
    <x v="1"/>
    <n v="255"/>
  </r>
  <r>
    <x v="1672"/>
    <x v="1"/>
    <x v="1"/>
    <n v="175"/>
    <x v="37"/>
    <x v="135"/>
    <x v="4"/>
    <x v="5"/>
    <x v="1"/>
    <n v="255"/>
  </r>
  <r>
    <x v="1673"/>
    <x v="10"/>
    <x v="22"/>
    <n v="24"/>
    <x v="13"/>
    <x v="313"/>
    <x v="7"/>
    <x v="5"/>
    <x v="0"/>
    <n v="474"/>
  </r>
  <r>
    <x v="1674"/>
    <x v="11"/>
    <x v="12"/>
    <n v="120"/>
    <x v="0"/>
    <x v="460"/>
    <x v="29"/>
    <x v="7"/>
    <x v="5"/>
    <n v="28"/>
  </r>
  <r>
    <x v="1675"/>
    <x v="5"/>
    <x v="6"/>
    <n v="47"/>
    <x v="10"/>
    <x v="337"/>
    <x v="4"/>
    <x v="3"/>
    <x v="3"/>
    <n v="40"/>
  </r>
  <r>
    <x v="1676"/>
    <x v="14"/>
    <x v="22"/>
    <n v="55"/>
    <x v="10"/>
    <x v="406"/>
    <x v="4"/>
    <x v="7"/>
    <x v="1"/>
    <n v="21"/>
  </r>
  <r>
    <x v="1677"/>
    <x v="48"/>
    <x v="4"/>
    <m/>
    <x v="0"/>
    <x v="79"/>
    <x v="14"/>
    <x v="7"/>
    <x v="1"/>
    <n v="0"/>
  </r>
  <r>
    <x v="1678"/>
    <x v="17"/>
    <x v="27"/>
    <n v="100"/>
    <x v="0"/>
    <x v="71"/>
    <x v="3"/>
    <x v="3"/>
    <x v="8"/>
    <n v="218"/>
  </r>
  <r>
    <x v="1679"/>
    <x v="0"/>
    <x v="4"/>
    <n v="14"/>
    <x v="0"/>
    <x v="54"/>
    <x v="5"/>
    <x v="3"/>
    <x v="0"/>
    <n v="51"/>
  </r>
  <r>
    <x v="1680"/>
    <x v="1"/>
    <x v="6"/>
    <n v="51"/>
    <x v="13"/>
    <x v="105"/>
    <x v="8"/>
    <x v="7"/>
    <x v="1"/>
    <m/>
  </r>
  <r>
    <x v="1681"/>
    <x v="1"/>
    <x v="7"/>
    <m/>
    <x v="7"/>
    <x v="10"/>
    <x v="1"/>
    <x v="6"/>
    <x v="1"/>
    <n v="491"/>
  </r>
  <r>
    <x v="1682"/>
    <x v="1"/>
    <x v="0"/>
    <n v="108"/>
    <x v="8"/>
    <x v="30"/>
    <x v="14"/>
    <x v="1"/>
    <x v="1"/>
    <n v="467"/>
  </r>
  <r>
    <x v="1683"/>
    <x v="78"/>
    <x v="0"/>
    <n v="350"/>
    <x v="9"/>
    <x v="373"/>
    <x v="0"/>
    <x v="0"/>
    <x v="1"/>
    <n v="648"/>
  </r>
  <r>
    <x v="1684"/>
    <x v="5"/>
    <x v="6"/>
    <n v="4"/>
    <x v="20"/>
    <x v="28"/>
    <x v="5"/>
    <x v="2"/>
    <x v="3"/>
    <n v="2"/>
  </r>
  <r>
    <x v="1685"/>
    <x v="87"/>
    <x v="9"/>
    <n v="211"/>
    <x v="17"/>
    <x v="67"/>
    <x v="2"/>
    <x v="4"/>
    <x v="34"/>
    <n v="157"/>
  </r>
  <r>
    <x v="1686"/>
    <x v="1"/>
    <x v="20"/>
    <n v="800"/>
    <x v="33"/>
    <x v="151"/>
    <x v="7"/>
    <x v="0"/>
    <x v="1"/>
    <n v="614"/>
  </r>
  <r>
    <x v="1686"/>
    <x v="1"/>
    <x v="20"/>
    <n v="1500"/>
    <x v="3"/>
    <x v="212"/>
    <x v="12"/>
    <x v="0"/>
    <x v="1"/>
    <n v="614"/>
  </r>
  <r>
    <x v="1687"/>
    <x v="35"/>
    <x v="26"/>
    <n v="30"/>
    <x v="37"/>
    <x v="107"/>
    <x v="3"/>
    <x v="6"/>
    <x v="17"/>
    <n v="50"/>
  </r>
  <r>
    <x v="1688"/>
    <x v="9"/>
    <x v="1"/>
    <m/>
    <x v="31"/>
    <x v="182"/>
    <x v="8"/>
    <x v="3"/>
    <x v="1"/>
    <n v="73"/>
  </r>
  <r>
    <x v="1689"/>
    <x v="1"/>
    <x v="3"/>
    <m/>
    <x v="0"/>
    <x v="34"/>
    <x v="1"/>
    <x v="0"/>
    <x v="1"/>
    <n v="5700"/>
  </r>
  <r>
    <x v="1689"/>
    <x v="1"/>
    <x v="3"/>
    <n v="40"/>
    <x v="0"/>
    <x v="107"/>
    <x v="3"/>
    <x v="0"/>
    <x v="1"/>
    <n v="12900"/>
  </r>
  <r>
    <x v="1689"/>
    <x v="1"/>
    <x v="3"/>
    <n v="200"/>
    <x v="10"/>
    <x v="461"/>
    <x v="12"/>
    <x v="0"/>
    <x v="1"/>
    <n v="12900"/>
  </r>
  <r>
    <x v="1689"/>
    <x v="1"/>
    <x v="3"/>
    <n v="3700"/>
    <x v="31"/>
    <x v="130"/>
    <x v="2"/>
    <x v="0"/>
    <x v="1"/>
    <n v="12900"/>
  </r>
  <r>
    <x v="1690"/>
    <x v="117"/>
    <x v="2"/>
    <m/>
    <x v="0"/>
    <x v="83"/>
    <x v="2"/>
    <x v="4"/>
    <x v="43"/>
    <n v="187"/>
  </r>
  <r>
    <x v="1691"/>
    <x v="4"/>
    <x v="12"/>
    <m/>
    <x v="0"/>
    <x v="166"/>
    <x v="23"/>
    <x v="7"/>
    <x v="1"/>
    <n v="472"/>
  </r>
  <r>
    <x v="1692"/>
    <x v="76"/>
    <x v="12"/>
    <n v="53"/>
    <x v="16"/>
    <x v="281"/>
    <x v="2"/>
    <x v="5"/>
    <x v="30"/>
    <n v="544"/>
  </r>
  <r>
    <x v="1693"/>
    <x v="70"/>
    <x v="0"/>
    <n v="225"/>
    <x v="9"/>
    <x v="454"/>
    <x v="18"/>
    <x v="0"/>
    <x v="28"/>
    <n v="24700"/>
  </r>
  <r>
    <x v="1693"/>
    <x v="60"/>
    <x v="0"/>
    <n v="600"/>
    <x v="15"/>
    <x v="23"/>
    <x v="10"/>
    <x v="0"/>
    <x v="6"/>
    <n v="24700"/>
  </r>
  <r>
    <x v="1693"/>
    <x v="1"/>
    <x v="0"/>
    <n v="3000"/>
    <x v="35"/>
    <x v="37"/>
    <x v="10"/>
    <x v="0"/>
    <x v="1"/>
    <n v="24700"/>
  </r>
  <r>
    <x v="1693"/>
    <x v="1"/>
    <x v="0"/>
    <n v="3700"/>
    <x v="23"/>
    <x v="306"/>
    <x v="10"/>
    <x v="0"/>
    <x v="1"/>
    <n v="24700"/>
  </r>
  <r>
    <x v="1693"/>
    <x v="181"/>
    <x v="0"/>
    <n v="60"/>
    <x v="0"/>
    <x v="270"/>
    <x v="7"/>
    <x v="0"/>
    <x v="55"/>
    <n v="24700"/>
  </r>
  <r>
    <x v="1694"/>
    <x v="1"/>
    <x v="15"/>
    <n v="150"/>
    <x v="16"/>
    <x v="169"/>
    <x v="3"/>
    <x v="15"/>
    <x v="1"/>
    <n v="2700"/>
  </r>
  <r>
    <x v="1695"/>
    <x v="0"/>
    <x v="2"/>
    <n v="31"/>
    <x v="3"/>
    <x v="360"/>
    <x v="4"/>
    <x v="2"/>
    <x v="0"/>
    <n v="42"/>
  </r>
  <r>
    <x v="1696"/>
    <x v="60"/>
    <x v="4"/>
    <n v="180"/>
    <x v="30"/>
    <x v="73"/>
    <x v="6"/>
    <x v="6"/>
    <x v="6"/>
    <n v="1500"/>
  </r>
  <r>
    <x v="1696"/>
    <x v="60"/>
    <x v="4"/>
    <n v="350"/>
    <x v="0"/>
    <x v="130"/>
    <x v="2"/>
    <x v="6"/>
    <x v="6"/>
    <n v="1500"/>
  </r>
  <r>
    <x v="1697"/>
    <x v="1"/>
    <x v="6"/>
    <n v="55"/>
    <x v="35"/>
    <x v="177"/>
    <x v="8"/>
    <x v="6"/>
    <x v="1"/>
    <n v="235"/>
  </r>
  <r>
    <x v="1698"/>
    <x v="80"/>
    <x v="6"/>
    <n v="100"/>
    <x v="20"/>
    <x v="8"/>
    <x v="6"/>
    <x v="11"/>
    <x v="6"/>
    <n v="2"/>
  </r>
  <r>
    <x v="1699"/>
    <x v="1"/>
    <x v="6"/>
    <m/>
    <x v="10"/>
    <x v="244"/>
    <x v="12"/>
    <x v="0"/>
    <x v="1"/>
    <n v="311"/>
  </r>
  <r>
    <x v="1700"/>
    <x v="4"/>
    <x v="13"/>
    <n v="210"/>
    <x v="13"/>
    <x v="73"/>
    <x v="6"/>
    <x v="0"/>
    <x v="1"/>
    <n v="2000"/>
  </r>
  <r>
    <x v="1700"/>
    <x v="4"/>
    <x v="13"/>
    <n v="241"/>
    <x v="1"/>
    <x v="83"/>
    <x v="2"/>
    <x v="0"/>
    <x v="1"/>
    <n v="2000"/>
  </r>
  <r>
    <x v="1701"/>
    <x v="24"/>
    <x v="4"/>
    <n v="134"/>
    <x v="15"/>
    <x v="281"/>
    <x v="2"/>
    <x v="3"/>
    <x v="12"/>
    <n v="140"/>
  </r>
  <r>
    <x v="1702"/>
    <x v="21"/>
    <x v="4"/>
    <m/>
    <x v="10"/>
    <x v="168"/>
    <x v="6"/>
    <x v="2"/>
    <x v="9"/>
    <n v="55"/>
  </r>
  <r>
    <x v="1703"/>
    <x v="60"/>
    <x v="6"/>
    <n v="150"/>
    <x v="16"/>
    <x v="462"/>
    <x v="6"/>
    <x v="12"/>
    <x v="6"/>
    <n v="838"/>
  </r>
  <r>
    <x v="1703"/>
    <x v="60"/>
    <x v="6"/>
    <n v="350"/>
    <x v="10"/>
    <x v="238"/>
    <x v="2"/>
    <x v="12"/>
    <x v="6"/>
    <n v="838"/>
  </r>
  <r>
    <x v="1703"/>
    <x v="60"/>
    <x v="6"/>
    <n v="1000"/>
    <x v="3"/>
    <x v="325"/>
    <x v="15"/>
    <x v="12"/>
    <x v="6"/>
    <n v="838"/>
  </r>
  <r>
    <x v="1704"/>
    <x v="141"/>
    <x v="10"/>
    <n v="80"/>
    <x v="46"/>
    <x v="185"/>
    <x v="5"/>
    <x v="4"/>
    <x v="38"/>
    <n v="91"/>
  </r>
  <r>
    <x v="1705"/>
    <x v="10"/>
    <x v="2"/>
    <n v="47"/>
    <x v="7"/>
    <x v="137"/>
    <x v="4"/>
    <x v="2"/>
    <x v="0"/>
    <n v="39"/>
  </r>
  <r>
    <x v="1706"/>
    <x v="43"/>
    <x v="12"/>
    <n v="29"/>
    <x v="49"/>
    <x v="51"/>
    <x v="17"/>
    <x v="6"/>
    <x v="18"/>
    <n v="118"/>
  </r>
  <r>
    <x v="1707"/>
    <x v="29"/>
    <x v="5"/>
    <m/>
    <x v="6"/>
    <x v="199"/>
    <x v="2"/>
    <x v="2"/>
    <x v="1"/>
    <n v="33"/>
  </r>
  <r>
    <x v="1708"/>
    <x v="5"/>
    <x v="20"/>
    <n v="50"/>
    <x v="30"/>
    <x v="216"/>
    <x v="8"/>
    <x v="5"/>
    <x v="3"/>
    <n v="336"/>
  </r>
  <r>
    <x v="1708"/>
    <x v="5"/>
    <x v="20"/>
    <n v="110"/>
    <x v="10"/>
    <x v="71"/>
    <x v="3"/>
    <x v="5"/>
    <x v="3"/>
    <n v="336"/>
  </r>
  <r>
    <x v="1709"/>
    <x v="1"/>
    <x v="10"/>
    <n v="76"/>
    <x v="10"/>
    <x v="189"/>
    <x v="3"/>
    <x v="1"/>
    <x v="1"/>
    <n v="620"/>
  </r>
  <r>
    <x v="1710"/>
    <x v="1"/>
    <x v="12"/>
    <n v="89"/>
    <x v="44"/>
    <x v="185"/>
    <x v="5"/>
    <x v="3"/>
    <x v="1"/>
    <n v="40"/>
  </r>
  <r>
    <x v="1711"/>
    <x v="1"/>
    <x v="20"/>
    <n v="200"/>
    <x v="30"/>
    <x v="118"/>
    <x v="6"/>
    <x v="0"/>
    <x v="1"/>
    <n v="1300"/>
  </r>
  <r>
    <x v="1711"/>
    <x v="1"/>
    <x v="20"/>
    <n v="284"/>
    <x v="16"/>
    <x v="71"/>
    <x v="3"/>
    <x v="0"/>
    <x v="1"/>
    <n v="1300"/>
  </r>
  <r>
    <x v="1712"/>
    <x v="4"/>
    <x v="4"/>
    <m/>
    <x v="0"/>
    <x v="235"/>
    <x v="14"/>
    <x v="2"/>
    <x v="1"/>
    <n v="8"/>
  </r>
  <r>
    <x v="1713"/>
    <x v="1"/>
    <x v="5"/>
    <n v="42"/>
    <x v="9"/>
    <x v="64"/>
    <x v="1"/>
    <x v="3"/>
    <x v="1"/>
    <n v="7"/>
  </r>
  <r>
    <x v="1714"/>
    <x v="4"/>
    <x v="20"/>
    <m/>
    <x v="0"/>
    <x v="55"/>
    <x v="4"/>
    <x v="6"/>
    <x v="1"/>
    <n v="467"/>
  </r>
  <r>
    <x v="1715"/>
    <x v="12"/>
    <x v="6"/>
    <n v="120"/>
    <x v="0"/>
    <x v="59"/>
    <x v="9"/>
    <x v="6"/>
    <x v="6"/>
    <n v="631"/>
  </r>
  <r>
    <x v="1716"/>
    <x v="80"/>
    <x v="4"/>
    <n v="25"/>
    <x v="6"/>
    <x v="107"/>
    <x v="3"/>
    <x v="3"/>
    <x v="6"/>
    <n v="62"/>
  </r>
  <r>
    <x v="1717"/>
    <x v="15"/>
    <x v="2"/>
    <n v="19"/>
    <x v="8"/>
    <x v="28"/>
    <x v="5"/>
    <x v="2"/>
    <x v="1"/>
    <n v="7"/>
  </r>
  <r>
    <x v="1718"/>
    <x v="1"/>
    <x v="12"/>
    <n v="140"/>
    <x v="11"/>
    <x v="93"/>
    <x v="2"/>
    <x v="0"/>
    <x v="1"/>
    <n v="144"/>
  </r>
  <r>
    <x v="1718"/>
    <x v="1"/>
    <x v="12"/>
    <n v="365"/>
    <x v="7"/>
    <x v="108"/>
    <x v="3"/>
    <x v="0"/>
    <x v="1"/>
    <n v="144"/>
  </r>
  <r>
    <x v="1719"/>
    <x v="16"/>
    <x v="28"/>
    <n v="55"/>
    <x v="6"/>
    <x v="9"/>
    <x v="7"/>
    <x v="6"/>
    <x v="7"/>
    <n v="95"/>
  </r>
  <r>
    <x v="1720"/>
    <x v="9"/>
    <x v="2"/>
    <n v="15"/>
    <x v="9"/>
    <x v="22"/>
    <x v="5"/>
    <x v="4"/>
    <x v="1"/>
    <n v="46"/>
  </r>
  <r>
    <x v="1721"/>
    <x v="1"/>
    <x v="2"/>
    <n v="63"/>
    <x v="0"/>
    <x v="21"/>
    <x v="9"/>
    <x v="7"/>
    <x v="1"/>
    <n v="152"/>
  </r>
  <r>
    <x v="1722"/>
    <x v="29"/>
    <x v="15"/>
    <n v="65"/>
    <x v="39"/>
    <x v="30"/>
    <x v="14"/>
    <x v="5"/>
    <x v="1"/>
    <n v="69"/>
  </r>
  <r>
    <x v="1723"/>
    <x v="182"/>
    <x v="11"/>
    <m/>
    <x v="0"/>
    <x v="372"/>
    <x v="2"/>
    <x v="3"/>
    <x v="47"/>
    <m/>
  </r>
  <r>
    <x v="1724"/>
    <x v="13"/>
    <x v="14"/>
    <m/>
    <x v="0"/>
    <x v="257"/>
    <x v="14"/>
    <x v="4"/>
    <x v="1"/>
    <n v="526"/>
  </r>
  <r>
    <x v="1724"/>
    <x v="13"/>
    <x v="14"/>
    <n v="1300"/>
    <x v="3"/>
    <x v="163"/>
    <x v="3"/>
    <x v="0"/>
    <x v="1"/>
    <n v="834"/>
  </r>
  <r>
    <x v="1725"/>
    <x v="14"/>
    <x v="13"/>
    <n v="130"/>
    <x v="37"/>
    <x v="306"/>
    <x v="10"/>
    <x v="10"/>
    <x v="1"/>
    <m/>
  </r>
  <r>
    <x v="1726"/>
    <x v="10"/>
    <x v="19"/>
    <m/>
    <x v="0"/>
    <x v="177"/>
    <x v="8"/>
    <x v="11"/>
    <x v="1"/>
    <m/>
  </r>
  <r>
    <x v="1727"/>
    <x v="1"/>
    <x v="22"/>
    <m/>
    <x v="23"/>
    <x v="44"/>
    <x v="0"/>
    <x v="3"/>
    <x v="1"/>
    <n v="203"/>
  </r>
  <r>
    <x v="1728"/>
    <x v="1"/>
    <x v="12"/>
    <n v="75"/>
    <x v="0"/>
    <x v="87"/>
    <x v="1"/>
    <x v="1"/>
    <x v="1"/>
    <n v="992"/>
  </r>
  <r>
    <x v="1729"/>
    <x v="4"/>
    <x v="22"/>
    <n v="110"/>
    <x v="13"/>
    <x v="173"/>
    <x v="2"/>
    <x v="0"/>
    <x v="1"/>
    <n v="30"/>
  </r>
  <r>
    <x v="1730"/>
    <x v="14"/>
    <x v="1"/>
    <m/>
    <x v="7"/>
    <x v="337"/>
    <x v="4"/>
    <x v="5"/>
    <x v="1"/>
    <n v="301"/>
  </r>
  <r>
    <x v="1731"/>
    <x v="60"/>
    <x v="6"/>
    <n v="100"/>
    <x v="0"/>
    <x v="184"/>
    <x v="4"/>
    <x v="1"/>
    <x v="6"/>
    <n v="292"/>
  </r>
  <r>
    <x v="1731"/>
    <x v="60"/>
    <x v="6"/>
    <n v="200"/>
    <x v="16"/>
    <x v="397"/>
    <x v="17"/>
    <x v="1"/>
    <x v="6"/>
    <n v="292"/>
  </r>
  <r>
    <x v="1731"/>
    <x v="60"/>
    <x v="6"/>
    <n v="385"/>
    <x v="0"/>
    <x v="227"/>
    <x v="0"/>
    <x v="1"/>
    <x v="6"/>
    <n v="292"/>
  </r>
  <r>
    <x v="1731"/>
    <x v="60"/>
    <x v="6"/>
    <n v="424"/>
    <x v="11"/>
    <x v="463"/>
    <x v="17"/>
    <x v="1"/>
    <x v="6"/>
    <n v="292"/>
  </r>
  <r>
    <x v="1732"/>
    <x v="35"/>
    <x v="19"/>
    <n v="16"/>
    <x v="45"/>
    <x v="318"/>
    <x v="1"/>
    <x v="11"/>
    <x v="17"/>
    <n v="15"/>
  </r>
  <r>
    <x v="1732"/>
    <x v="35"/>
    <x v="19"/>
    <n v="17"/>
    <x v="31"/>
    <x v="196"/>
    <x v="8"/>
    <x v="11"/>
    <x v="17"/>
    <n v="15"/>
  </r>
  <r>
    <x v="1733"/>
    <x v="1"/>
    <x v="12"/>
    <n v="30"/>
    <x v="0"/>
    <x v="256"/>
    <x v="10"/>
    <x v="6"/>
    <x v="1"/>
    <n v="69"/>
  </r>
  <r>
    <x v="1734"/>
    <x v="1"/>
    <x v="23"/>
    <n v="100"/>
    <x v="8"/>
    <x v="222"/>
    <x v="2"/>
    <x v="5"/>
    <x v="1"/>
    <n v="597"/>
  </r>
  <r>
    <x v="1735"/>
    <x v="1"/>
    <x v="0"/>
    <n v="140"/>
    <x v="0"/>
    <x v="57"/>
    <x v="5"/>
    <x v="6"/>
    <x v="1"/>
    <n v="225"/>
  </r>
  <r>
    <x v="1735"/>
    <x v="1"/>
    <x v="0"/>
    <n v="220"/>
    <x v="0"/>
    <x v="287"/>
    <x v="12"/>
    <x v="7"/>
    <x v="1"/>
    <n v="575"/>
  </r>
  <r>
    <x v="1736"/>
    <x v="18"/>
    <x v="22"/>
    <m/>
    <x v="0"/>
    <x v="281"/>
    <x v="2"/>
    <x v="7"/>
    <x v="1"/>
    <n v="167"/>
  </r>
  <r>
    <x v="1737"/>
    <x v="183"/>
    <x v="2"/>
    <m/>
    <x v="13"/>
    <x v="401"/>
    <x v="4"/>
    <x v="5"/>
    <x v="0"/>
    <n v="178"/>
  </r>
  <r>
    <x v="1738"/>
    <x v="69"/>
    <x v="9"/>
    <n v="27"/>
    <x v="2"/>
    <x v="211"/>
    <x v="2"/>
    <x v="2"/>
    <x v="14"/>
    <n v="43"/>
  </r>
  <r>
    <x v="1739"/>
    <x v="0"/>
    <x v="2"/>
    <n v="11"/>
    <x v="7"/>
    <x v="163"/>
    <x v="3"/>
    <x v="6"/>
    <x v="0"/>
    <m/>
  </r>
  <r>
    <x v="1740"/>
    <x v="4"/>
    <x v="13"/>
    <n v="80"/>
    <x v="10"/>
    <x v="158"/>
    <x v="1"/>
    <x v="1"/>
    <x v="1"/>
    <n v="569"/>
  </r>
  <r>
    <x v="1741"/>
    <x v="152"/>
    <x v="22"/>
    <n v="63"/>
    <x v="17"/>
    <x v="204"/>
    <x v="10"/>
    <x v="2"/>
    <x v="49"/>
    <n v="7"/>
  </r>
  <r>
    <x v="1741"/>
    <x v="152"/>
    <x v="22"/>
    <n v="66"/>
    <x v="5"/>
    <x v="128"/>
    <x v="12"/>
    <x v="4"/>
    <x v="49"/>
    <n v="192"/>
  </r>
  <r>
    <x v="1742"/>
    <x v="1"/>
    <x v="1"/>
    <n v="250"/>
    <x v="6"/>
    <x v="209"/>
    <x v="3"/>
    <x v="9"/>
    <x v="1"/>
    <n v="3500"/>
  </r>
  <r>
    <x v="1743"/>
    <x v="60"/>
    <x v="11"/>
    <n v="150"/>
    <x v="13"/>
    <x v="211"/>
    <x v="2"/>
    <x v="16"/>
    <x v="6"/>
    <n v="1700"/>
  </r>
  <r>
    <x v="1744"/>
    <x v="0"/>
    <x v="11"/>
    <n v="60"/>
    <x v="29"/>
    <x v="26"/>
    <x v="12"/>
    <x v="0"/>
    <x v="0"/>
    <m/>
  </r>
  <r>
    <x v="1745"/>
    <x v="14"/>
    <x v="1"/>
    <n v="29"/>
    <x v="38"/>
    <x v="408"/>
    <x v="7"/>
    <x v="3"/>
    <x v="1"/>
    <n v="75"/>
  </r>
  <r>
    <x v="1746"/>
    <x v="44"/>
    <x v="8"/>
    <n v="56"/>
    <x v="0"/>
    <x v="464"/>
    <x v="30"/>
    <x v="6"/>
    <x v="1"/>
    <n v="20"/>
  </r>
  <r>
    <x v="1747"/>
    <x v="50"/>
    <x v="1"/>
    <n v="50"/>
    <x v="10"/>
    <x v="168"/>
    <x v="6"/>
    <x v="5"/>
    <x v="19"/>
    <n v="71"/>
  </r>
  <r>
    <x v="1748"/>
    <x v="1"/>
    <x v="1"/>
    <n v="40"/>
    <x v="0"/>
    <x v="88"/>
    <x v="3"/>
    <x v="3"/>
    <x v="1"/>
    <n v="101"/>
  </r>
  <r>
    <x v="1749"/>
    <x v="184"/>
    <x v="20"/>
    <m/>
    <x v="0"/>
    <x v="81"/>
    <x v="4"/>
    <x v="6"/>
    <x v="56"/>
    <m/>
  </r>
  <r>
    <x v="1750"/>
    <x v="3"/>
    <x v="2"/>
    <n v="46"/>
    <x v="35"/>
    <x v="291"/>
    <x v="0"/>
    <x v="0"/>
    <x v="1"/>
    <m/>
  </r>
  <r>
    <x v="1751"/>
    <x v="140"/>
    <x v="3"/>
    <n v="45"/>
    <x v="4"/>
    <x v="83"/>
    <x v="2"/>
    <x v="7"/>
    <x v="46"/>
    <m/>
  </r>
  <r>
    <x v="1752"/>
    <x v="6"/>
    <x v="1"/>
    <m/>
    <x v="35"/>
    <x v="263"/>
    <x v="12"/>
    <x v="6"/>
    <x v="1"/>
    <m/>
  </r>
  <r>
    <x v="1753"/>
    <x v="14"/>
    <x v="1"/>
    <m/>
    <x v="23"/>
    <x v="136"/>
    <x v="12"/>
    <x v="0"/>
    <x v="1"/>
    <n v="185"/>
  </r>
  <r>
    <x v="1754"/>
    <x v="3"/>
    <x v="2"/>
    <m/>
    <x v="12"/>
    <x v="408"/>
    <x v="7"/>
    <x v="8"/>
    <x v="1"/>
    <n v="456"/>
  </r>
  <r>
    <x v="1754"/>
    <x v="3"/>
    <x v="2"/>
    <n v="21"/>
    <x v="10"/>
    <x v="185"/>
    <x v="5"/>
    <x v="4"/>
    <x v="1"/>
    <n v="106"/>
  </r>
  <r>
    <x v="1755"/>
    <x v="1"/>
    <x v="7"/>
    <m/>
    <x v="0"/>
    <x v="54"/>
    <x v="5"/>
    <x v="12"/>
    <x v="1"/>
    <n v="1800"/>
  </r>
  <r>
    <x v="1756"/>
    <x v="4"/>
    <x v="3"/>
    <m/>
    <x v="1"/>
    <x v="294"/>
    <x v="1"/>
    <x v="0"/>
    <x v="1"/>
    <n v="450"/>
  </r>
  <r>
    <x v="1756"/>
    <x v="4"/>
    <x v="3"/>
    <m/>
    <x v="33"/>
    <x v="66"/>
    <x v="3"/>
    <x v="0"/>
    <x v="1"/>
    <n v="450"/>
  </r>
  <r>
    <x v="1757"/>
    <x v="3"/>
    <x v="0"/>
    <n v="80"/>
    <x v="0"/>
    <x v="193"/>
    <x v="12"/>
    <x v="15"/>
    <x v="1"/>
    <m/>
  </r>
  <r>
    <x v="1758"/>
    <x v="3"/>
    <x v="0"/>
    <n v="111"/>
    <x v="31"/>
    <x v="375"/>
    <x v="29"/>
    <x v="6"/>
    <x v="1"/>
    <n v="368"/>
  </r>
  <r>
    <x v="1759"/>
    <x v="1"/>
    <x v="1"/>
    <n v="65"/>
    <x v="0"/>
    <x v="98"/>
    <x v="5"/>
    <x v="4"/>
    <x v="1"/>
    <n v="175"/>
  </r>
  <r>
    <x v="1760"/>
    <x v="14"/>
    <x v="1"/>
    <n v="70"/>
    <x v="0"/>
    <x v="113"/>
    <x v="10"/>
    <x v="2"/>
    <x v="1"/>
    <n v="10"/>
  </r>
  <r>
    <x v="1761"/>
    <x v="4"/>
    <x v="12"/>
    <n v="25"/>
    <x v="0"/>
    <x v="156"/>
    <x v="17"/>
    <x v="4"/>
    <x v="1"/>
    <n v="128"/>
  </r>
  <r>
    <x v="1762"/>
    <x v="11"/>
    <x v="0"/>
    <n v="35"/>
    <x v="10"/>
    <x v="125"/>
    <x v="6"/>
    <x v="5"/>
    <x v="1"/>
    <n v="515"/>
  </r>
  <r>
    <x v="1762"/>
    <x v="11"/>
    <x v="0"/>
    <n v="100"/>
    <x v="0"/>
    <x v="7"/>
    <x v="5"/>
    <x v="3"/>
    <x v="5"/>
    <n v="167"/>
  </r>
  <r>
    <x v="1762"/>
    <x v="11"/>
    <x v="0"/>
    <n v="130"/>
    <x v="35"/>
    <x v="227"/>
    <x v="0"/>
    <x v="5"/>
    <x v="1"/>
    <n v="515"/>
  </r>
  <r>
    <x v="1763"/>
    <x v="7"/>
    <x v="12"/>
    <m/>
    <x v="20"/>
    <x v="118"/>
    <x v="6"/>
    <x v="1"/>
    <x v="4"/>
    <n v="90"/>
  </r>
  <r>
    <x v="1764"/>
    <x v="1"/>
    <x v="0"/>
    <m/>
    <x v="10"/>
    <x v="278"/>
    <x v="7"/>
    <x v="0"/>
    <x v="1"/>
    <n v="575"/>
  </r>
  <r>
    <x v="1764"/>
    <x v="1"/>
    <x v="0"/>
    <m/>
    <x v="66"/>
    <x v="295"/>
    <x v="8"/>
    <x v="0"/>
    <x v="1"/>
    <n v="575"/>
  </r>
  <r>
    <x v="1765"/>
    <x v="7"/>
    <x v="9"/>
    <m/>
    <x v="0"/>
    <x v="119"/>
    <x v="2"/>
    <x v="11"/>
    <x v="4"/>
    <n v="13"/>
  </r>
  <r>
    <x v="1765"/>
    <x v="7"/>
    <x v="9"/>
    <m/>
    <x v="31"/>
    <x v="125"/>
    <x v="6"/>
    <x v="11"/>
    <x v="4"/>
    <n v="13"/>
  </r>
  <r>
    <x v="1766"/>
    <x v="1"/>
    <x v="12"/>
    <n v="15"/>
    <x v="11"/>
    <x v="109"/>
    <x v="6"/>
    <x v="4"/>
    <x v="1"/>
    <n v="159"/>
  </r>
  <r>
    <x v="1767"/>
    <x v="6"/>
    <x v="11"/>
    <m/>
    <x v="0"/>
    <x v="443"/>
    <x v="23"/>
    <x v="8"/>
    <x v="1"/>
    <n v="308"/>
  </r>
  <r>
    <x v="1767"/>
    <x v="6"/>
    <x v="11"/>
    <n v="39"/>
    <x v="12"/>
    <x v="241"/>
    <x v="1"/>
    <x v="8"/>
    <x v="1"/>
    <n v="307"/>
  </r>
  <r>
    <x v="1767"/>
    <x v="6"/>
    <x v="11"/>
    <n v="130"/>
    <x v="11"/>
    <x v="117"/>
    <x v="3"/>
    <x v="8"/>
    <x v="1"/>
    <n v="307"/>
  </r>
  <r>
    <x v="1768"/>
    <x v="3"/>
    <x v="2"/>
    <n v="8"/>
    <x v="35"/>
    <x v="109"/>
    <x v="6"/>
    <x v="6"/>
    <x v="1"/>
    <n v="10"/>
  </r>
  <r>
    <x v="1769"/>
    <x v="4"/>
    <x v="0"/>
    <n v="270"/>
    <x v="23"/>
    <x v="388"/>
    <x v="17"/>
    <x v="0"/>
    <x v="1"/>
    <n v="1300"/>
  </r>
  <r>
    <x v="1769"/>
    <x v="4"/>
    <x v="0"/>
    <n v="275"/>
    <x v="7"/>
    <x v="14"/>
    <x v="3"/>
    <x v="0"/>
    <x v="1"/>
    <n v="1300"/>
  </r>
  <r>
    <x v="1769"/>
    <x v="4"/>
    <x v="0"/>
    <n v="337"/>
    <x v="0"/>
    <x v="261"/>
    <x v="4"/>
    <x v="0"/>
    <x v="1"/>
    <n v="1300"/>
  </r>
  <r>
    <x v="1770"/>
    <x v="1"/>
    <x v="3"/>
    <n v="45"/>
    <x v="46"/>
    <x v="110"/>
    <x v="5"/>
    <x v="3"/>
    <x v="1"/>
    <n v="90"/>
  </r>
  <r>
    <x v="1771"/>
    <x v="5"/>
    <x v="4"/>
    <n v="200"/>
    <x v="35"/>
    <x v="153"/>
    <x v="17"/>
    <x v="0"/>
    <x v="3"/>
    <n v="365"/>
  </r>
  <r>
    <x v="1772"/>
    <x v="44"/>
    <x v="28"/>
    <n v="50"/>
    <x v="0"/>
    <x v="465"/>
    <x v="15"/>
    <x v="6"/>
    <x v="1"/>
    <m/>
  </r>
  <r>
    <x v="1773"/>
    <x v="1"/>
    <x v="20"/>
    <n v="43"/>
    <x v="16"/>
    <x v="391"/>
    <x v="3"/>
    <x v="0"/>
    <x v="1"/>
    <n v="307"/>
  </r>
  <r>
    <x v="1774"/>
    <x v="117"/>
    <x v="7"/>
    <m/>
    <x v="6"/>
    <x v="198"/>
    <x v="3"/>
    <x v="0"/>
    <x v="43"/>
    <n v="167"/>
  </r>
  <r>
    <x v="1775"/>
    <x v="1"/>
    <x v="14"/>
    <n v="56"/>
    <x v="15"/>
    <x v="235"/>
    <x v="14"/>
    <x v="3"/>
    <x v="1"/>
    <n v="26"/>
  </r>
  <r>
    <x v="1775"/>
    <x v="1"/>
    <x v="14"/>
    <n v="85"/>
    <x v="20"/>
    <x v="127"/>
    <x v="1"/>
    <x v="3"/>
    <x v="1"/>
    <n v="26"/>
  </r>
  <r>
    <x v="1776"/>
    <x v="4"/>
    <x v="3"/>
    <n v="63"/>
    <x v="0"/>
    <x v="261"/>
    <x v="4"/>
    <x v="0"/>
    <x v="1"/>
    <n v="535"/>
  </r>
  <r>
    <x v="1777"/>
    <x v="185"/>
    <x v="12"/>
    <n v="50"/>
    <x v="0"/>
    <x v="310"/>
    <x v="4"/>
    <x v="4"/>
    <x v="3"/>
    <n v="104"/>
  </r>
  <r>
    <x v="1778"/>
    <x v="186"/>
    <x v="12"/>
    <n v="300"/>
    <x v="6"/>
    <x v="4"/>
    <x v="1"/>
    <x v="2"/>
    <x v="57"/>
    <n v="292"/>
  </r>
  <r>
    <x v="1779"/>
    <x v="3"/>
    <x v="11"/>
    <n v="56"/>
    <x v="37"/>
    <x v="115"/>
    <x v="6"/>
    <x v="3"/>
    <x v="1"/>
    <n v="65"/>
  </r>
  <r>
    <x v="1780"/>
    <x v="1"/>
    <x v="19"/>
    <m/>
    <x v="20"/>
    <x v="119"/>
    <x v="2"/>
    <x v="6"/>
    <x v="1"/>
    <m/>
  </r>
  <r>
    <x v="1781"/>
    <x v="14"/>
    <x v="4"/>
    <n v="870"/>
    <x v="13"/>
    <x v="336"/>
    <x v="4"/>
    <x v="0"/>
    <x v="1"/>
    <n v="1700"/>
  </r>
  <r>
    <x v="1781"/>
    <x v="14"/>
    <x v="4"/>
    <n v="1750"/>
    <x v="10"/>
    <x v="117"/>
    <x v="3"/>
    <x v="0"/>
    <x v="1"/>
    <n v="1700"/>
  </r>
  <r>
    <x v="1782"/>
    <x v="2"/>
    <x v="2"/>
    <n v="200"/>
    <x v="24"/>
    <x v="67"/>
    <x v="2"/>
    <x v="6"/>
    <x v="2"/>
    <n v="889"/>
  </r>
  <r>
    <x v="1783"/>
    <x v="1"/>
    <x v="0"/>
    <n v="209"/>
    <x v="4"/>
    <x v="243"/>
    <x v="9"/>
    <x v="15"/>
    <x v="1"/>
    <n v="5500"/>
  </r>
  <r>
    <x v="1784"/>
    <x v="1"/>
    <x v="0"/>
    <n v="30"/>
    <x v="72"/>
    <x v="466"/>
    <x v="16"/>
    <x v="7"/>
    <x v="1"/>
    <n v="67"/>
  </r>
  <r>
    <x v="1785"/>
    <x v="12"/>
    <x v="5"/>
    <n v="60"/>
    <x v="24"/>
    <x v="467"/>
    <x v="8"/>
    <x v="7"/>
    <x v="6"/>
    <m/>
  </r>
  <r>
    <x v="1786"/>
    <x v="0"/>
    <x v="12"/>
    <n v="159"/>
    <x v="35"/>
    <x v="45"/>
    <x v="6"/>
    <x v="6"/>
    <x v="0"/>
    <n v="900"/>
  </r>
  <r>
    <x v="1787"/>
    <x v="63"/>
    <x v="1"/>
    <n v="500"/>
    <x v="0"/>
    <x v="468"/>
    <x v="13"/>
    <x v="8"/>
    <x v="23"/>
    <n v="1400"/>
  </r>
  <r>
    <x v="1788"/>
    <x v="3"/>
    <x v="20"/>
    <m/>
    <x v="10"/>
    <x v="6"/>
    <x v="4"/>
    <x v="7"/>
    <x v="1"/>
    <m/>
  </r>
  <r>
    <x v="1788"/>
    <x v="3"/>
    <x v="20"/>
    <n v="175"/>
    <x v="9"/>
    <x v="32"/>
    <x v="0"/>
    <x v="7"/>
    <x v="1"/>
    <m/>
  </r>
  <r>
    <x v="1789"/>
    <x v="1"/>
    <x v="9"/>
    <n v="150"/>
    <x v="10"/>
    <x v="45"/>
    <x v="6"/>
    <x v="1"/>
    <x v="1"/>
    <n v="863"/>
  </r>
  <r>
    <x v="1790"/>
    <x v="187"/>
    <x v="28"/>
    <m/>
    <x v="20"/>
    <x v="134"/>
    <x v="10"/>
    <x v="11"/>
    <x v="51"/>
    <n v="1"/>
  </r>
  <r>
    <x v="1791"/>
    <x v="16"/>
    <x v="12"/>
    <n v="100"/>
    <x v="0"/>
    <x v="108"/>
    <x v="3"/>
    <x v="5"/>
    <x v="7"/>
    <n v="1300"/>
  </r>
  <r>
    <x v="1792"/>
    <x v="1"/>
    <x v="1"/>
    <n v="10"/>
    <x v="37"/>
    <x v="28"/>
    <x v="5"/>
    <x v="3"/>
    <x v="1"/>
    <n v="29"/>
  </r>
  <r>
    <x v="1793"/>
    <x v="1"/>
    <x v="26"/>
    <n v="251"/>
    <x v="0"/>
    <x v="305"/>
    <x v="2"/>
    <x v="0"/>
    <x v="1"/>
    <n v="900"/>
  </r>
  <r>
    <x v="1794"/>
    <x v="41"/>
    <x v="4"/>
    <n v="125"/>
    <x v="0"/>
    <x v="398"/>
    <x v="7"/>
    <x v="0"/>
    <x v="7"/>
    <n v="237"/>
  </r>
  <r>
    <x v="1795"/>
    <x v="60"/>
    <x v="5"/>
    <m/>
    <x v="20"/>
    <x v="128"/>
    <x v="12"/>
    <x v="6"/>
    <x v="6"/>
    <m/>
  </r>
  <r>
    <x v="1796"/>
    <x v="43"/>
    <x v="23"/>
    <n v="200"/>
    <x v="0"/>
    <x v="469"/>
    <x v="18"/>
    <x v="12"/>
    <x v="18"/>
    <n v="19500"/>
  </r>
  <r>
    <x v="1796"/>
    <x v="74"/>
    <x v="23"/>
    <n v="100"/>
    <x v="7"/>
    <x v="37"/>
    <x v="10"/>
    <x v="12"/>
    <x v="6"/>
    <n v="19500"/>
  </r>
  <r>
    <x v="1796"/>
    <x v="4"/>
    <x v="23"/>
    <n v="250"/>
    <x v="0"/>
    <x v="434"/>
    <x v="14"/>
    <x v="12"/>
    <x v="1"/>
    <n v="2250"/>
  </r>
  <r>
    <x v="1796"/>
    <x v="1"/>
    <x v="23"/>
    <n v="300"/>
    <x v="0"/>
    <x v="362"/>
    <x v="5"/>
    <x v="12"/>
    <x v="1"/>
    <n v="2250"/>
  </r>
  <r>
    <x v="1796"/>
    <x v="4"/>
    <x v="23"/>
    <n v="300"/>
    <x v="0"/>
    <x v="198"/>
    <x v="3"/>
    <x v="0"/>
    <x v="1"/>
    <n v="22200"/>
  </r>
  <r>
    <x v="1796"/>
    <x v="67"/>
    <x v="23"/>
    <m/>
    <x v="0"/>
    <x v="470"/>
    <x v="16"/>
    <x v="12"/>
    <x v="23"/>
    <n v="19500"/>
  </r>
  <r>
    <x v="1797"/>
    <x v="29"/>
    <x v="1"/>
    <n v="35"/>
    <x v="3"/>
    <x v="401"/>
    <x v="4"/>
    <x v="4"/>
    <x v="1"/>
    <n v="215"/>
  </r>
  <r>
    <x v="1797"/>
    <x v="29"/>
    <x v="1"/>
    <n v="56"/>
    <x v="40"/>
    <x v="26"/>
    <x v="12"/>
    <x v="4"/>
    <x v="1"/>
    <n v="215"/>
  </r>
  <r>
    <x v="1798"/>
    <x v="47"/>
    <x v="19"/>
    <n v="55"/>
    <x v="46"/>
    <x v="48"/>
    <x v="5"/>
    <x v="3"/>
    <x v="1"/>
    <n v="24"/>
  </r>
  <r>
    <x v="1799"/>
    <x v="149"/>
    <x v="20"/>
    <m/>
    <x v="0"/>
    <x v="229"/>
    <x v="4"/>
    <x v="2"/>
    <x v="48"/>
    <n v="10"/>
  </r>
  <r>
    <x v="1800"/>
    <x v="54"/>
    <x v="20"/>
    <m/>
    <x v="8"/>
    <x v="83"/>
    <x v="2"/>
    <x v="0"/>
    <x v="4"/>
    <n v="68"/>
  </r>
  <r>
    <x v="1801"/>
    <x v="12"/>
    <x v="6"/>
    <n v="300"/>
    <x v="0"/>
    <x v="168"/>
    <x v="6"/>
    <x v="7"/>
    <x v="6"/>
    <n v="11"/>
  </r>
  <r>
    <x v="1801"/>
    <x v="12"/>
    <x v="6"/>
    <n v="1800"/>
    <x v="0"/>
    <x v="471"/>
    <x v="19"/>
    <x v="7"/>
    <x v="6"/>
    <n v="11"/>
  </r>
  <r>
    <x v="1802"/>
    <x v="14"/>
    <x v="28"/>
    <m/>
    <x v="30"/>
    <x v="5"/>
    <x v="3"/>
    <x v="8"/>
    <x v="1"/>
    <n v="404"/>
  </r>
  <r>
    <x v="1802"/>
    <x v="14"/>
    <x v="28"/>
    <n v="95"/>
    <x v="6"/>
    <x v="16"/>
    <x v="1"/>
    <x v="8"/>
    <x v="1"/>
    <n v="404"/>
  </r>
  <r>
    <x v="1803"/>
    <x v="6"/>
    <x v="14"/>
    <m/>
    <x v="31"/>
    <x v="22"/>
    <x v="5"/>
    <x v="3"/>
    <x v="1"/>
    <n v="33"/>
  </r>
  <r>
    <x v="1804"/>
    <x v="5"/>
    <x v="3"/>
    <n v="300"/>
    <x v="7"/>
    <x v="50"/>
    <x v="2"/>
    <x v="6"/>
    <x v="3"/>
    <n v="260"/>
  </r>
  <r>
    <x v="1805"/>
    <x v="7"/>
    <x v="23"/>
    <n v="99"/>
    <x v="29"/>
    <x v="124"/>
    <x v="0"/>
    <x v="6"/>
    <x v="4"/>
    <m/>
  </r>
  <r>
    <x v="1806"/>
    <x v="1"/>
    <x v="4"/>
    <n v="150"/>
    <x v="3"/>
    <x v="108"/>
    <x v="3"/>
    <x v="0"/>
    <x v="1"/>
    <n v="1600"/>
  </r>
  <r>
    <x v="1806"/>
    <x v="1"/>
    <x v="4"/>
    <n v="190"/>
    <x v="6"/>
    <x v="472"/>
    <x v="13"/>
    <x v="0"/>
    <x v="1"/>
    <n v="1600"/>
  </r>
  <r>
    <x v="1807"/>
    <x v="14"/>
    <x v="2"/>
    <n v="40"/>
    <x v="0"/>
    <x v="119"/>
    <x v="2"/>
    <x v="6"/>
    <x v="1"/>
    <n v="18"/>
  </r>
  <r>
    <x v="1808"/>
    <x v="35"/>
    <x v="2"/>
    <n v="100"/>
    <x v="0"/>
    <x v="19"/>
    <x v="4"/>
    <x v="0"/>
    <x v="17"/>
    <n v="58"/>
  </r>
  <r>
    <x v="1808"/>
    <x v="35"/>
    <x v="2"/>
    <n v="370"/>
    <x v="1"/>
    <x v="136"/>
    <x v="12"/>
    <x v="0"/>
    <x v="17"/>
    <n v="58"/>
  </r>
  <r>
    <x v="1809"/>
    <x v="1"/>
    <x v="17"/>
    <m/>
    <x v="0"/>
    <x v="90"/>
    <x v="1"/>
    <x v="7"/>
    <x v="1"/>
    <n v="62"/>
  </r>
  <r>
    <x v="1810"/>
    <x v="4"/>
    <x v="9"/>
    <n v="130"/>
    <x v="11"/>
    <x v="281"/>
    <x v="2"/>
    <x v="3"/>
    <x v="1"/>
    <n v="850"/>
  </r>
  <r>
    <x v="1810"/>
    <x v="4"/>
    <x v="20"/>
    <m/>
    <x v="0"/>
    <x v="7"/>
    <x v="5"/>
    <x v="6"/>
    <x v="1"/>
    <m/>
  </r>
  <r>
    <x v="1811"/>
    <x v="1"/>
    <x v="6"/>
    <n v="50"/>
    <x v="36"/>
    <x v="235"/>
    <x v="14"/>
    <x v="2"/>
    <x v="1"/>
    <n v="24"/>
  </r>
  <r>
    <x v="1812"/>
    <x v="1"/>
    <x v="21"/>
    <n v="46"/>
    <x v="35"/>
    <x v="22"/>
    <x v="5"/>
    <x v="4"/>
    <x v="1"/>
    <n v="52"/>
  </r>
  <r>
    <x v="1813"/>
    <x v="14"/>
    <x v="2"/>
    <n v="26"/>
    <x v="10"/>
    <x v="145"/>
    <x v="5"/>
    <x v="7"/>
    <x v="1"/>
    <n v="28"/>
  </r>
  <r>
    <x v="1814"/>
    <x v="14"/>
    <x v="21"/>
    <n v="25"/>
    <x v="10"/>
    <x v="40"/>
    <x v="10"/>
    <x v="4"/>
    <x v="1"/>
    <n v="84"/>
  </r>
  <r>
    <x v="1815"/>
    <x v="1"/>
    <x v="20"/>
    <n v="90"/>
    <x v="10"/>
    <x v="26"/>
    <x v="12"/>
    <x v="1"/>
    <x v="1"/>
    <n v="415"/>
  </r>
  <r>
    <x v="1816"/>
    <x v="1"/>
    <x v="19"/>
    <n v="525"/>
    <x v="16"/>
    <x v="108"/>
    <x v="3"/>
    <x v="0"/>
    <x v="1"/>
    <n v="230"/>
  </r>
  <r>
    <x v="1817"/>
    <x v="18"/>
    <x v="2"/>
    <m/>
    <x v="0"/>
    <x v="256"/>
    <x v="10"/>
    <x v="4"/>
    <x v="1"/>
    <n v="375"/>
  </r>
  <r>
    <x v="1818"/>
    <x v="16"/>
    <x v="19"/>
    <n v="60"/>
    <x v="7"/>
    <x v="82"/>
    <x v="0"/>
    <x v="3"/>
    <x v="1"/>
    <n v="76"/>
  </r>
  <r>
    <x v="1819"/>
    <x v="1"/>
    <x v="19"/>
    <n v="35"/>
    <x v="7"/>
    <x v="20"/>
    <x v="7"/>
    <x v="4"/>
    <x v="1"/>
    <n v="67"/>
  </r>
  <r>
    <x v="1820"/>
    <x v="29"/>
    <x v="7"/>
    <n v="450"/>
    <x v="0"/>
    <x v="303"/>
    <x v="15"/>
    <x v="1"/>
    <x v="1"/>
    <n v="752"/>
  </r>
  <r>
    <x v="1821"/>
    <x v="29"/>
    <x v="4"/>
    <n v="30"/>
    <x v="31"/>
    <x v="473"/>
    <x v="20"/>
    <x v="6"/>
    <x v="1"/>
    <n v="4"/>
  </r>
  <r>
    <x v="1822"/>
    <x v="1"/>
    <x v="19"/>
    <n v="45"/>
    <x v="0"/>
    <x v="90"/>
    <x v="1"/>
    <x v="3"/>
    <x v="1"/>
    <n v="58"/>
  </r>
  <r>
    <x v="1823"/>
    <x v="188"/>
    <x v="19"/>
    <n v="5"/>
    <x v="6"/>
    <x v="55"/>
    <x v="4"/>
    <x v="2"/>
    <x v="1"/>
    <n v="11"/>
  </r>
  <r>
    <x v="1824"/>
    <x v="1"/>
    <x v="5"/>
    <m/>
    <x v="20"/>
    <x v="66"/>
    <x v="3"/>
    <x v="6"/>
    <x v="1"/>
    <n v="29"/>
  </r>
  <r>
    <x v="1825"/>
    <x v="24"/>
    <x v="12"/>
    <m/>
    <x v="13"/>
    <x v="15"/>
    <x v="8"/>
    <x v="5"/>
    <x v="12"/>
    <n v="534"/>
  </r>
  <r>
    <x v="1826"/>
    <x v="41"/>
    <x v="17"/>
    <n v="20"/>
    <x v="10"/>
    <x v="112"/>
    <x v="0"/>
    <x v="3"/>
    <x v="7"/>
    <n v="94"/>
  </r>
  <r>
    <x v="1827"/>
    <x v="5"/>
    <x v="19"/>
    <n v="10"/>
    <x v="0"/>
    <x v="110"/>
    <x v="5"/>
    <x v="6"/>
    <x v="3"/>
    <n v="5"/>
  </r>
  <r>
    <x v="1828"/>
    <x v="61"/>
    <x v="3"/>
    <n v="180"/>
    <x v="2"/>
    <x v="474"/>
    <x v="15"/>
    <x v="1"/>
    <x v="23"/>
    <n v="917"/>
  </r>
  <r>
    <x v="1829"/>
    <x v="122"/>
    <x v="3"/>
    <m/>
    <x v="0"/>
    <x v="332"/>
    <x v="0"/>
    <x v="0"/>
    <x v="1"/>
    <n v="7400"/>
  </r>
  <r>
    <x v="1830"/>
    <x v="5"/>
    <x v="12"/>
    <m/>
    <x v="0"/>
    <x v="71"/>
    <x v="3"/>
    <x v="0"/>
    <x v="3"/>
    <m/>
  </r>
  <r>
    <x v="1831"/>
    <x v="35"/>
    <x v="20"/>
    <m/>
    <x v="0"/>
    <x v="270"/>
    <x v="7"/>
    <x v="5"/>
    <x v="17"/>
    <n v="100"/>
  </r>
  <r>
    <x v="1832"/>
    <x v="7"/>
    <x v="23"/>
    <m/>
    <x v="20"/>
    <x v="233"/>
    <x v="1"/>
    <x v="6"/>
    <x v="4"/>
    <n v="6"/>
  </r>
  <r>
    <x v="1833"/>
    <x v="1"/>
    <x v="3"/>
    <n v="1600"/>
    <x v="7"/>
    <x v="128"/>
    <x v="12"/>
    <x v="7"/>
    <x v="1"/>
    <n v="6"/>
  </r>
  <r>
    <x v="1834"/>
    <x v="43"/>
    <x v="12"/>
    <m/>
    <x v="0"/>
    <x v="157"/>
    <x v="0"/>
    <x v="2"/>
    <x v="18"/>
    <n v="69"/>
  </r>
  <r>
    <x v="1835"/>
    <x v="1"/>
    <x v="10"/>
    <n v="200"/>
    <x v="0"/>
    <x v="243"/>
    <x v="9"/>
    <x v="4"/>
    <x v="1"/>
    <n v="102"/>
  </r>
  <r>
    <x v="1836"/>
    <x v="1"/>
    <x v="3"/>
    <n v="63"/>
    <x v="0"/>
    <x v="475"/>
    <x v="23"/>
    <x v="0"/>
    <x v="1"/>
    <n v="56"/>
  </r>
  <r>
    <x v="1836"/>
    <x v="1"/>
    <x v="3"/>
    <n v="1000"/>
    <x v="3"/>
    <x v="225"/>
    <x v="5"/>
    <x v="0"/>
    <x v="1"/>
    <n v="56"/>
  </r>
  <r>
    <x v="1837"/>
    <x v="4"/>
    <x v="2"/>
    <m/>
    <x v="4"/>
    <x v="169"/>
    <x v="3"/>
    <x v="0"/>
    <x v="1"/>
    <n v="117"/>
  </r>
  <r>
    <x v="1838"/>
    <x v="189"/>
    <x v="12"/>
    <m/>
    <x v="0"/>
    <x v="362"/>
    <x v="5"/>
    <x v="3"/>
    <x v="58"/>
    <n v="23"/>
  </r>
  <r>
    <x v="1839"/>
    <x v="80"/>
    <x v="27"/>
    <n v="140"/>
    <x v="31"/>
    <x v="201"/>
    <x v="6"/>
    <x v="11"/>
    <x v="6"/>
    <n v="3"/>
  </r>
  <r>
    <x v="1840"/>
    <x v="29"/>
    <x v="11"/>
    <n v="18"/>
    <x v="0"/>
    <x v="257"/>
    <x v="14"/>
    <x v="2"/>
    <x v="1"/>
    <n v="16"/>
  </r>
  <r>
    <x v="1841"/>
    <x v="4"/>
    <x v="2"/>
    <n v="70"/>
    <x v="2"/>
    <x v="67"/>
    <x v="2"/>
    <x v="6"/>
    <x v="1"/>
    <n v="436"/>
  </r>
  <r>
    <x v="1842"/>
    <x v="54"/>
    <x v="9"/>
    <m/>
    <x v="20"/>
    <x v="332"/>
    <x v="0"/>
    <x v="6"/>
    <x v="4"/>
    <n v="2"/>
  </r>
  <r>
    <x v="1843"/>
    <x v="5"/>
    <x v="9"/>
    <n v="100"/>
    <x v="24"/>
    <x v="476"/>
    <x v="17"/>
    <x v="2"/>
    <x v="1"/>
    <n v="29"/>
  </r>
  <r>
    <x v="1844"/>
    <x v="16"/>
    <x v="4"/>
    <m/>
    <x v="0"/>
    <x v="162"/>
    <x v="12"/>
    <x v="0"/>
    <x v="7"/>
    <n v="467"/>
  </r>
  <r>
    <x v="1845"/>
    <x v="43"/>
    <x v="9"/>
    <m/>
    <x v="10"/>
    <x v="41"/>
    <x v="17"/>
    <x v="9"/>
    <x v="18"/>
    <n v="300"/>
  </r>
  <r>
    <x v="1846"/>
    <x v="142"/>
    <x v="4"/>
    <m/>
    <x v="0"/>
    <x v="117"/>
    <x v="3"/>
    <x v="7"/>
    <x v="1"/>
    <n v="62"/>
  </r>
  <r>
    <x v="1846"/>
    <x v="142"/>
    <x v="4"/>
    <m/>
    <x v="30"/>
    <x v="17"/>
    <x v="7"/>
    <x v="7"/>
    <x v="1"/>
    <n v="62"/>
  </r>
  <r>
    <x v="1847"/>
    <x v="43"/>
    <x v="12"/>
    <n v="85"/>
    <x v="3"/>
    <x v="64"/>
    <x v="1"/>
    <x v="4"/>
    <x v="18"/>
    <n v="202"/>
  </r>
  <r>
    <x v="1848"/>
    <x v="16"/>
    <x v="12"/>
    <n v="75"/>
    <x v="73"/>
    <x v="423"/>
    <x v="23"/>
    <x v="3"/>
    <x v="7"/>
    <n v="60"/>
  </r>
  <r>
    <x v="1849"/>
    <x v="29"/>
    <x v="20"/>
    <m/>
    <x v="0"/>
    <x v="119"/>
    <x v="2"/>
    <x v="4"/>
    <x v="1"/>
    <n v="277"/>
  </r>
  <r>
    <x v="1850"/>
    <x v="35"/>
    <x v="20"/>
    <n v="30"/>
    <x v="7"/>
    <x v="87"/>
    <x v="1"/>
    <x v="6"/>
    <x v="17"/>
    <n v="51"/>
  </r>
  <r>
    <x v="1851"/>
    <x v="1"/>
    <x v="10"/>
    <n v="80"/>
    <x v="0"/>
    <x v="6"/>
    <x v="4"/>
    <x v="7"/>
    <x v="1"/>
    <n v="85"/>
  </r>
  <r>
    <x v="1851"/>
    <x v="1"/>
    <x v="10"/>
    <n v="350"/>
    <x v="13"/>
    <x v="238"/>
    <x v="2"/>
    <x v="7"/>
    <x v="1"/>
    <n v="85"/>
  </r>
  <r>
    <x v="1852"/>
    <x v="1"/>
    <x v="19"/>
    <n v="87"/>
    <x v="6"/>
    <x v="252"/>
    <x v="5"/>
    <x v="4"/>
    <x v="1"/>
    <n v="583"/>
  </r>
  <r>
    <x v="1853"/>
    <x v="24"/>
    <x v="6"/>
    <m/>
    <x v="8"/>
    <x v="6"/>
    <x v="4"/>
    <x v="3"/>
    <x v="12"/>
    <n v="20"/>
  </r>
  <r>
    <x v="1853"/>
    <x v="24"/>
    <x v="6"/>
    <n v="200"/>
    <x v="0"/>
    <x v="327"/>
    <x v="17"/>
    <x v="3"/>
    <x v="12"/>
    <n v="20"/>
  </r>
  <r>
    <x v="1854"/>
    <x v="16"/>
    <x v="19"/>
    <m/>
    <x v="0"/>
    <x v="398"/>
    <x v="7"/>
    <x v="5"/>
    <x v="7"/>
    <n v="107"/>
  </r>
  <r>
    <x v="1855"/>
    <x v="9"/>
    <x v="5"/>
    <m/>
    <x v="10"/>
    <x v="61"/>
    <x v="0"/>
    <x v="3"/>
    <x v="1"/>
    <n v="25"/>
  </r>
  <r>
    <x v="1856"/>
    <x v="9"/>
    <x v="28"/>
    <n v="17"/>
    <x v="30"/>
    <x v="30"/>
    <x v="14"/>
    <x v="4"/>
    <x v="1"/>
    <n v="91"/>
  </r>
  <r>
    <x v="1857"/>
    <x v="40"/>
    <x v="12"/>
    <m/>
    <x v="10"/>
    <x v="374"/>
    <x v="1"/>
    <x v="2"/>
    <x v="4"/>
    <n v="25"/>
  </r>
  <r>
    <x v="1858"/>
    <x v="14"/>
    <x v="18"/>
    <m/>
    <x v="0"/>
    <x v="30"/>
    <x v="14"/>
    <x v="1"/>
    <x v="1"/>
    <n v="130"/>
  </r>
  <r>
    <x v="1859"/>
    <x v="3"/>
    <x v="12"/>
    <m/>
    <x v="0"/>
    <x v="225"/>
    <x v="5"/>
    <x v="6"/>
    <x v="1"/>
    <n v="217"/>
  </r>
  <r>
    <x v="1860"/>
    <x v="1"/>
    <x v="23"/>
    <n v="64"/>
    <x v="58"/>
    <x v="95"/>
    <x v="8"/>
    <x v="4"/>
    <x v="1"/>
    <n v="151"/>
  </r>
  <r>
    <x v="1860"/>
    <x v="1"/>
    <x v="23"/>
    <n v="73"/>
    <x v="31"/>
    <x v="267"/>
    <x v="10"/>
    <x v="3"/>
    <x v="1"/>
    <n v="79"/>
  </r>
  <r>
    <x v="1860"/>
    <x v="1"/>
    <x v="23"/>
    <n v="80"/>
    <x v="8"/>
    <x v="309"/>
    <x v="14"/>
    <x v="3"/>
    <x v="1"/>
    <n v="79"/>
  </r>
  <r>
    <x v="1861"/>
    <x v="122"/>
    <x v="3"/>
    <m/>
    <x v="10"/>
    <x v="180"/>
    <x v="0"/>
    <x v="8"/>
    <x v="23"/>
    <n v="892"/>
  </r>
  <r>
    <x v="1862"/>
    <x v="43"/>
    <x v="12"/>
    <m/>
    <x v="0"/>
    <x v="477"/>
    <x v="2"/>
    <x v="6"/>
    <x v="18"/>
    <n v="389"/>
  </r>
  <r>
    <x v="1863"/>
    <x v="21"/>
    <x v="4"/>
    <n v="44"/>
    <x v="13"/>
    <x v="147"/>
    <x v="5"/>
    <x v="5"/>
    <x v="9"/>
    <n v="307"/>
  </r>
  <r>
    <x v="1863"/>
    <x v="21"/>
    <x v="4"/>
    <n v="100"/>
    <x v="5"/>
    <x v="420"/>
    <x v="23"/>
    <x v="5"/>
    <x v="9"/>
    <n v="307"/>
  </r>
  <r>
    <x v="1864"/>
    <x v="9"/>
    <x v="23"/>
    <n v="300"/>
    <x v="13"/>
    <x v="92"/>
    <x v="8"/>
    <x v="0"/>
    <x v="1"/>
    <n v="97"/>
  </r>
  <r>
    <x v="1864"/>
    <x v="9"/>
    <x v="23"/>
    <n v="2000"/>
    <x v="9"/>
    <x v="478"/>
    <x v="22"/>
    <x v="0"/>
    <x v="1"/>
    <n v="97"/>
  </r>
  <r>
    <x v="1865"/>
    <x v="1"/>
    <x v="19"/>
    <m/>
    <x v="0"/>
    <x v="479"/>
    <x v="20"/>
    <x v="4"/>
    <x v="1"/>
    <n v="120"/>
  </r>
  <r>
    <x v="1866"/>
    <x v="14"/>
    <x v="0"/>
    <n v="100"/>
    <x v="7"/>
    <x v="129"/>
    <x v="14"/>
    <x v="7"/>
    <x v="1"/>
    <n v="107"/>
  </r>
  <r>
    <x v="1867"/>
    <x v="3"/>
    <x v="21"/>
    <n v="400"/>
    <x v="65"/>
    <x v="76"/>
    <x v="14"/>
    <x v="3"/>
    <x v="1"/>
    <n v="219"/>
  </r>
  <r>
    <x v="1868"/>
    <x v="122"/>
    <x v="23"/>
    <m/>
    <x v="7"/>
    <x v="56"/>
    <x v="6"/>
    <x v="6"/>
    <x v="23"/>
    <n v="2100"/>
  </r>
  <r>
    <x v="1869"/>
    <x v="4"/>
    <x v="4"/>
    <m/>
    <x v="7"/>
    <x v="185"/>
    <x v="5"/>
    <x v="5"/>
    <x v="1"/>
    <n v="140"/>
  </r>
  <r>
    <x v="1870"/>
    <x v="80"/>
    <x v="9"/>
    <n v="100"/>
    <x v="30"/>
    <x v="480"/>
    <x v="2"/>
    <x v="16"/>
    <x v="6"/>
    <n v="914"/>
  </r>
  <r>
    <x v="1870"/>
    <x v="80"/>
    <x v="9"/>
    <n v="520"/>
    <x v="35"/>
    <x v="371"/>
    <x v="10"/>
    <x v="16"/>
    <x v="6"/>
    <n v="914"/>
  </r>
  <r>
    <x v="1870"/>
    <x v="24"/>
    <x v="9"/>
    <m/>
    <x v="0"/>
    <x v="481"/>
    <x v="27"/>
    <x v="16"/>
    <x v="12"/>
    <n v="914"/>
  </r>
  <r>
    <x v="1871"/>
    <x v="1"/>
    <x v="20"/>
    <n v="1300"/>
    <x v="6"/>
    <x v="290"/>
    <x v="12"/>
    <x v="0"/>
    <x v="1"/>
    <n v="276"/>
  </r>
  <r>
    <x v="1872"/>
    <x v="7"/>
    <x v="0"/>
    <m/>
    <x v="14"/>
    <x v="15"/>
    <x v="8"/>
    <x v="3"/>
    <x v="4"/>
    <n v="105"/>
  </r>
  <r>
    <x v="1873"/>
    <x v="43"/>
    <x v="23"/>
    <n v="50"/>
    <x v="0"/>
    <x v="124"/>
    <x v="0"/>
    <x v="4"/>
    <x v="18"/>
    <n v="25"/>
  </r>
  <r>
    <x v="1874"/>
    <x v="1"/>
    <x v="0"/>
    <n v="100"/>
    <x v="10"/>
    <x v="231"/>
    <x v="5"/>
    <x v="3"/>
    <x v="1"/>
    <n v="955"/>
  </r>
  <r>
    <x v="1874"/>
    <x v="1"/>
    <x v="0"/>
    <n v="120"/>
    <x v="0"/>
    <x v="57"/>
    <x v="5"/>
    <x v="3"/>
    <x v="1"/>
    <n v="955"/>
  </r>
  <r>
    <x v="1875"/>
    <x v="1"/>
    <x v="22"/>
    <n v="177"/>
    <x v="16"/>
    <x v="69"/>
    <x v="9"/>
    <x v="0"/>
    <x v="1"/>
    <n v="148"/>
  </r>
  <r>
    <x v="1876"/>
    <x v="9"/>
    <x v="4"/>
    <m/>
    <x v="0"/>
    <x v="476"/>
    <x v="17"/>
    <x v="7"/>
    <x v="1"/>
    <n v="194"/>
  </r>
  <r>
    <x v="1877"/>
    <x v="1"/>
    <x v="0"/>
    <n v="28"/>
    <x v="0"/>
    <x v="250"/>
    <x v="5"/>
    <x v="4"/>
    <x v="1"/>
    <n v="71"/>
  </r>
  <r>
    <x v="1878"/>
    <x v="1"/>
    <x v="9"/>
    <n v="200"/>
    <x v="34"/>
    <x v="54"/>
    <x v="5"/>
    <x v="6"/>
    <x v="1"/>
    <n v="423"/>
  </r>
  <r>
    <x v="1879"/>
    <x v="1"/>
    <x v="23"/>
    <n v="45"/>
    <x v="6"/>
    <x v="228"/>
    <x v="6"/>
    <x v="5"/>
    <x v="1"/>
    <n v="178"/>
  </r>
  <r>
    <x v="1880"/>
    <x v="1"/>
    <x v="12"/>
    <m/>
    <x v="33"/>
    <x v="32"/>
    <x v="0"/>
    <x v="0"/>
    <x v="1"/>
    <n v="647"/>
  </r>
  <r>
    <x v="1881"/>
    <x v="3"/>
    <x v="28"/>
    <m/>
    <x v="0"/>
    <x v="194"/>
    <x v="14"/>
    <x v="3"/>
    <x v="1"/>
    <n v="164"/>
  </r>
  <r>
    <x v="1881"/>
    <x v="3"/>
    <x v="28"/>
    <n v="150"/>
    <x v="0"/>
    <x v="438"/>
    <x v="17"/>
    <x v="4"/>
    <x v="1"/>
    <n v="619"/>
  </r>
  <r>
    <x v="1882"/>
    <x v="1"/>
    <x v="20"/>
    <n v="80"/>
    <x v="0"/>
    <x v="1"/>
    <x v="1"/>
    <x v="7"/>
    <x v="1"/>
    <n v="974"/>
  </r>
  <r>
    <x v="1882"/>
    <x v="1"/>
    <x v="20"/>
    <n v="80"/>
    <x v="0"/>
    <x v="94"/>
    <x v="4"/>
    <x v="7"/>
    <x v="1"/>
    <n v="974"/>
  </r>
  <r>
    <x v="1882"/>
    <x v="1"/>
    <x v="20"/>
    <n v="120"/>
    <x v="0"/>
    <x v="482"/>
    <x v="26"/>
    <x v="0"/>
    <x v="1"/>
    <n v="974"/>
  </r>
  <r>
    <x v="1882"/>
    <x v="1"/>
    <x v="20"/>
    <m/>
    <x v="10"/>
    <x v="134"/>
    <x v="10"/>
    <x v="4"/>
    <x v="1"/>
    <n v="574"/>
  </r>
  <r>
    <x v="1883"/>
    <x v="114"/>
    <x v="12"/>
    <m/>
    <x v="0"/>
    <x v="227"/>
    <x v="0"/>
    <x v="7"/>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88E8EF-F80C-46E9-9A38-DF92231767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1">
    <pivotField showAll="0"/>
    <pivotField showAll="0"/>
    <pivotField showAll="0"/>
    <pivotField dataField="1" showAll="0"/>
    <pivotField showAll="0"/>
    <pivotField showAll="0">
      <items count="484">
        <item x="286"/>
        <item x="455"/>
        <item x="340"/>
        <item x="334"/>
        <item x="311"/>
        <item x="79"/>
        <item x="257"/>
        <item x="194"/>
        <item x="309"/>
        <item x="235"/>
        <item x="123"/>
        <item x="129"/>
        <item x="434"/>
        <item x="76"/>
        <item x="161"/>
        <item x="30"/>
        <item x="22"/>
        <item x="7"/>
        <item x="57"/>
        <item x="349"/>
        <item x="102"/>
        <item x="145"/>
        <item x="98"/>
        <item x="185"/>
        <item x="225"/>
        <item x="106"/>
        <item x="231"/>
        <item x="110"/>
        <item x="54"/>
        <item x="206"/>
        <item x="147"/>
        <item x="394"/>
        <item x="250"/>
        <item x="179"/>
        <item x="48"/>
        <item x="252"/>
        <item x="28"/>
        <item x="415"/>
        <item x="114"/>
        <item x="84"/>
        <item x="362"/>
        <item x="43"/>
        <item x="113"/>
        <item x="382"/>
        <item x="204"/>
        <item x="40"/>
        <item x="306"/>
        <item x="49"/>
        <item x="399"/>
        <item x="195"/>
        <item x="267"/>
        <item x="134"/>
        <item x="256"/>
        <item x="371"/>
        <item x="385"/>
        <item x="37"/>
        <item x="272"/>
        <item x="355"/>
        <item x="260"/>
        <item x="457"/>
        <item x="202"/>
        <item x="23"/>
        <item x="289"/>
        <item x="167"/>
        <item x="176"/>
        <item x="255"/>
        <item x="226"/>
        <item x="254"/>
        <item x="181"/>
        <item x="298"/>
        <item x="354"/>
        <item x="335"/>
        <item x="174"/>
        <item x="454"/>
        <item x="249"/>
        <item x="328"/>
        <item x="400"/>
        <item x="103"/>
        <item x="469"/>
        <item x="356"/>
        <item x="264"/>
        <item x="323"/>
        <item x="448"/>
        <item x="192"/>
        <item x="296"/>
        <item x="91"/>
        <item x="317"/>
        <item x="331"/>
        <item x="315"/>
        <item x="420"/>
        <item x="155"/>
        <item x="475"/>
        <item x="443"/>
        <item x="411"/>
        <item x="444"/>
        <item x="258"/>
        <item x="376"/>
        <item x="379"/>
        <item x="219"/>
        <item x="423"/>
        <item x="427"/>
        <item x="418"/>
        <item x="166"/>
        <item x="464"/>
        <item x="459"/>
        <item x="322"/>
        <item x="288"/>
        <item x="395"/>
        <item x="339"/>
        <item x="357"/>
        <item x="276"/>
        <item x="384"/>
        <item x="277"/>
        <item x="450"/>
        <item x="446"/>
        <item x="367"/>
        <item x="386"/>
        <item x="140"/>
        <item x="52"/>
        <item x="453"/>
        <item x="413"/>
        <item x="466"/>
        <item x="159"/>
        <item x="39"/>
        <item x="470"/>
        <item x="345"/>
        <item x="65"/>
        <item x="221"/>
        <item x="409"/>
        <item x="320"/>
        <item x="481"/>
        <item x="431"/>
        <item x="239"/>
        <item x="220"/>
        <item x="365"/>
        <item x="381"/>
        <item x="171"/>
        <item x="437"/>
        <item x="473"/>
        <item x="178"/>
        <item x="280"/>
        <item x="122"/>
        <item x="479"/>
        <item x="414"/>
        <item x="24"/>
        <item x="428"/>
        <item x="471"/>
        <item x="442"/>
        <item x="111"/>
        <item x="283"/>
        <item x="424"/>
        <item x="353"/>
        <item x="425"/>
        <item x="441"/>
        <item x="188"/>
        <item x="343"/>
        <item x="430"/>
        <item x="378"/>
        <item x="351"/>
        <item x="172"/>
        <item x="404"/>
        <item x="275"/>
        <item x="236"/>
        <item x="451"/>
        <item x="344"/>
        <item x="387"/>
        <item x="402"/>
        <item x="419"/>
        <item x="369"/>
        <item x="452"/>
        <item x="361"/>
        <item x="417"/>
        <item x="191"/>
        <item x="308"/>
        <item x="456"/>
        <item x="213"/>
        <item x="319"/>
        <item x="350"/>
        <item x="482"/>
        <item x="416"/>
        <item x="358"/>
        <item x="478"/>
        <item x="154"/>
        <item x="133"/>
        <item x="347"/>
        <item x="269"/>
        <item x="447"/>
        <item x="436"/>
        <item x="321"/>
        <item x="435"/>
        <item x="268"/>
        <item x="422"/>
        <item x="262"/>
        <item x="338"/>
        <item x="380"/>
        <item x="460"/>
        <item x="375"/>
        <item x="407"/>
        <item x="348"/>
        <item x="472"/>
        <item x="468"/>
        <item x="346"/>
        <item x="29"/>
        <item x="439"/>
        <item x="364"/>
        <item x="259"/>
        <item x="449"/>
        <item x="329"/>
        <item x="316"/>
        <item x="326"/>
        <item x="433"/>
        <item x="377"/>
        <item x="149"/>
        <item x="303"/>
        <item x="325"/>
        <item x="312"/>
        <item x="389"/>
        <item x="432"/>
        <item x="38"/>
        <item x="330"/>
        <item x="116"/>
        <item x="132"/>
        <item x="300"/>
        <item x="474"/>
        <item x="237"/>
        <item x="164"/>
        <item x="465"/>
        <item x="279"/>
        <item x="405"/>
        <item x="120"/>
        <item x="458"/>
        <item x="156"/>
        <item x="397"/>
        <item x="274"/>
        <item x="388"/>
        <item x="210"/>
        <item x="266"/>
        <item x="438"/>
        <item x="245"/>
        <item x="62"/>
        <item x="476"/>
        <item x="366"/>
        <item x="463"/>
        <item x="207"/>
        <item x="370"/>
        <item x="390"/>
        <item x="47"/>
        <item x="327"/>
        <item x="41"/>
        <item x="153"/>
        <item x="51"/>
        <item x="392"/>
        <item x="165"/>
        <item x="8"/>
        <item x="201"/>
        <item x="12"/>
        <item x="297"/>
        <item x="232"/>
        <item x="144"/>
        <item x="359"/>
        <item x="170"/>
        <item x="56"/>
        <item x="115"/>
        <item x="31"/>
        <item x="45"/>
        <item x="228"/>
        <item x="190"/>
        <item x="462"/>
        <item x="150"/>
        <item x="85"/>
        <item x="246"/>
        <item x="125"/>
        <item x="109"/>
        <item x="131"/>
        <item x="426"/>
        <item x="73"/>
        <item x="168"/>
        <item x="118"/>
        <item x="18"/>
        <item x="127"/>
        <item x="374"/>
        <item x="214"/>
        <item x="46"/>
        <item x="158"/>
        <item x="77"/>
        <item x="34"/>
        <item x="183"/>
        <item x="403"/>
        <item x="60"/>
        <item x="42"/>
        <item x="4"/>
        <item x="64"/>
        <item x="99"/>
        <item x="294"/>
        <item x="200"/>
        <item x="87"/>
        <item x="16"/>
        <item x="90"/>
        <item x="445"/>
        <item x="1"/>
        <item x="282"/>
        <item x="241"/>
        <item x="10"/>
        <item x="233"/>
        <item x="318"/>
        <item x="229"/>
        <item x="184"/>
        <item x="137"/>
        <item x="6"/>
        <item x="360"/>
        <item x="261"/>
        <item x="19"/>
        <item x="337"/>
        <item x="135"/>
        <item x="253"/>
        <item x="63"/>
        <item x="80"/>
        <item x="160"/>
        <item x="55"/>
        <item x="310"/>
        <item x="401"/>
        <item x="336"/>
        <item x="75"/>
        <item x="406"/>
        <item x="396"/>
        <item x="265"/>
        <item x="383"/>
        <item x="314"/>
        <item x="94"/>
        <item x="412"/>
        <item x="11"/>
        <item x="292"/>
        <item x="81"/>
        <item x="9"/>
        <item x="58"/>
        <item x="175"/>
        <item x="270"/>
        <item x="141"/>
        <item x="68"/>
        <item x="247"/>
        <item x="218"/>
        <item x="151"/>
        <item x="20"/>
        <item x="230"/>
        <item x="440"/>
        <item x="408"/>
        <item x="17"/>
        <item x="197"/>
        <item x="363"/>
        <item x="313"/>
        <item x="352"/>
        <item x="273"/>
        <item x="278"/>
        <item x="398"/>
        <item x="208"/>
        <item x="467"/>
        <item x="25"/>
        <item x="15"/>
        <item x="182"/>
        <item x="105"/>
        <item x="143"/>
        <item x="333"/>
        <item x="177"/>
        <item x="13"/>
        <item x="299"/>
        <item x="138"/>
        <item x="307"/>
        <item x="27"/>
        <item x="301"/>
        <item x="104"/>
        <item x="95"/>
        <item x="295"/>
        <item x="78"/>
        <item x="216"/>
        <item x="196"/>
        <item x="92"/>
        <item x="324"/>
        <item x="33"/>
        <item x="284"/>
        <item x="93"/>
        <item x="148"/>
        <item x="35"/>
        <item x="130"/>
        <item x="173"/>
        <item x="238"/>
        <item x="101"/>
        <item x="72"/>
        <item x="119"/>
        <item x="222"/>
        <item x="203"/>
        <item x="83"/>
        <item x="67"/>
        <item x="2"/>
        <item x="199"/>
        <item x="480"/>
        <item x="271"/>
        <item x="305"/>
        <item x="100"/>
        <item x="372"/>
        <item x="211"/>
        <item x="477"/>
        <item x="217"/>
        <item x="50"/>
        <item x="146"/>
        <item x="281"/>
        <item x="157"/>
        <item x="240"/>
        <item x="187"/>
        <item x="86"/>
        <item x="32"/>
        <item x="227"/>
        <item x="44"/>
        <item x="61"/>
        <item x="112"/>
        <item x="126"/>
        <item x="291"/>
        <item x="224"/>
        <item x="82"/>
        <item x="0"/>
        <item x="332"/>
        <item x="180"/>
        <item x="373"/>
        <item x="429"/>
        <item x="124"/>
        <item x="293"/>
        <item x="421"/>
        <item x="142"/>
        <item x="70"/>
        <item x="189"/>
        <item x="66"/>
        <item x="107"/>
        <item x="121"/>
        <item x="391"/>
        <item x="215"/>
        <item x="5"/>
        <item x="209"/>
        <item x="53"/>
        <item x="88"/>
        <item x="139"/>
        <item x="234"/>
        <item x="71"/>
        <item x="14"/>
        <item x="198"/>
        <item x="117"/>
        <item x="186"/>
        <item x="169"/>
        <item x="163"/>
        <item x="205"/>
        <item x="248"/>
        <item x="3"/>
        <item x="242"/>
        <item x="341"/>
        <item x="96"/>
        <item x="108"/>
        <item x="26"/>
        <item x="97"/>
        <item x="302"/>
        <item x="368"/>
        <item x="193"/>
        <item x="290"/>
        <item x="36"/>
        <item x="128"/>
        <item x="410"/>
        <item x="393"/>
        <item x="212"/>
        <item x="244"/>
        <item x="136"/>
        <item x="251"/>
        <item x="223"/>
        <item x="342"/>
        <item x="304"/>
        <item x="162"/>
        <item x="89"/>
        <item x="263"/>
        <item x="287"/>
        <item x="461"/>
        <item x="152"/>
        <item x="74"/>
        <item x="285"/>
        <item x="243"/>
        <item x="69"/>
        <item x="21"/>
        <item x="59"/>
        <item t="default"/>
      </items>
    </pivotField>
    <pivotField showAll="0"/>
    <pivotField showAll="0">
      <items count="18">
        <item x="7"/>
        <item x="9"/>
        <item x="0"/>
        <item x="10"/>
        <item x="11"/>
        <item x="2"/>
        <item x="3"/>
        <item x="4"/>
        <item x="5"/>
        <item x="1"/>
        <item x="8"/>
        <item x="13"/>
        <item x="12"/>
        <item x="14"/>
        <item x="16"/>
        <item x="15"/>
        <item x="6"/>
        <item t="default"/>
      </items>
    </pivotField>
    <pivotField showAll="0">
      <items count="60">
        <item x="30"/>
        <item x="4"/>
        <item x="25"/>
        <item x="52"/>
        <item x="35"/>
        <item x="3"/>
        <item x="53"/>
        <item x="0"/>
        <item x="22"/>
        <item x="23"/>
        <item x="8"/>
        <item x="45"/>
        <item x="11"/>
        <item x="31"/>
        <item x="49"/>
        <item x="13"/>
        <item x="20"/>
        <item x="7"/>
        <item x="56"/>
        <item x="21"/>
        <item x="16"/>
        <item x="26"/>
        <item x="6"/>
        <item x="12"/>
        <item x="2"/>
        <item x="17"/>
        <item x="33"/>
        <item x="37"/>
        <item x="34"/>
        <item x="55"/>
        <item x="46"/>
        <item x="32"/>
        <item x="27"/>
        <item x="40"/>
        <item x="28"/>
        <item x="39"/>
        <item x="14"/>
        <item x="48"/>
        <item x="10"/>
        <item x="36"/>
        <item x="29"/>
        <item x="38"/>
        <item x="41"/>
        <item x="15"/>
        <item x="57"/>
        <item x="24"/>
        <item x="9"/>
        <item x="58"/>
        <item x="44"/>
        <item x="43"/>
        <item x="5"/>
        <item x="47"/>
        <item x="50"/>
        <item x="42"/>
        <item x="19"/>
        <item x="18"/>
        <item x="1"/>
        <item x="54"/>
        <item x="51"/>
        <item t="default"/>
      </items>
    </pivotField>
    <pivotField showAll="0"/>
    <pivotField axis="axisRow" showAll="0">
      <items count="7">
        <item x="0"/>
        <item x="1"/>
        <item x="2"/>
        <item x="3"/>
        <item x="4"/>
        <item x="5"/>
        <item t="default"/>
      </items>
    </pivotField>
  </pivotFields>
  <rowFields count="1">
    <field x="10"/>
  </rowFields>
  <rowItems count="5">
    <i>
      <x v="1"/>
    </i>
    <i>
      <x v="2"/>
    </i>
    <i>
      <x v="3"/>
    </i>
    <i>
      <x v="4"/>
    </i>
    <i t="grand">
      <x/>
    </i>
  </rowItems>
  <colItems count="1">
    <i/>
  </colItems>
  <dataFields count="1">
    <dataField name="Sum of total_laid_off" fld="3"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47F17-E266-46C8-89D9-67FAB7DE80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B13" firstHeaderRow="1" firstDataRow="1" firstDataCol="1"/>
  <pivotFields count="11">
    <pivotField axis="axisRow" showAll="0" measureFilter="1" sortType="descending">
      <items count="1886">
        <item x="1549"/>
        <item x="3"/>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0"/>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1"/>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8"/>
        <item x="1067"/>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13"/>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m="1" x="1884"/>
        <item t="default"/>
      </items>
      <autoSortScope>
        <pivotArea dataOnly="0" outline="0" fieldPosition="0">
          <references count="1">
            <reference field="4294967294" count="1" selected="0">
              <x v="0"/>
            </reference>
          </references>
        </pivotArea>
      </autoSortScope>
    </pivotField>
    <pivotField showAll="0"/>
    <pivotField showAll="0" measureFilter="1" sortType="descending">
      <autoSortScope>
        <pivotArea dataOnly="0" outline="0" fieldPosition="0">
          <references count="1">
            <reference field="4294967294" count="1" selected="0">
              <x v="0"/>
            </reference>
          </references>
        </pivotArea>
      </autoSortScope>
    </pivotField>
    <pivotField dataField="1" showAll="0"/>
    <pivotField showAll="0"/>
    <pivotField showAll="0">
      <items count="484">
        <item x="286"/>
        <item x="455"/>
        <item x="340"/>
        <item x="334"/>
        <item x="311"/>
        <item x="79"/>
        <item x="257"/>
        <item x="194"/>
        <item x="309"/>
        <item x="235"/>
        <item x="123"/>
        <item x="129"/>
        <item x="434"/>
        <item x="76"/>
        <item x="161"/>
        <item x="30"/>
        <item x="22"/>
        <item x="7"/>
        <item x="57"/>
        <item x="349"/>
        <item x="102"/>
        <item x="145"/>
        <item x="98"/>
        <item x="185"/>
        <item x="225"/>
        <item x="106"/>
        <item x="231"/>
        <item x="110"/>
        <item x="54"/>
        <item x="206"/>
        <item x="147"/>
        <item x="394"/>
        <item x="250"/>
        <item x="179"/>
        <item x="48"/>
        <item x="252"/>
        <item x="28"/>
        <item x="415"/>
        <item x="114"/>
        <item x="84"/>
        <item x="362"/>
        <item x="43"/>
        <item x="113"/>
        <item x="382"/>
        <item x="204"/>
        <item x="40"/>
        <item x="306"/>
        <item x="49"/>
        <item x="399"/>
        <item x="195"/>
        <item x="267"/>
        <item x="134"/>
        <item x="256"/>
        <item x="371"/>
        <item x="385"/>
        <item x="37"/>
        <item x="272"/>
        <item x="355"/>
        <item x="260"/>
        <item x="457"/>
        <item x="202"/>
        <item x="23"/>
        <item x="289"/>
        <item x="167"/>
        <item x="176"/>
        <item x="255"/>
        <item x="226"/>
        <item x="254"/>
        <item x="181"/>
        <item x="298"/>
        <item x="354"/>
        <item x="335"/>
        <item x="174"/>
        <item x="454"/>
        <item x="249"/>
        <item x="328"/>
        <item x="400"/>
        <item x="103"/>
        <item x="469"/>
        <item x="356"/>
        <item x="264"/>
        <item x="323"/>
        <item x="448"/>
        <item x="192"/>
        <item x="296"/>
        <item x="91"/>
        <item x="317"/>
        <item x="331"/>
        <item x="315"/>
        <item x="420"/>
        <item x="155"/>
        <item x="475"/>
        <item x="443"/>
        <item x="411"/>
        <item x="444"/>
        <item x="258"/>
        <item x="376"/>
        <item x="379"/>
        <item x="219"/>
        <item x="423"/>
        <item x="427"/>
        <item x="418"/>
        <item x="166"/>
        <item x="464"/>
        <item x="459"/>
        <item x="322"/>
        <item x="288"/>
        <item x="395"/>
        <item x="339"/>
        <item x="357"/>
        <item x="276"/>
        <item x="384"/>
        <item x="277"/>
        <item x="450"/>
        <item x="446"/>
        <item x="367"/>
        <item x="386"/>
        <item x="140"/>
        <item x="52"/>
        <item x="453"/>
        <item x="413"/>
        <item x="466"/>
        <item x="159"/>
        <item x="39"/>
        <item x="470"/>
        <item x="345"/>
        <item x="65"/>
        <item x="221"/>
        <item x="409"/>
        <item x="320"/>
        <item x="481"/>
        <item x="431"/>
        <item x="239"/>
        <item x="220"/>
        <item x="365"/>
        <item x="381"/>
        <item x="171"/>
        <item x="437"/>
        <item x="473"/>
        <item x="178"/>
        <item x="280"/>
        <item x="122"/>
        <item x="479"/>
        <item x="414"/>
        <item x="24"/>
        <item x="428"/>
        <item x="471"/>
        <item x="442"/>
        <item x="111"/>
        <item x="283"/>
        <item x="424"/>
        <item x="353"/>
        <item x="425"/>
        <item x="441"/>
        <item x="188"/>
        <item x="343"/>
        <item x="430"/>
        <item x="378"/>
        <item x="351"/>
        <item x="172"/>
        <item x="404"/>
        <item x="275"/>
        <item x="236"/>
        <item x="451"/>
        <item x="344"/>
        <item x="387"/>
        <item x="402"/>
        <item x="419"/>
        <item x="369"/>
        <item x="452"/>
        <item x="361"/>
        <item x="417"/>
        <item x="191"/>
        <item x="308"/>
        <item x="456"/>
        <item x="213"/>
        <item x="319"/>
        <item x="350"/>
        <item x="482"/>
        <item x="416"/>
        <item x="358"/>
        <item x="478"/>
        <item x="154"/>
        <item x="133"/>
        <item x="347"/>
        <item x="269"/>
        <item x="447"/>
        <item x="436"/>
        <item x="321"/>
        <item x="435"/>
        <item x="268"/>
        <item x="422"/>
        <item x="262"/>
        <item x="338"/>
        <item x="380"/>
        <item x="460"/>
        <item x="375"/>
        <item x="407"/>
        <item x="348"/>
        <item x="472"/>
        <item x="468"/>
        <item x="346"/>
        <item x="29"/>
        <item x="439"/>
        <item x="364"/>
        <item x="259"/>
        <item x="449"/>
        <item x="329"/>
        <item x="316"/>
        <item x="326"/>
        <item x="433"/>
        <item x="377"/>
        <item x="149"/>
        <item x="303"/>
        <item x="325"/>
        <item x="312"/>
        <item x="389"/>
        <item x="432"/>
        <item x="38"/>
        <item x="330"/>
        <item x="116"/>
        <item x="132"/>
        <item x="300"/>
        <item x="474"/>
        <item x="237"/>
        <item x="164"/>
        <item x="465"/>
        <item x="279"/>
        <item x="405"/>
        <item x="120"/>
        <item x="458"/>
        <item x="156"/>
        <item x="397"/>
        <item x="274"/>
        <item x="388"/>
        <item x="210"/>
        <item x="266"/>
        <item x="438"/>
        <item x="245"/>
        <item x="62"/>
        <item x="476"/>
        <item x="366"/>
        <item x="463"/>
        <item x="207"/>
        <item x="370"/>
        <item x="390"/>
        <item x="47"/>
        <item x="327"/>
        <item x="41"/>
        <item x="153"/>
        <item x="51"/>
        <item x="392"/>
        <item x="165"/>
        <item x="8"/>
        <item x="201"/>
        <item x="12"/>
        <item x="297"/>
        <item x="232"/>
        <item x="144"/>
        <item x="359"/>
        <item x="170"/>
        <item x="56"/>
        <item x="115"/>
        <item x="31"/>
        <item x="45"/>
        <item x="228"/>
        <item x="190"/>
        <item x="462"/>
        <item x="150"/>
        <item x="85"/>
        <item x="246"/>
        <item x="125"/>
        <item x="109"/>
        <item x="131"/>
        <item x="426"/>
        <item x="73"/>
        <item x="168"/>
        <item x="118"/>
        <item x="18"/>
        <item x="127"/>
        <item x="374"/>
        <item x="214"/>
        <item x="46"/>
        <item x="158"/>
        <item x="77"/>
        <item x="34"/>
        <item x="183"/>
        <item x="403"/>
        <item x="60"/>
        <item x="42"/>
        <item x="4"/>
        <item x="64"/>
        <item x="99"/>
        <item x="294"/>
        <item x="200"/>
        <item x="87"/>
        <item x="16"/>
        <item x="90"/>
        <item x="445"/>
        <item x="1"/>
        <item x="282"/>
        <item x="241"/>
        <item x="10"/>
        <item x="233"/>
        <item x="318"/>
        <item x="229"/>
        <item x="184"/>
        <item x="137"/>
        <item x="6"/>
        <item x="360"/>
        <item x="261"/>
        <item x="19"/>
        <item x="337"/>
        <item x="135"/>
        <item x="253"/>
        <item x="63"/>
        <item x="80"/>
        <item x="160"/>
        <item x="55"/>
        <item x="310"/>
        <item x="401"/>
        <item x="336"/>
        <item x="75"/>
        <item x="406"/>
        <item x="396"/>
        <item x="265"/>
        <item x="383"/>
        <item x="314"/>
        <item x="94"/>
        <item x="412"/>
        <item x="11"/>
        <item x="292"/>
        <item x="81"/>
        <item x="9"/>
        <item x="58"/>
        <item x="175"/>
        <item x="270"/>
        <item x="141"/>
        <item x="68"/>
        <item x="247"/>
        <item x="218"/>
        <item x="151"/>
        <item x="20"/>
        <item x="230"/>
        <item x="440"/>
        <item x="408"/>
        <item x="17"/>
        <item x="197"/>
        <item x="363"/>
        <item x="313"/>
        <item x="352"/>
        <item x="273"/>
        <item x="278"/>
        <item x="398"/>
        <item x="208"/>
        <item x="467"/>
        <item x="25"/>
        <item x="15"/>
        <item x="182"/>
        <item x="105"/>
        <item x="143"/>
        <item x="333"/>
        <item x="177"/>
        <item x="13"/>
        <item x="299"/>
        <item x="138"/>
        <item x="307"/>
        <item x="27"/>
        <item x="301"/>
        <item x="104"/>
        <item x="95"/>
        <item x="295"/>
        <item x="78"/>
        <item x="216"/>
        <item x="196"/>
        <item x="92"/>
        <item x="324"/>
        <item x="33"/>
        <item x="284"/>
        <item x="93"/>
        <item x="148"/>
        <item x="35"/>
        <item x="130"/>
        <item x="173"/>
        <item x="238"/>
        <item x="101"/>
        <item x="72"/>
        <item x="119"/>
        <item x="222"/>
        <item x="203"/>
        <item x="83"/>
        <item x="67"/>
        <item x="2"/>
        <item x="199"/>
        <item x="480"/>
        <item x="271"/>
        <item x="305"/>
        <item x="100"/>
        <item x="372"/>
        <item x="211"/>
        <item x="477"/>
        <item x="217"/>
        <item x="50"/>
        <item x="146"/>
        <item x="281"/>
        <item x="157"/>
        <item x="240"/>
        <item x="187"/>
        <item x="86"/>
        <item x="32"/>
        <item x="227"/>
        <item x="44"/>
        <item x="61"/>
        <item x="112"/>
        <item x="126"/>
        <item x="291"/>
        <item x="224"/>
        <item x="82"/>
        <item x="0"/>
        <item x="332"/>
        <item x="180"/>
        <item x="373"/>
        <item x="429"/>
        <item x="124"/>
        <item x="293"/>
        <item x="421"/>
        <item x="142"/>
        <item x="70"/>
        <item x="189"/>
        <item x="66"/>
        <item x="107"/>
        <item x="121"/>
        <item x="391"/>
        <item x="215"/>
        <item x="5"/>
        <item x="209"/>
        <item x="53"/>
        <item x="88"/>
        <item x="139"/>
        <item x="234"/>
        <item x="71"/>
        <item x="14"/>
        <item x="198"/>
        <item x="117"/>
        <item x="186"/>
        <item x="169"/>
        <item x="163"/>
        <item x="205"/>
        <item x="248"/>
        <item x="3"/>
        <item x="242"/>
        <item x="341"/>
        <item x="96"/>
        <item x="108"/>
        <item x="26"/>
        <item x="97"/>
        <item x="302"/>
        <item x="368"/>
        <item x="193"/>
        <item x="290"/>
        <item x="36"/>
        <item x="128"/>
        <item x="410"/>
        <item x="393"/>
        <item x="212"/>
        <item x="244"/>
        <item x="136"/>
        <item x="251"/>
        <item x="223"/>
        <item x="342"/>
        <item x="304"/>
        <item x="162"/>
        <item x="89"/>
        <item x="263"/>
        <item x="287"/>
        <item x="461"/>
        <item x="152"/>
        <item x="74"/>
        <item x="285"/>
        <item x="243"/>
        <item x="69"/>
        <item x="21"/>
        <item x="59"/>
        <item t="default"/>
      </items>
    </pivotField>
    <pivotField showAll="0"/>
    <pivotField showAll="0">
      <items count="18">
        <item x="7"/>
        <item x="9"/>
        <item x="0"/>
        <item x="10"/>
        <item x="11"/>
        <item x="2"/>
        <item x="3"/>
        <item x="4"/>
        <item x="5"/>
        <item x="1"/>
        <item x="8"/>
        <item x="13"/>
        <item x="12"/>
        <item x="14"/>
        <item x="16"/>
        <item x="15"/>
        <item x="6"/>
        <item t="default"/>
      </items>
    </pivotField>
    <pivotField showAll="0">
      <items count="60">
        <item x="30"/>
        <item x="4"/>
        <item x="25"/>
        <item x="52"/>
        <item x="35"/>
        <item x="3"/>
        <item x="53"/>
        <item x="0"/>
        <item x="22"/>
        <item x="23"/>
        <item x="8"/>
        <item x="45"/>
        <item x="11"/>
        <item x="31"/>
        <item x="49"/>
        <item x="13"/>
        <item x="20"/>
        <item x="7"/>
        <item x="56"/>
        <item x="21"/>
        <item x="16"/>
        <item x="26"/>
        <item x="6"/>
        <item x="12"/>
        <item x="2"/>
        <item x="17"/>
        <item x="33"/>
        <item x="37"/>
        <item x="34"/>
        <item x="55"/>
        <item x="46"/>
        <item x="32"/>
        <item x="27"/>
        <item x="40"/>
        <item x="28"/>
        <item x="39"/>
        <item x="14"/>
        <item x="48"/>
        <item x="10"/>
        <item x="36"/>
        <item x="29"/>
        <item x="38"/>
        <item x="41"/>
        <item x="15"/>
        <item x="57"/>
        <item x="24"/>
        <item x="9"/>
        <item x="58"/>
        <item x="44"/>
        <item x="43"/>
        <item x="5"/>
        <item x="47"/>
        <item x="50"/>
        <item x="42"/>
        <item x="19"/>
        <item x="18"/>
        <item x="1"/>
        <item x="54"/>
        <item x="51"/>
        <item t="default"/>
      </items>
    </pivotField>
    <pivotField showAll="0"/>
    <pivotField showAll="0">
      <items count="7">
        <item x="0"/>
        <item x="1"/>
        <item x="2"/>
        <item x="3"/>
        <item x="4"/>
        <item x="5"/>
        <item t="default"/>
      </items>
    </pivotField>
  </pivotFields>
  <rowFields count="1">
    <field x="0"/>
  </rowFields>
  <rowItems count="11">
    <i>
      <x v="62"/>
    </i>
    <i>
      <x v="678"/>
    </i>
    <i>
      <x v="1020"/>
    </i>
    <i>
      <x v="1385"/>
    </i>
    <i>
      <x v="1231"/>
    </i>
    <i>
      <x v="1026"/>
    </i>
    <i>
      <x v="539"/>
    </i>
    <i>
      <x v="1693"/>
    </i>
    <i>
      <x v="454"/>
    </i>
    <i>
      <x v="202"/>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0" filterVal="10"/>
        </filterColumn>
      </autoFilter>
    </filter>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0F97F-68F6-485E-8322-F7C751961C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B13" firstHeaderRow="1" firstDataRow="1" firstDataCol="1"/>
  <pivotFields count="11">
    <pivotField showAll="0"/>
    <pivotField showAll="0"/>
    <pivotField axis="axisRow" showAll="0" measureFilter="1" sortType="descending">
      <items count="32">
        <item x="16"/>
        <item x="27"/>
        <item x="3"/>
        <item x="5"/>
        <item x="13"/>
        <item x="6"/>
        <item x="7"/>
        <item x="12"/>
        <item x="29"/>
        <item x="28"/>
        <item x="9"/>
        <item x="26"/>
        <item x="1"/>
        <item x="19"/>
        <item x="18"/>
        <item x="30"/>
        <item x="15"/>
        <item x="24"/>
        <item x="2"/>
        <item x="11"/>
        <item x="25"/>
        <item x="20"/>
        <item x="17"/>
        <item x="23"/>
        <item x="21"/>
        <item x="4"/>
        <item x="8"/>
        <item x="22"/>
        <item x="10"/>
        <item x="0"/>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84">
        <item x="286"/>
        <item x="455"/>
        <item x="340"/>
        <item x="334"/>
        <item x="311"/>
        <item x="79"/>
        <item x="257"/>
        <item x="194"/>
        <item x="309"/>
        <item x="235"/>
        <item x="123"/>
        <item x="129"/>
        <item x="434"/>
        <item x="76"/>
        <item x="161"/>
        <item x="30"/>
        <item x="22"/>
        <item x="7"/>
        <item x="57"/>
        <item x="349"/>
        <item x="102"/>
        <item x="145"/>
        <item x="98"/>
        <item x="185"/>
        <item x="225"/>
        <item x="106"/>
        <item x="231"/>
        <item x="110"/>
        <item x="54"/>
        <item x="206"/>
        <item x="147"/>
        <item x="394"/>
        <item x="250"/>
        <item x="179"/>
        <item x="48"/>
        <item x="252"/>
        <item x="28"/>
        <item x="415"/>
        <item x="114"/>
        <item x="84"/>
        <item x="362"/>
        <item x="43"/>
        <item x="113"/>
        <item x="382"/>
        <item x="204"/>
        <item x="40"/>
        <item x="306"/>
        <item x="49"/>
        <item x="399"/>
        <item x="195"/>
        <item x="267"/>
        <item x="134"/>
        <item x="256"/>
        <item x="371"/>
        <item x="385"/>
        <item x="37"/>
        <item x="272"/>
        <item x="355"/>
        <item x="260"/>
        <item x="457"/>
        <item x="202"/>
        <item x="23"/>
        <item x="289"/>
        <item x="167"/>
        <item x="176"/>
        <item x="255"/>
        <item x="226"/>
        <item x="254"/>
        <item x="181"/>
        <item x="298"/>
        <item x="354"/>
        <item x="335"/>
        <item x="174"/>
        <item x="454"/>
        <item x="249"/>
        <item x="328"/>
        <item x="400"/>
        <item x="103"/>
        <item x="469"/>
        <item x="356"/>
        <item x="264"/>
        <item x="323"/>
        <item x="448"/>
        <item x="192"/>
        <item x="296"/>
        <item x="91"/>
        <item x="317"/>
        <item x="331"/>
        <item x="315"/>
        <item x="420"/>
        <item x="155"/>
        <item x="475"/>
        <item x="443"/>
        <item x="411"/>
        <item x="444"/>
        <item x="258"/>
        <item x="376"/>
        <item x="379"/>
        <item x="219"/>
        <item x="423"/>
        <item x="427"/>
        <item x="418"/>
        <item x="166"/>
        <item x="464"/>
        <item x="459"/>
        <item x="322"/>
        <item x="288"/>
        <item x="395"/>
        <item x="339"/>
        <item x="357"/>
        <item x="276"/>
        <item x="384"/>
        <item x="277"/>
        <item x="450"/>
        <item x="446"/>
        <item x="367"/>
        <item x="386"/>
        <item x="140"/>
        <item x="52"/>
        <item x="453"/>
        <item x="413"/>
        <item x="466"/>
        <item x="159"/>
        <item x="39"/>
        <item x="470"/>
        <item x="345"/>
        <item x="65"/>
        <item x="221"/>
        <item x="409"/>
        <item x="320"/>
        <item x="481"/>
        <item x="431"/>
        <item x="239"/>
        <item x="220"/>
        <item x="365"/>
        <item x="381"/>
        <item x="171"/>
        <item x="437"/>
        <item x="473"/>
        <item x="178"/>
        <item x="280"/>
        <item x="122"/>
        <item x="479"/>
        <item x="414"/>
        <item x="24"/>
        <item x="428"/>
        <item x="471"/>
        <item x="442"/>
        <item x="111"/>
        <item x="283"/>
        <item x="424"/>
        <item x="353"/>
        <item x="425"/>
        <item x="441"/>
        <item x="188"/>
        <item x="343"/>
        <item x="430"/>
        <item x="378"/>
        <item x="351"/>
        <item x="172"/>
        <item x="404"/>
        <item x="275"/>
        <item x="236"/>
        <item x="451"/>
        <item x="344"/>
        <item x="387"/>
        <item x="402"/>
        <item x="419"/>
        <item x="369"/>
        <item x="452"/>
        <item x="361"/>
        <item x="417"/>
        <item x="191"/>
        <item x="308"/>
        <item x="456"/>
        <item x="213"/>
        <item x="319"/>
        <item x="350"/>
        <item x="482"/>
        <item x="416"/>
        <item x="358"/>
        <item x="478"/>
        <item x="154"/>
        <item x="133"/>
        <item x="347"/>
        <item x="269"/>
        <item x="447"/>
        <item x="436"/>
        <item x="321"/>
        <item x="435"/>
        <item x="268"/>
        <item x="422"/>
        <item x="262"/>
        <item x="338"/>
        <item x="380"/>
        <item x="460"/>
        <item x="375"/>
        <item x="407"/>
        <item x="348"/>
        <item x="472"/>
        <item x="468"/>
        <item x="346"/>
        <item x="29"/>
        <item x="439"/>
        <item x="364"/>
        <item x="259"/>
        <item x="449"/>
        <item x="329"/>
        <item x="316"/>
        <item x="326"/>
        <item x="433"/>
        <item x="377"/>
        <item x="149"/>
        <item x="303"/>
        <item x="325"/>
        <item x="312"/>
        <item x="389"/>
        <item x="432"/>
        <item x="38"/>
        <item x="330"/>
        <item x="116"/>
        <item x="132"/>
        <item x="300"/>
        <item x="474"/>
        <item x="237"/>
        <item x="164"/>
        <item x="465"/>
        <item x="279"/>
        <item x="405"/>
        <item x="120"/>
        <item x="458"/>
        <item x="156"/>
        <item x="397"/>
        <item x="274"/>
        <item x="388"/>
        <item x="210"/>
        <item x="266"/>
        <item x="438"/>
        <item x="245"/>
        <item x="62"/>
        <item x="476"/>
        <item x="366"/>
        <item x="463"/>
        <item x="207"/>
        <item x="370"/>
        <item x="390"/>
        <item x="47"/>
        <item x="327"/>
        <item x="41"/>
        <item x="153"/>
        <item x="51"/>
        <item x="392"/>
        <item x="165"/>
        <item x="8"/>
        <item x="201"/>
        <item x="12"/>
        <item x="297"/>
        <item x="232"/>
        <item x="144"/>
        <item x="359"/>
        <item x="170"/>
        <item x="56"/>
        <item x="115"/>
        <item x="31"/>
        <item x="45"/>
        <item x="228"/>
        <item x="190"/>
        <item x="462"/>
        <item x="150"/>
        <item x="85"/>
        <item x="246"/>
        <item x="125"/>
        <item x="109"/>
        <item x="131"/>
        <item x="426"/>
        <item x="73"/>
        <item x="168"/>
        <item x="118"/>
        <item x="18"/>
        <item x="127"/>
        <item x="374"/>
        <item x="214"/>
        <item x="46"/>
        <item x="158"/>
        <item x="77"/>
        <item x="34"/>
        <item x="183"/>
        <item x="403"/>
        <item x="60"/>
        <item x="42"/>
        <item x="4"/>
        <item x="64"/>
        <item x="99"/>
        <item x="294"/>
        <item x="200"/>
        <item x="87"/>
        <item x="16"/>
        <item x="90"/>
        <item x="445"/>
        <item x="1"/>
        <item x="282"/>
        <item x="241"/>
        <item x="10"/>
        <item x="233"/>
        <item x="318"/>
        <item x="229"/>
        <item x="184"/>
        <item x="137"/>
        <item x="6"/>
        <item x="360"/>
        <item x="261"/>
        <item x="19"/>
        <item x="337"/>
        <item x="135"/>
        <item x="253"/>
        <item x="63"/>
        <item x="80"/>
        <item x="160"/>
        <item x="55"/>
        <item x="310"/>
        <item x="401"/>
        <item x="336"/>
        <item x="75"/>
        <item x="406"/>
        <item x="396"/>
        <item x="265"/>
        <item x="383"/>
        <item x="314"/>
        <item x="94"/>
        <item x="412"/>
        <item x="11"/>
        <item x="292"/>
        <item x="81"/>
        <item x="9"/>
        <item x="58"/>
        <item x="175"/>
        <item x="270"/>
        <item x="141"/>
        <item x="68"/>
        <item x="247"/>
        <item x="218"/>
        <item x="151"/>
        <item x="20"/>
        <item x="230"/>
        <item x="440"/>
        <item x="408"/>
        <item x="17"/>
        <item x="197"/>
        <item x="363"/>
        <item x="313"/>
        <item x="352"/>
        <item x="273"/>
        <item x="278"/>
        <item x="398"/>
        <item x="208"/>
        <item x="467"/>
        <item x="25"/>
        <item x="15"/>
        <item x="182"/>
        <item x="105"/>
        <item x="143"/>
        <item x="333"/>
        <item x="177"/>
        <item x="13"/>
        <item x="299"/>
        <item x="138"/>
        <item x="307"/>
        <item x="27"/>
        <item x="301"/>
        <item x="104"/>
        <item x="95"/>
        <item x="295"/>
        <item x="78"/>
        <item x="216"/>
        <item x="196"/>
        <item x="92"/>
        <item x="324"/>
        <item x="33"/>
        <item x="284"/>
        <item x="93"/>
        <item x="148"/>
        <item x="35"/>
        <item x="130"/>
        <item x="173"/>
        <item x="238"/>
        <item x="101"/>
        <item x="72"/>
        <item x="119"/>
        <item x="222"/>
        <item x="203"/>
        <item x="83"/>
        <item x="67"/>
        <item x="2"/>
        <item x="199"/>
        <item x="480"/>
        <item x="271"/>
        <item x="305"/>
        <item x="100"/>
        <item x="372"/>
        <item x="211"/>
        <item x="477"/>
        <item x="217"/>
        <item x="50"/>
        <item x="146"/>
        <item x="281"/>
        <item x="157"/>
        <item x="240"/>
        <item x="187"/>
        <item x="86"/>
        <item x="32"/>
        <item x="227"/>
        <item x="44"/>
        <item x="61"/>
        <item x="112"/>
        <item x="126"/>
        <item x="291"/>
        <item x="224"/>
        <item x="82"/>
        <item x="0"/>
        <item x="332"/>
        <item x="180"/>
        <item x="373"/>
        <item x="429"/>
        <item x="124"/>
        <item x="293"/>
        <item x="421"/>
        <item x="142"/>
        <item x="70"/>
        <item x="189"/>
        <item x="66"/>
        <item x="107"/>
        <item x="121"/>
        <item x="391"/>
        <item x="215"/>
        <item x="5"/>
        <item x="209"/>
        <item x="53"/>
        <item x="88"/>
        <item x="139"/>
        <item x="234"/>
        <item x="71"/>
        <item x="14"/>
        <item x="198"/>
        <item x="117"/>
        <item x="186"/>
        <item x="169"/>
        <item x="163"/>
        <item x="205"/>
        <item x="248"/>
        <item x="3"/>
        <item x="242"/>
        <item x="341"/>
        <item x="96"/>
        <item x="108"/>
        <item x="26"/>
        <item x="97"/>
        <item x="302"/>
        <item x="368"/>
        <item x="193"/>
        <item x="290"/>
        <item x="36"/>
        <item x="128"/>
        <item x="410"/>
        <item x="393"/>
        <item x="212"/>
        <item x="244"/>
        <item x="136"/>
        <item x="251"/>
        <item x="223"/>
        <item x="342"/>
        <item x="304"/>
        <item x="162"/>
        <item x="89"/>
        <item x="263"/>
        <item x="287"/>
        <item x="461"/>
        <item x="152"/>
        <item x="74"/>
        <item x="285"/>
        <item x="243"/>
        <item x="69"/>
        <item x="21"/>
        <item x="59"/>
        <item t="default"/>
      </items>
    </pivotField>
    <pivotField showAll="0"/>
    <pivotField showAll="0">
      <items count="18">
        <item x="7"/>
        <item x="9"/>
        <item x="0"/>
        <item x="10"/>
        <item x="11"/>
        <item x="2"/>
        <item x="3"/>
        <item x="4"/>
        <item x="5"/>
        <item x="1"/>
        <item x="8"/>
        <item x="13"/>
        <item x="12"/>
        <item x="14"/>
        <item x="16"/>
        <item x="15"/>
        <item x="6"/>
        <item t="default"/>
      </items>
    </pivotField>
    <pivotField showAll="0">
      <items count="60">
        <item x="30"/>
        <item x="4"/>
        <item x="25"/>
        <item x="52"/>
        <item x="35"/>
        <item x="3"/>
        <item x="53"/>
        <item x="0"/>
        <item x="22"/>
        <item x="23"/>
        <item x="8"/>
        <item x="45"/>
        <item x="11"/>
        <item x="31"/>
        <item x="49"/>
        <item x="13"/>
        <item x="20"/>
        <item x="7"/>
        <item x="56"/>
        <item x="21"/>
        <item x="16"/>
        <item x="26"/>
        <item x="6"/>
        <item x="12"/>
        <item x="2"/>
        <item x="17"/>
        <item x="33"/>
        <item x="37"/>
        <item x="34"/>
        <item x="55"/>
        <item x="46"/>
        <item x="32"/>
        <item x="27"/>
        <item x="40"/>
        <item x="28"/>
        <item x="39"/>
        <item x="14"/>
        <item x="48"/>
        <item x="10"/>
        <item x="36"/>
        <item x="29"/>
        <item x="38"/>
        <item x="41"/>
        <item x="15"/>
        <item x="57"/>
        <item x="24"/>
        <item x="9"/>
        <item x="58"/>
        <item x="44"/>
        <item x="43"/>
        <item x="5"/>
        <item x="47"/>
        <item x="50"/>
        <item x="42"/>
        <item x="19"/>
        <item x="18"/>
        <item x="1"/>
        <item x="54"/>
        <item x="51"/>
        <item t="default"/>
      </items>
    </pivotField>
    <pivotField showAll="0"/>
    <pivotField showAll="0">
      <items count="7">
        <item x="0"/>
        <item x="1"/>
        <item x="2"/>
        <item x="3"/>
        <item x="4"/>
        <item x="5"/>
        <item t="default"/>
      </items>
    </pivotField>
  </pivotFields>
  <rowFields count="1">
    <field x="2"/>
  </rowFields>
  <rowItems count="11">
    <i>
      <x v="2"/>
    </i>
    <i>
      <x v="25"/>
    </i>
    <i>
      <x v="21"/>
    </i>
    <i>
      <x v="29"/>
    </i>
    <i>
      <x v="7"/>
    </i>
    <i>
      <x v="12"/>
    </i>
    <i>
      <x v="10"/>
    </i>
    <i>
      <x v="23"/>
    </i>
    <i>
      <x v="30"/>
    </i>
    <i>
      <x v="11"/>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920A56-2D6F-4562-A382-02C06EE4BB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62" firstHeaderRow="1" firstDataRow="1" firstDataCol="1"/>
  <pivotFields count="11">
    <pivotField showAll="0"/>
    <pivotField showAll="0"/>
    <pivotField showAll="0"/>
    <pivotField dataField="1" showAll="0"/>
    <pivotField showAll="0"/>
    <pivotField showAll="0">
      <items count="484">
        <item x="286"/>
        <item x="455"/>
        <item x="340"/>
        <item x="334"/>
        <item x="311"/>
        <item x="79"/>
        <item x="257"/>
        <item x="194"/>
        <item x="309"/>
        <item x="235"/>
        <item x="123"/>
        <item x="129"/>
        <item x="434"/>
        <item x="76"/>
        <item x="161"/>
        <item x="30"/>
        <item x="22"/>
        <item x="7"/>
        <item x="57"/>
        <item x="349"/>
        <item x="102"/>
        <item x="145"/>
        <item x="98"/>
        <item x="185"/>
        <item x="225"/>
        <item x="106"/>
        <item x="231"/>
        <item x="110"/>
        <item x="54"/>
        <item x="206"/>
        <item x="147"/>
        <item x="394"/>
        <item x="250"/>
        <item x="179"/>
        <item x="48"/>
        <item x="252"/>
        <item x="28"/>
        <item x="415"/>
        <item x="114"/>
        <item x="84"/>
        <item x="362"/>
        <item x="43"/>
        <item x="113"/>
        <item x="382"/>
        <item x="204"/>
        <item x="40"/>
        <item x="306"/>
        <item x="49"/>
        <item x="399"/>
        <item x="195"/>
        <item x="267"/>
        <item x="134"/>
        <item x="256"/>
        <item x="371"/>
        <item x="385"/>
        <item x="37"/>
        <item x="272"/>
        <item x="355"/>
        <item x="260"/>
        <item x="457"/>
        <item x="202"/>
        <item x="23"/>
        <item x="289"/>
        <item x="167"/>
        <item x="176"/>
        <item x="255"/>
        <item x="226"/>
        <item x="254"/>
        <item x="181"/>
        <item x="298"/>
        <item x="354"/>
        <item x="335"/>
        <item x="174"/>
        <item x="454"/>
        <item x="249"/>
        <item x="328"/>
        <item x="400"/>
        <item x="103"/>
        <item x="469"/>
        <item x="356"/>
        <item x="264"/>
        <item x="323"/>
        <item x="448"/>
        <item x="192"/>
        <item x="296"/>
        <item x="91"/>
        <item x="317"/>
        <item x="331"/>
        <item x="315"/>
        <item x="420"/>
        <item x="155"/>
        <item x="475"/>
        <item x="443"/>
        <item x="411"/>
        <item x="444"/>
        <item x="258"/>
        <item x="376"/>
        <item x="379"/>
        <item x="219"/>
        <item x="423"/>
        <item x="427"/>
        <item x="418"/>
        <item x="166"/>
        <item x="464"/>
        <item x="459"/>
        <item x="322"/>
        <item x="288"/>
        <item x="395"/>
        <item x="339"/>
        <item x="357"/>
        <item x="276"/>
        <item x="384"/>
        <item x="277"/>
        <item x="450"/>
        <item x="446"/>
        <item x="367"/>
        <item x="386"/>
        <item x="140"/>
        <item x="52"/>
        <item x="453"/>
        <item x="413"/>
        <item x="466"/>
        <item x="159"/>
        <item x="39"/>
        <item x="470"/>
        <item x="345"/>
        <item x="65"/>
        <item x="221"/>
        <item x="409"/>
        <item x="320"/>
        <item x="481"/>
        <item x="431"/>
        <item x="239"/>
        <item x="220"/>
        <item x="365"/>
        <item x="381"/>
        <item x="171"/>
        <item x="437"/>
        <item x="473"/>
        <item x="178"/>
        <item x="280"/>
        <item x="122"/>
        <item x="479"/>
        <item x="414"/>
        <item x="24"/>
        <item x="428"/>
        <item x="471"/>
        <item x="442"/>
        <item x="111"/>
        <item x="283"/>
        <item x="424"/>
        <item x="353"/>
        <item x="425"/>
        <item x="441"/>
        <item x="188"/>
        <item x="343"/>
        <item x="430"/>
        <item x="378"/>
        <item x="351"/>
        <item x="172"/>
        <item x="404"/>
        <item x="275"/>
        <item x="236"/>
        <item x="451"/>
        <item x="344"/>
        <item x="387"/>
        <item x="402"/>
        <item x="419"/>
        <item x="369"/>
        <item x="452"/>
        <item x="361"/>
        <item x="417"/>
        <item x="191"/>
        <item x="308"/>
        <item x="456"/>
        <item x="213"/>
        <item x="319"/>
        <item x="350"/>
        <item x="482"/>
        <item x="416"/>
        <item x="358"/>
        <item x="478"/>
        <item x="154"/>
        <item x="133"/>
        <item x="347"/>
        <item x="269"/>
        <item x="447"/>
        <item x="436"/>
        <item x="321"/>
        <item x="435"/>
        <item x="268"/>
        <item x="422"/>
        <item x="262"/>
        <item x="338"/>
        <item x="380"/>
        <item x="460"/>
        <item x="375"/>
        <item x="407"/>
        <item x="348"/>
        <item x="472"/>
        <item x="468"/>
        <item x="346"/>
        <item x="29"/>
        <item x="439"/>
        <item x="364"/>
        <item x="259"/>
        <item x="449"/>
        <item x="329"/>
        <item x="316"/>
        <item x="326"/>
        <item x="433"/>
        <item x="377"/>
        <item x="149"/>
        <item x="303"/>
        <item x="325"/>
        <item x="312"/>
        <item x="389"/>
        <item x="432"/>
        <item x="38"/>
        <item x="330"/>
        <item x="116"/>
        <item x="132"/>
        <item x="300"/>
        <item x="474"/>
        <item x="237"/>
        <item x="164"/>
        <item x="465"/>
        <item x="279"/>
        <item x="405"/>
        <item x="120"/>
        <item x="458"/>
        <item x="156"/>
        <item x="397"/>
        <item x="274"/>
        <item x="388"/>
        <item x="210"/>
        <item x="266"/>
        <item x="438"/>
        <item x="245"/>
        <item x="62"/>
        <item x="476"/>
        <item x="366"/>
        <item x="463"/>
        <item x="207"/>
        <item x="370"/>
        <item x="390"/>
        <item x="47"/>
        <item x="327"/>
        <item x="41"/>
        <item x="153"/>
        <item x="51"/>
        <item x="392"/>
        <item x="165"/>
        <item x="8"/>
        <item x="201"/>
        <item x="12"/>
        <item x="297"/>
        <item x="232"/>
        <item x="144"/>
        <item x="359"/>
        <item x="170"/>
        <item x="56"/>
        <item x="115"/>
        <item x="31"/>
        <item x="45"/>
        <item x="228"/>
        <item x="190"/>
        <item x="462"/>
        <item x="150"/>
        <item x="85"/>
        <item x="246"/>
        <item x="125"/>
        <item x="109"/>
        <item x="131"/>
        <item x="426"/>
        <item x="73"/>
        <item x="168"/>
        <item x="118"/>
        <item x="18"/>
        <item x="127"/>
        <item x="374"/>
        <item x="214"/>
        <item x="46"/>
        <item x="158"/>
        <item x="77"/>
        <item x="34"/>
        <item x="183"/>
        <item x="403"/>
        <item x="60"/>
        <item x="42"/>
        <item x="4"/>
        <item x="64"/>
        <item x="99"/>
        <item x="294"/>
        <item x="200"/>
        <item x="87"/>
        <item x="16"/>
        <item x="90"/>
        <item x="445"/>
        <item x="1"/>
        <item x="282"/>
        <item x="241"/>
        <item x="10"/>
        <item x="233"/>
        <item x="318"/>
        <item x="229"/>
        <item x="184"/>
        <item x="137"/>
        <item x="6"/>
        <item x="360"/>
        <item x="261"/>
        <item x="19"/>
        <item x="337"/>
        <item x="135"/>
        <item x="253"/>
        <item x="63"/>
        <item x="80"/>
        <item x="160"/>
        <item x="55"/>
        <item x="310"/>
        <item x="401"/>
        <item x="336"/>
        <item x="75"/>
        <item x="406"/>
        <item x="396"/>
        <item x="265"/>
        <item x="383"/>
        <item x="314"/>
        <item x="94"/>
        <item x="412"/>
        <item x="11"/>
        <item x="292"/>
        <item x="81"/>
        <item x="9"/>
        <item x="58"/>
        <item x="175"/>
        <item x="270"/>
        <item x="141"/>
        <item x="68"/>
        <item x="247"/>
        <item x="218"/>
        <item x="151"/>
        <item x="20"/>
        <item x="230"/>
        <item x="440"/>
        <item x="408"/>
        <item x="17"/>
        <item x="197"/>
        <item x="363"/>
        <item x="313"/>
        <item x="352"/>
        <item x="273"/>
        <item x="278"/>
        <item x="398"/>
        <item x="208"/>
        <item x="467"/>
        <item x="25"/>
        <item x="15"/>
        <item x="182"/>
        <item x="105"/>
        <item x="143"/>
        <item x="333"/>
        <item x="177"/>
        <item x="13"/>
        <item x="299"/>
        <item x="138"/>
        <item x="307"/>
        <item x="27"/>
        <item x="301"/>
        <item x="104"/>
        <item x="95"/>
        <item x="295"/>
        <item x="78"/>
        <item x="216"/>
        <item x="196"/>
        <item x="92"/>
        <item x="324"/>
        <item x="33"/>
        <item x="284"/>
        <item x="93"/>
        <item x="148"/>
        <item x="35"/>
        <item x="130"/>
        <item x="173"/>
        <item x="238"/>
        <item x="101"/>
        <item x="72"/>
        <item x="119"/>
        <item x="222"/>
        <item x="203"/>
        <item x="83"/>
        <item x="67"/>
        <item x="2"/>
        <item x="199"/>
        <item x="480"/>
        <item x="271"/>
        <item x="305"/>
        <item x="100"/>
        <item x="372"/>
        <item x="211"/>
        <item x="477"/>
        <item x="217"/>
        <item x="50"/>
        <item x="146"/>
        <item x="281"/>
        <item x="157"/>
        <item x="240"/>
        <item x="187"/>
        <item x="86"/>
        <item x="32"/>
        <item x="227"/>
        <item x="44"/>
        <item x="61"/>
        <item x="112"/>
        <item x="126"/>
        <item x="291"/>
        <item x="224"/>
        <item x="82"/>
        <item x="0"/>
        <item x="332"/>
        <item x="180"/>
        <item x="373"/>
        <item x="429"/>
        <item x="124"/>
        <item x="293"/>
        <item x="421"/>
        <item x="142"/>
        <item x="70"/>
        <item x="189"/>
        <item x="66"/>
        <item x="107"/>
        <item x="121"/>
        <item x="391"/>
        <item x="215"/>
        <item x="5"/>
        <item x="209"/>
        <item x="53"/>
        <item x="88"/>
        <item x="139"/>
        <item x="234"/>
        <item x="71"/>
        <item x="14"/>
        <item x="198"/>
        <item x="117"/>
        <item x="186"/>
        <item x="169"/>
        <item x="163"/>
        <item x="205"/>
        <item x="248"/>
        <item x="3"/>
        <item x="242"/>
        <item x="341"/>
        <item x="96"/>
        <item x="108"/>
        <item x="26"/>
        <item x="97"/>
        <item x="302"/>
        <item x="368"/>
        <item x="193"/>
        <item x="290"/>
        <item x="36"/>
        <item x="128"/>
        <item x="410"/>
        <item x="393"/>
        <item x="212"/>
        <item x="244"/>
        <item x="136"/>
        <item x="251"/>
        <item x="223"/>
        <item x="342"/>
        <item x="304"/>
        <item x="162"/>
        <item x="89"/>
        <item x="263"/>
        <item x="287"/>
        <item x="461"/>
        <item x="152"/>
        <item x="74"/>
        <item x="285"/>
        <item x="243"/>
        <item x="69"/>
        <item x="21"/>
        <item x="59"/>
        <item t="default"/>
      </items>
    </pivotField>
    <pivotField showAll="0"/>
    <pivotField showAll="0">
      <items count="18">
        <item x="7"/>
        <item x="9"/>
        <item x="0"/>
        <item x="10"/>
        <item x="11"/>
        <item x="2"/>
        <item x="3"/>
        <item x="4"/>
        <item x="5"/>
        <item x="1"/>
        <item x="8"/>
        <item x="13"/>
        <item x="12"/>
        <item x="14"/>
        <item x="16"/>
        <item x="15"/>
        <item x="6"/>
        <item t="default"/>
      </items>
    </pivotField>
    <pivotField axis="axisRow" showAll="0" sortType="descending">
      <items count="60">
        <item x="30"/>
        <item x="4"/>
        <item x="25"/>
        <item x="52"/>
        <item x="35"/>
        <item x="3"/>
        <item x="53"/>
        <item x="0"/>
        <item x="22"/>
        <item x="23"/>
        <item x="8"/>
        <item x="45"/>
        <item x="11"/>
        <item x="31"/>
        <item x="49"/>
        <item x="13"/>
        <item x="20"/>
        <item x="7"/>
        <item x="56"/>
        <item x="21"/>
        <item x="16"/>
        <item x="26"/>
        <item x="6"/>
        <item x="12"/>
        <item x="2"/>
        <item x="17"/>
        <item x="33"/>
        <item x="37"/>
        <item x="34"/>
        <item x="55"/>
        <item x="46"/>
        <item x="32"/>
        <item x="27"/>
        <item x="40"/>
        <item x="28"/>
        <item x="39"/>
        <item x="14"/>
        <item x="48"/>
        <item x="10"/>
        <item x="36"/>
        <item x="29"/>
        <item x="38"/>
        <item x="41"/>
        <item x="15"/>
        <item x="57"/>
        <item x="24"/>
        <item x="9"/>
        <item x="58"/>
        <item x="44"/>
        <item x="43"/>
        <item x="5"/>
        <item x="47"/>
        <item x="50"/>
        <item x="42"/>
        <item x="19"/>
        <item x="18"/>
        <item x="1"/>
        <item x="54"/>
        <item x="51"/>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s>
  <rowFields count="1">
    <field x="8"/>
  </rowFields>
  <rowItems count="60">
    <i>
      <x v="56"/>
    </i>
    <i>
      <x v="22"/>
    </i>
    <i>
      <x v="34"/>
    </i>
    <i>
      <x v="50"/>
    </i>
    <i>
      <x v="5"/>
    </i>
    <i>
      <x v="17"/>
    </i>
    <i>
      <x v="55"/>
    </i>
    <i>
      <x v="7"/>
    </i>
    <i>
      <x v="46"/>
    </i>
    <i>
      <x v="9"/>
    </i>
    <i>
      <x v="25"/>
    </i>
    <i>
      <x v="23"/>
    </i>
    <i>
      <x v="1"/>
    </i>
    <i>
      <x v="36"/>
    </i>
    <i>
      <x v="54"/>
    </i>
    <i>
      <x v="16"/>
    </i>
    <i>
      <x v="20"/>
    </i>
    <i>
      <x v="2"/>
    </i>
    <i>
      <x v="43"/>
    </i>
    <i>
      <x v="28"/>
    </i>
    <i>
      <x v="14"/>
    </i>
    <i>
      <x/>
    </i>
    <i>
      <x v="44"/>
    </i>
    <i>
      <x v="32"/>
    </i>
    <i>
      <x v="24"/>
    </i>
    <i>
      <x v="15"/>
    </i>
    <i>
      <x v="49"/>
    </i>
    <i>
      <x v="12"/>
    </i>
    <i>
      <x v="33"/>
    </i>
    <i>
      <x v="37"/>
    </i>
    <i>
      <x v="10"/>
    </i>
    <i>
      <x v="6"/>
    </i>
    <i>
      <x v="41"/>
    </i>
    <i>
      <x v="31"/>
    </i>
    <i>
      <x v="27"/>
    </i>
    <i>
      <x v="42"/>
    </i>
    <i>
      <x v="45"/>
    </i>
    <i>
      <x v="51"/>
    </i>
    <i>
      <x v="29"/>
    </i>
    <i>
      <x v="52"/>
    </i>
    <i>
      <x v="35"/>
    </i>
    <i>
      <x v="30"/>
    </i>
    <i>
      <x v="8"/>
    </i>
    <i>
      <x v="40"/>
    </i>
    <i>
      <x v="38"/>
    </i>
    <i>
      <x v="11"/>
    </i>
    <i>
      <x v="58"/>
    </i>
    <i>
      <x v="3"/>
    </i>
    <i>
      <x v="18"/>
    </i>
    <i>
      <x v="13"/>
    </i>
    <i>
      <x v="19"/>
    </i>
    <i>
      <x v="53"/>
    </i>
    <i>
      <x v="21"/>
    </i>
    <i>
      <x v="26"/>
    </i>
    <i>
      <x v="4"/>
    </i>
    <i>
      <x v="57"/>
    </i>
    <i>
      <x v="47"/>
    </i>
    <i>
      <x v="39"/>
    </i>
    <i>
      <x v="48"/>
    </i>
    <i t="grand">
      <x/>
    </i>
  </rowItems>
  <colItems count="1">
    <i/>
  </colItems>
  <dataFields count="1">
    <dataField name="Sum of total_laid_off"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2B6A41-9654-4B6D-BFD0-318D730AEE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C20" firstHeaderRow="0" firstDataRow="1" firstDataCol="1"/>
  <pivotFields count="11">
    <pivotField showAll="0"/>
    <pivotField showAll="0"/>
    <pivotField showAll="0"/>
    <pivotField dataField="1" showAll="0"/>
    <pivotField showAll="0"/>
    <pivotField showAll="0">
      <items count="484">
        <item x="286"/>
        <item x="455"/>
        <item x="340"/>
        <item x="334"/>
        <item x="311"/>
        <item x="79"/>
        <item x="257"/>
        <item x="194"/>
        <item x="309"/>
        <item x="235"/>
        <item x="123"/>
        <item x="129"/>
        <item x="434"/>
        <item x="76"/>
        <item x="161"/>
        <item x="30"/>
        <item x="22"/>
        <item x="7"/>
        <item x="57"/>
        <item x="349"/>
        <item x="102"/>
        <item x="145"/>
        <item x="98"/>
        <item x="185"/>
        <item x="225"/>
        <item x="106"/>
        <item x="231"/>
        <item x="110"/>
        <item x="54"/>
        <item x="206"/>
        <item x="147"/>
        <item x="394"/>
        <item x="250"/>
        <item x="179"/>
        <item x="48"/>
        <item x="252"/>
        <item x="28"/>
        <item x="415"/>
        <item x="114"/>
        <item x="84"/>
        <item x="362"/>
        <item x="43"/>
        <item x="113"/>
        <item x="382"/>
        <item x="204"/>
        <item x="40"/>
        <item x="306"/>
        <item x="49"/>
        <item x="399"/>
        <item x="195"/>
        <item x="267"/>
        <item x="134"/>
        <item x="256"/>
        <item x="371"/>
        <item x="385"/>
        <item x="37"/>
        <item x="272"/>
        <item x="355"/>
        <item x="260"/>
        <item x="457"/>
        <item x="202"/>
        <item x="23"/>
        <item x="289"/>
        <item x="167"/>
        <item x="176"/>
        <item x="255"/>
        <item x="226"/>
        <item x="254"/>
        <item x="181"/>
        <item x="298"/>
        <item x="354"/>
        <item x="335"/>
        <item x="174"/>
        <item x="454"/>
        <item x="249"/>
        <item x="328"/>
        <item x="400"/>
        <item x="103"/>
        <item x="469"/>
        <item x="356"/>
        <item x="264"/>
        <item x="323"/>
        <item x="448"/>
        <item x="192"/>
        <item x="296"/>
        <item x="91"/>
        <item x="317"/>
        <item x="331"/>
        <item x="315"/>
        <item x="420"/>
        <item x="155"/>
        <item x="475"/>
        <item x="443"/>
        <item x="411"/>
        <item x="444"/>
        <item x="258"/>
        <item x="376"/>
        <item x="379"/>
        <item x="219"/>
        <item x="423"/>
        <item x="427"/>
        <item x="418"/>
        <item x="166"/>
        <item x="464"/>
        <item x="459"/>
        <item x="322"/>
        <item x="288"/>
        <item x="395"/>
        <item x="339"/>
        <item x="357"/>
        <item x="276"/>
        <item x="384"/>
        <item x="277"/>
        <item x="450"/>
        <item x="446"/>
        <item x="367"/>
        <item x="386"/>
        <item x="140"/>
        <item x="52"/>
        <item x="453"/>
        <item x="413"/>
        <item x="466"/>
        <item x="159"/>
        <item x="39"/>
        <item x="470"/>
        <item x="345"/>
        <item x="65"/>
        <item x="221"/>
        <item x="409"/>
        <item x="320"/>
        <item x="481"/>
        <item x="431"/>
        <item x="239"/>
        <item x="220"/>
        <item x="365"/>
        <item x="381"/>
        <item x="171"/>
        <item x="437"/>
        <item x="473"/>
        <item x="178"/>
        <item x="280"/>
        <item x="122"/>
        <item x="479"/>
        <item x="414"/>
        <item x="24"/>
        <item x="428"/>
        <item x="471"/>
        <item x="442"/>
        <item x="111"/>
        <item x="283"/>
        <item x="424"/>
        <item x="353"/>
        <item x="425"/>
        <item x="441"/>
        <item x="188"/>
        <item x="343"/>
        <item x="430"/>
        <item x="378"/>
        <item x="351"/>
        <item x="172"/>
        <item x="404"/>
        <item x="275"/>
        <item x="236"/>
        <item x="451"/>
        <item x="344"/>
        <item x="387"/>
        <item x="402"/>
        <item x="419"/>
        <item x="369"/>
        <item x="452"/>
        <item x="361"/>
        <item x="417"/>
        <item x="191"/>
        <item x="308"/>
        <item x="456"/>
        <item x="213"/>
        <item x="319"/>
        <item x="350"/>
        <item x="482"/>
        <item x="416"/>
        <item x="358"/>
        <item x="478"/>
        <item x="154"/>
        <item x="133"/>
        <item x="347"/>
        <item x="269"/>
        <item x="447"/>
        <item x="436"/>
        <item x="321"/>
        <item x="435"/>
        <item x="268"/>
        <item x="422"/>
        <item x="262"/>
        <item x="338"/>
        <item x="380"/>
        <item x="460"/>
        <item x="375"/>
        <item x="407"/>
        <item x="348"/>
        <item x="472"/>
        <item x="468"/>
        <item x="346"/>
        <item x="29"/>
        <item x="439"/>
        <item x="364"/>
        <item x="259"/>
        <item x="449"/>
        <item x="329"/>
        <item x="316"/>
        <item x="326"/>
        <item x="433"/>
        <item x="377"/>
        <item x="149"/>
        <item x="303"/>
        <item x="325"/>
        <item x="312"/>
        <item x="389"/>
        <item x="432"/>
        <item x="38"/>
        <item x="330"/>
        <item x="116"/>
        <item x="132"/>
        <item x="300"/>
        <item x="474"/>
        <item x="237"/>
        <item x="164"/>
        <item x="465"/>
        <item x="279"/>
        <item x="405"/>
        <item x="120"/>
        <item x="458"/>
        <item x="156"/>
        <item x="397"/>
        <item x="274"/>
        <item x="388"/>
        <item x="210"/>
        <item x="266"/>
        <item x="438"/>
        <item x="245"/>
        <item x="62"/>
        <item x="476"/>
        <item x="366"/>
        <item x="463"/>
        <item x="207"/>
        <item x="370"/>
        <item x="390"/>
        <item x="47"/>
        <item x="327"/>
        <item x="41"/>
        <item x="153"/>
        <item x="51"/>
        <item x="392"/>
        <item x="165"/>
        <item x="8"/>
        <item x="201"/>
        <item x="12"/>
        <item x="297"/>
        <item x="232"/>
        <item x="144"/>
        <item x="359"/>
        <item x="170"/>
        <item x="56"/>
        <item x="115"/>
        <item x="31"/>
        <item x="45"/>
        <item x="228"/>
        <item x="190"/>
        <item x="462"/>
        <item x="150"/>
        <item x="85"/>
        <item x="246"/>
        <item x="125"/>
        <item x="109"/>
        <item x="131"/>
        <item x="426"/>
        <item x="73"/>
        <item x="168"/>
        <item x="118"/>
        <item x="18"/>
        <item x="127"/>
        <item x="374"/>
        <item x="214"/>
        <item x="46"/>
        <item x="158"/>
        <item x="77"/>
        <item x="34"/>
        <item x="183"/>
        <item x="403"/>
        <item x="60"/>
        <item x="42"/>
        <item x="4"/>
        <item x="64"/>
        <item x="99"/>
        <item x="294"/>
        <item x="200"/>
        <item x="87"/>
        <item x="16"/>
        <item x="90"/>
        <item x="445"/>
        <item x="1"/>
        <item x="282"/>
        <item x="241"/>
        <item x="10"/>
        <item x="233"/>
        <item x="318"/>
        <item x="229"/>
        <item x="184"/>
        <item x="137"/>
        <item x="6"/>
        <item x="360"/>
        <item x="261"/>
        <item x="19"/>
        <item x="337"/>
        <item x="135"/>
        <item x="253"/>
        <item x="63"/>
        <item x="80"/>
        <item x="160"/>
        <item x="55"/>
        <item x="310"/>
        <item x="401"/>
        <item x="336"/>
        <item x="75"/>
        <item x="406"/>
        <item x="396"/>
        <item x="265"/>
        <item x="383"/>
        <item x="314"/>
        <item x="94"/>
        <item x="412"/>
        <item x="11"/>
        <item x="292"/>
        <item x="81"/>
        <item x="9"/>
        <item x="58"/>
        <item x="175"/>
        <item x="270"/>
        <item x="141"/>
        <item x="68"/>
        <item x="247"/>
        <item x="218"/>
        <item x="151"/>
        <item x="20"/>
        <item x="230"/>
        <item x="440"/>
        <item x="408"/>
        <item x="17"/>
        <item x="197"/>
        <item x="363"/>
        <item x="313"/>
        <item x="352"/>
        <item x="273"/>
        <item x="278"/>
        <item x="398"/>
        <item x="208"/>
        <item x="467"/>
        <item x="25"/>
        <item x="15"/>
        <item x="182"/>
        <item x="105"/>
        <item x="143"/>
        <item x="333"/>
        <item x="177"/>
        <item x="13"/>
        <item x="299"/>
        <item x="138"/>
        <item x="307"/>
        <item x="27"/>
        <item x="301"/>
        <item x="104"/>
        <item x="95"/>
        <item x="295"/>
        <item x="78"/>
        <item x="216"/>
        <item x="196"/>
        <item x="92"/>
        <item x="324"/>
        <item x="33"/>
        <item x="284"/>
        <item x="93"/>
        <item x="148"/>
        <item x="35"/>
        <item x="130"/>
        <item x="173"/>
        <item x="238"/>
        <item x="101"/>
        <item x="72"/>
        <item x="119"/>
        <item x="222"/>
        <item x="203"/>
        <item x="83"/>
        <item x="67"/>
        <item x="2"/>
        <item x="199"/>
        <item x="480"/>
        <item x="271"/>
        <item x="305"/>
        <item x="100"/>
        <item x="372"/>
        <item x="211"/>
        <item x="477"/>
        <item x="217"/>
        <item x="50"/>
        <item x="146"/>
        <item x="281"/>
        <item x="157"/>
        <item x="240"/>
        <item x="187"/>
        <item x="86"/>
        <item x="32"/>
        <item x="227"/>
        <item x="44"/>
        <item x="61"/>
        <item x="112"/>
        <item x="126"/>
        <item x="291"/>
        <item x="224"/>
        <item x="82"/>
        <item x="0"/>
        <item x="332"/>
        <item x="180"/>
        <item x="373"/>
        <item x="429"/>
        <item x="124"/>
        <item x="293"/>
        <item x="421"/>
        <item x="142"/>
        <item x="70"/>
        <item x="189"/>
        <item x="66"/>
        <item x="107"/>
        <item x="121"/>
        <item x="391"/>
        <item x="215"/>
        <item x="5"/>
        <item x="209"/>
        <item x="53"/>
        <item x="88"/>
        <item x="139"/>
        <item x="234"/>
        <item x="71"/>
        <item x="14"/>
        <item x="198"/>
        <item x="117"/>
        <item x="186"/>
        <item x="169"/>
        <item x="163"/>
        <item x="205"/>
        <item x="248"/>
        <item x="3"/>
        <item x="242"/>
        <item x="341"/>
        <item x="96"/>
        <item x="108"/>
        <item x="26"/>
        <item x="97"/>
        <item x="302"/>
        <item x="368"/>
        <item x="193"/>
        <item x="290"/>
        <item x="36"/>
        <item x="128"/>
        <item x="410"/>
        <item x="393"/>
        <item x="212"/>
        <item x="244"/>
        <item x="136"/>
        <item x="251"/>
        <item x="223"/>
        <item x="342"/>
        <item x="304"/>
        <item x="162"/>
        <item x="89"/>
        <item x="263"/>
        <item x="287"/>
        <item x="461"/>
        <item x="152"/>
        <item x="74"/>
        <item x="285"/>
        <item x="243"/>
        <item x="69"/>
        <item x="21"/>
        <item x="59"/>
        <item t="default"/>
      </items>
    </pivotField>
    <pivotField showAll="0"/>
    <pivotField axis="axisRow" dataField="1" showAll="0" sortType="descending">
      <items count="18">
        <item x="7"/>
        <item x="9"/>
        <item x="0"/>
        <item x="10"/>
        <item x="11"/>
        <item x="2"/>
        <item x="3"/>
        <item x="4"/>
        <item x="5"/>
        <item x="1"/>
        <item x="8"/>
        <item x="13"/>
        <item x="12"/>
        <item x="14"/>
        <item x="16"/>
        <item x="15"/>
        <item x="6"/>
        <item t="default"/>
      </items>
      <autoSortScope>
        <pivotArea dataOnly="0" outline="0" fieldPosition="0">
          <references count="1">
            <reference field="4294967294" count="1" selected="0">
              <x v="0"/>
            </reference>
          </references>
        </pivotArea>
      </autoSortScope>
    </pivotField>
    <pivotField showAll="0">
      <items count="60">
        <item x="30"/>
        <item x="4"/>
        <item x="25"/>
        <item x="52"/>
        <item x="35"/>
        <item x="3"/>
        <item x="53"/>
        <item x="0"/>
        <item x="22"/>
        <item x="23"/>
        <item x="8"/>
        <item x="45"/>
        <item x="11"/>
        <item x="31"/>
        <item x="49"/>
        <item x="13"/>
        <item x="20"/>
        <item x="7"/>
        <item x="56"/>
        <item x="21"/>
        <item x="16"/>
        <item x="26"/>
        <item x="6"/>
        <item x="12"/>
        <item x="2"/>
        <item x="17"/>
        <item x="33"/>
        <item x="37"/>
        <item x="34"/>
        <item x="55"/>
        <item x="46"/>
        <item x="32"/>
        <item x="27"/>
        <item x="40"/>
        <item x="28"/>
        <item x="39"/>
        <item x="14"/>
        <item x="48"/>
        <item x="10"/>
        <item x="36"/>
        <item x="29"/>
        <item x="38"/>
        <item x="41"/>
        <item x="15"/>
        <item x="57"/>
        <item x="24"/>
        <item x="9"/>
        <item x="58"/>
        <item x="44"/>
        <item x="43"/>
        <item x="5"/>
        <item x="47"/>
        <item x="50"/>
        <item x="42"/>
        <item x="19"/>
        <item x="18"/>
        <item x="1"/>
        <item x="54"/>
        <item x="51"/>
        <item t="default"/>
      </items>
    </pivotField>
    <pivotField showAll="0"/>
    <pivotField showAll="0">
      <items count="7">
        <item x="0"/>
        <item x="1"/>
        <item x="2"/>
        <item x="3"/>
        <item x="4"/>
        <item x="5"/>
        <item t="default"/>
      </items>
    </pivotField>
  </pivotFields>
  <rowFields count="1">
    <field x="7"/>
  </rowFields>
  <rowItems count="18">
    <i>
      <x v="2"/>
    </i>
    <i>
      <x v="16"/>
    </i>
    <i>
      <x/>
    </i>
    <i>
      <x v="7"/>
    </i>
    <i>
      <x v="8"/>
    </i>
    <i>
      <x v="6"/>
    </i>
    <i>
      <x v="9"/>
    </i>
    <i>
      <x v="10"/>
    </i>
    <i>
      <x v="3"/>
    </i>
    <i>
      <x v="12"/>
    </i>
    <i>
      <x v="5"/>
    </i>
    <i>
      <x v="11"/>
    </i>
    <i>
      <x v="14"/>
    </i>
    <i>
      <x v="13"/>
    </i>
    <i>
      <x v="4"/>
    </i>
    <i>
      <x v="15"/>
    </i>
    <i>
      <x v="1"/>
    </i>
    <i t="grand">
      <x/>
    </i>
  </rowItems>
  <colFields count="1">
    <field x="-2"/>
  </colFields>
  <colItems count="2">
    <i>
      <x/>
    </i>
    <i i="1">
      <x v="1"/>
    </i>
  </colItems>
  <dataFields count="2">
    <dataField name="Sum of total_laid_off" fld="3" baseField="0" baseItem="0"/>
    <dataField name="Count of stage" fld="7"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24B54C-A2BF-436B-8D19-EDBC74E137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13" firstHeaderRow="1" firstDataRow="1" firstDataCol="1"/>
  <pivotFields count="11">
    <pivotField showAll="0"/>
    <pivotField showAll="0"/>
    <pivotField showAll="0"/>
    <pivotField dataField="1" showAll="0"/>
    <pivotField showAll="0"/>
    <pivotField showAll="0" measureFilter="1" sortType="descending">
      <items count="484">
        <item x="286"/>
        <item x="455"/>
        <item x="340"/>
        <item x="334"/>
        <item x="311"/>
        <item x="79"/>
        <item x="257"/>
        <item x="194"/>
        <item x="309"/>
        <item x="235"/>
        <item x="123"/>
        <item x="129"/>
        <item x="434"/>
        <item x="76"/>
        <item x="161"/>
        <item x="30"/>
        <item x="22"/>
        <item x="7"/>
        <item x="57"/>
        <item x="349"/>
        <item x="102"/>
        <item x="145"/>
        <item x="98"/>
        <item x="185"/>
        <item x="225"/>
        <item x="106"/>
        <item x="231"/>
        <item x="110"/>
        <item x="54"/>
        <item x="206"/>
        <item x="147"/>
        <item x="394"/>
        <item x="250"/>
        <item x="179"/>
        <item x="48"/>
        <item x="252"/>
        <item x="28"/>
        <item x="415"/>
        <item x="114"/>
        <item x="84"/>
        <item x="362"/>
        <item x="43"/>
        <item x="113"/>
        <item x="382"/>
        <item x="204"/>
        <item x="40"/>
        <item x="306"/>
        <item x="49"/>
        <item x="399"/>
        <item x="195"/>
        <item x="267"/>
        <item x="134"/>
        <item x="256"/>
        <item x="371"/>
        <item x="385"/>
        <item x="37"/>
        <item x="272"/>
        <item x="355"/>
        <item x="260"/>
        <item x="457"/>
        <item x="202"/>
        <item x="23"/>
        <item x="289"/>
        <item x="167"/>
        <item x="176"/>
        <item x="255"/>
        <item x="226"/>
        <item x="254"/>
        <item x="181"/>
        <item x="298"/>
        <item x="354"/>
        <item x="335"/>
        <item x="174"/>
        <item x="454"/>
        <item x="249"/>
        <item x="328"/>
        <item x="400"/>
        <item x="103"/>
        <item x="469"/>
        <item x="356"/>
        <item x="264"/>
        <item x="323"/>
        <item x="448"/>
        <item x="192"/>
        <item x="296"/>
        <item x="91"/>
        <item x="317"/>
        <item x="331"/>
        <item x="315"/>
        <item x="420"/>
        <item x="155"/>
        <item x="475"/>
        <item x="443"/>
        <item x="411"/>
        <item x="444"/>
        <item x="258"/>
        <item x="376"/>
        <item x="379"/>
        <item x="219"/>
        <item x="423"/>
        <item x="427"/>
        <item x="418"/>
        <item x="166"/>
        <item x="464"/>
        <item x="459"/>
        <item x="322"/>
        <item x="288"/>
        <item x="395"/>
        <item x="339"/>
        <item x="357"/>
        <item x="276"/>
        <item x="384"/>
        <item x="277"/>
        <item x="450"/>
        <item x="446"/>
        <item x="367"/>
        <item x="386"/>
        <item x="140"/>
        <item x="52"/>
        <item x="453"/>
        <item x="413"/>
        <item x="466"/>
        <item x="159"/>
        <item x="39"/>
        <item x="470"/>
        <item x="345"/>
        <item x="65"/>
        <item x="221"/>
        <item x="409"/>
        <item x="320"/>
        <item x="481"/>
        <item x="431"/>
        <item x="239"/>
        <item x="220"/>
        <item x="365"/>
        <item x="381"/>
        <item x="171"/>
        <item x="437"/>
        <item x="473"/>
        <item x="178"/>
        <item x="280"/>
        <item x="122"/>
        <item x="479"/>
        <item x="414"/>
        <item x="24"/>
        <item x="428"/>
        <item x="471"/>
        <item x="442"/>
        <item x="111"/>
        <item x="283"/>
        <item x="424"/>
        <item x="353"/>
        <item x="425"/>
        <item x="441"/>
        <item x="188"/>
        <item x="343"/>
        <item x="430"/>
        <item x="378"/>
        <item x="351"/>
        <item x="172"/>
        <item x="404"/>
        <item x="275"/>
        <item x="236"/>
        <item x="451"/>
        <item x="344"/>
        <item x="387"/>
        <item x="402"/>
        <item x="419"/>
        <item x="369"/>
        <item x="452"/>
        <item x="361"/>
        <item x="417"/>
        <item x="191"/>
        <item x="308"/>
        <item x="456"/>
        <item x="213"/>
        <item x="319"/>
        <item x="350"/>
        <item x="482"/>
        <item x="416"/>
        <item x="358"/>
        <item x="478"/>
        <item x="154"/>
        <item x="133"/>
        <item x="347"/>
        <item x="269"/>
        <item x="447"/>
        <item x="436"/>
        <item x="321"/>
        <item x="435"/>
        <item x="268"/>
        <item x="422"/>
        <item x="262"/>
        <item x="338"/>
        <item x="380"/>
        <item x="460"/>
        <item x="375"/>
        <item x="407"/>
        <item x="348"/>
        <item x="472"/>
        <item x="468"/>
        <item x="346"/>
        <item x="29"/>
        <item x="439"/>
        <item x="364"/>
        <item x="259"/>
        <item x="449"/>
        <item x="329"/>
        <item x="316"/>
        <item x="326"/>
        <item x="433"/>
        <item x="377"/>
        <item x="149"/>
        <item x="303"/>
        <item x="325"/>
        <item x="312"/>
        <item x="389"/>
        <item x="432"/>
        <item x="38"/>
        <item x="330"/>
        <item x="116"/>
        <item x="132"/>
        <item x="300"/>
        <item x="474"/>
        <item x="237"/>
        <item x="164"/>
        <item x="465"/>
        <item x="279"/>
        <item x="405"/>
        <item x="120"/>
        <item x="458"/>
        <item x="156"/>
        <item x="397"/>
        <item x="274"/>
        <item x="388"/>
        <item x="210"/>
        <item x="266"/>
        <item x="438"/>
        <item x="245"/>
        <item x="62"/>
        <item x="476"/>
        <item x="366"/>
        <item x="463"/>
        <item x="207"/>
        <item x="370"/>
        <item x="390"/>
        <item x="47"/>
        <item x="327"/>
        <item x="41"/>
        <item x="153"/>
        <item x="51"/>
        <item x="392"/>
        <item x="165"/>
        <item x="8"/>
        <item x="201"/>
        <item x="12"/>
        <item x="297"/>
        <item x="232"/>
        <item x="144"/>
        <item x="359"/>
        <item x="170"/>
        <item x="56"/>
        <item x="115"/>
        <item x="31"/>
        <item x="45"/>
        <item x="228"/>
        <item x="190"/>
        <item x="462"/>
        <item x="150"/>
        <item x="85"/>
        <item x="246"/>
        <item x="125"/>
        <item x="109"/>
        <item x="131"/>
        <item x="426"/>
        <item x="73"/>
        <item x="168"/>
        <item x="118"/>
        <item x="18"/>
        <item x="127"/>
        <item x="374"/>
        <item x="214"/>
        <item x="46"/>
        <item x="158"/>
        <item x="77"/>
        <item x="34"/>
        <item x="183"/>
        <item x="403"/>
        <item x="60"/>
        <item x="42"/>
        <item x="4"/>
        <item x="64"/>
        <item x="99"/>
        <item x="294"/>
        <item x="200"/>
        <item x="87"/>
        <item x="16"/>
        <item x="90"/>
        <item x="445"/>
        <item x="1"/>
        <item x="282"/>
        <item x="241"/>
        <item x="10"/>
        <item x="233"/>
        <item x="318"/>
        <item x="229"/>
        <item x="184"/>
        <item x="137"/>
        <item x="6"/>
        <item x="360"/>
        <item x="261"/>
        <item x="19"/>
        <item x="337"/>
        <item x="135"/>
        <item x="253"/>
        <item x="63"/>
        <item x="80"/>
        <item x="160"/>
        <item x="55"/>
        <item x="310"/>
        <item x="401"/>
        <item x="336"/>
        <item x="75"/>
        <item x="406"/>
        <item x="396"/>
        <item x="265"/>
        <item x="383"/>
        <item x="314"/>
        <item x="94"/>
        <item x="412"/>
        <item x="11"/>
        <item x="292"/>
        <item x="81"/>
        <item x="9"/>
        <item x="58"/>
        <item x="175"/>
        <item x="270"/>
        <item x="141"/>
        <item x="68"/>
        <item x="247"/>
        <item x="218"/>
        <item x="151"/>
        <item x="20"/>
        <item x="230"/>
        <item x="440"/>
        <item x="408"/>
        <item x="17"/>
        <item x="197"/>
        <item x="363"/>
        <item x="313"/>
        <item x="352"/>
        <item x="273"/>
        <item x="278"/>
        <item x="398"/>
        <item x="208"/>
        <item x="467"/>
        <item x="25"/>
        <item x="15"/>
        <item x="182"/>
        <item x="105"/>
        <item x="143"/>
        <item x="333"/>
        <item x="177"/>
        <item x="13"/>
        <item x="299"/>
        <item x="138"/>
        <item x="307"/>
        <item x="27"/>
        <item x="301"/>
        <item x="104"/>
        <item x="95"/>
        <item x="295"/>
        <item x="78"/>
        <item x="216"/>
        <item x="196"/>
        <item x="92"/>
        <item x="324"/>
        <item x="33"/>
        <item x="284"/>
        <item x="93"/>
        <item x="148"/>
        <item x="35"/>
        <item x="130"/>
        <item x="173"/>
        <item x="238"/>
        <item x="101"/>
        <item x="72"/>
        <item x="119"/>
        <item x="222"/>
        <item x="203"/>
        <item x="83"/>
        <item x="67"/>
        <item x="2"/>
        <item x="199"/>
        <item x="480"/>
        <item x="271"/>
        <item x="305"/>
        <item x="100"/>
        <item x="372"/>
        <item x="211"/>
        <item x="477"/>
        <item x="217"/>
        <item x="50"/>
        <item x="146"/>
        <item x="281"/>
        <item x="157"/>
        <item x="240"/>
        <item x="187"/>
        <item x="86"/>
        <item x="32"/>
        <item x="227"/>
        <item x="44"/>
        <item x="61"/>
        <item x="112"/>
        <item x="126"/>
        <item x="291"/>
        <item x="224"/>
        <item x="82"/>
        <item x="0"/>
        <item x="332"/>
        <item x="180"/>
        <item x="373"/>
        <item x="429"/>
        <item x="124"/>
        <item x="293"/>
        <item x="421"/>
        <item x="142"/>
        <item x="70"/>
        <item x="189"/>
        <item x="66"/>
        <item x="107"/>
        <item x="121"/>
        <item x="391"/>
        <item x="215"/>
        <item x="5"/>
        <item x="209"/>
        <item x="53"/>
        <item x="88"/>
        <item x="139"/>
        <item x="234"/>
        <item x="71"/>
        <item x="14"/>
        <item x="198"/>
        <item x="117"/>
        <item x="186"/>
        <item x="169"/>
        <item x="163"/>
        <item x="205"/>
        <item x="248"/>
        <item x="3"/>
        <item x="242"/>
        <item x="341"/>
        <item x="96"/>
        <item x="108"/>
        <item x="26"/>
        <item x="97"/>
        <item x="302"/>
        <item x="368"/>
        <item x="193"/>
        <item x="290"/>
        <item x="36"/>
        <item x="128"/>
        <item x="410"/>
        <item x="393"/>
        <item x="212"/>
        <item x="244"/>
        <item x="136"/>
        <item x="251"/>
        <item x="223"/>
        <item x="342"/>
        <item x="304"/>
        <item x="162"/>
        <item x="89"/>
        <item x="263"/>
        <item x="287"/>
        <item x="461"/>
        <item x="152"/>
        <item x="74"/>
        <item x="285"/>
        <item x="243"/>
        <item x="69"/>
        <item x="21"/>
        <item x="59"/>
        <item t="default"/>
      </items>
      <autoSortScope>
        <pivotArea dataOnly="0" outline="0" fieldPosition="0">
          <references count="1">
            <reference field="4294967294" count="1" selected="0">
              <x v="0"/>
            </reference>
          </references>
        </pivotArea>
      </autoSortScope>
    </pivotField>
    <pivotField axis="axisRow" showAll="0" measureFilter="1" sortType="descending">
      <items count="38">
        <item x="14"/>
        <item x="5"/>
        <item x="10"/>
        <item x="18"/>
        <item x="23"/>
        <item x="30"/>
        <item x="16"/>
        <item x="27"/>
        <item x="20"/>
        <item x="11"/>
        <item x="19"/>
        <item x="24"/>
        <item x="28"/>
        <item x="34"/>
        <item x="36"/>
        <item x="33"/>
        <item x="35"/>
        <item x="25"/>
        <item x="26"/>
        <item x="32"/>
        <item x="22"/>
        <item x="21"/>
        <item x="31"/>
        <item x="29"/>
        <item x="13"/>
        <item x="15"/>
        <item x="17"/>
        <item x="6"/>
        <item x="1"/>
        <item x="4"/>
        <item x="7"/>
        <item x="8"/>
        <item x="2"/>
        <item x="0"/>
        <item x="3"/>
        <item x="12"/>
        <item x="9"/>
        <item t="default"/>
      </items>
      <autoSortScope>
        <pivotArea dataOnly="0" outline="0" fieldPosition="0">
          <references count="1">
            <reference field="4294967294" count="1" selected="0">
              <x v="0"/>
            </reference>
          </references>
        </pivotArea>
      </autoSortScope>
    </pivotField>
    <pivotField showAll="0">
      <items count="18">
        <item x="7"/>
        <item x="9"/>
        <item x="0"/>
        <item x="10"/>
        <item x="11"/>
        <item x="2"/>
        <item x="3"/>
        <item x="4"/>
        <item x="5"/>
        <item x="1"/>
        <item x="8"/>
        <item x="13"/>
        <item x="12"/>
        <item x="14"/>
        <item x="16"/>
        <item x="15"/>
        <item x="6"/>
        <item t="default"/>
      </items>
    </pivotField>
    <pivotField showAll="0">
      <items count="60">
        <item x="30"/>
        <item x="4"/>
        <item x="25"/>
        <item x="52"/>
        <item x="35"/>
        <item x="3"/>
        <item x="53"/>
        <item x="0"/>
        <item x="22"/>
        <item x="23"/>
        <item x="8"/>
        <item x="45"/>
        <item x="11"/>
        <item x="31"/>
        <item x="49"/>
        <item x="13"/>
        <item x="20"/>
        <item x="7"/>
        <item x="56"/>
        <item x="21"/>
        <item x="16"/>
        <item x="26"/>
        <item x="6"/>
        <item x="12"/>
        <item x="2"/>
        <item x="17"/>
        <item x="33"/>
        <item x="37"/>
        <item x="34"/>
        <item x="55"/>
        <item x="46"/>
        <item x="32"/>
        <item x="27"/>
        <item x="40"/>
        <item x="28"/>
        <item x="39"/>
        <item x="14"/>
        <item x="48"/>
        <item x="10"/>
        <item x="36"/>
        <item x="29"/>
        <item x="38"/>
        <item x="41"/>
        <item x="15"/>
        <item x="57"/>
        <item x="24"/>
        <item x="9"/>
        <item x="58"/>
        <item x="44"/>
        <item x="43"/>
        <item x="5"/>
        <item x="47"/>
        <item x="50"/>
        <item x="42"/>
        <item x="19"/>
        <item x="18"/>
        <item x="1"/>
        <item x="54"/>
        <item x="51"/>
        <item t="default"/>
      </items>
    </pivotField>
    <pivotField showAll="0"/>
    <pivotField showAll="0">
      <items count="7">
        <item x="0"/>
        <item x="1"/>
        <item x="2"/>
        <item x="3"/>
        <item x="4"/>
        <item x="5"/>
        <item t="default"/>
      </items>
    </pivotField>
  </pivotFields>
  <rowFields count="1">
    <field x="6"/>
  </rowFields>
  <rowItems count="11">
    <i>
      <x v="34"/>
    </i>
    <i>
      <x v="32"/>
    </i>
    <i>
      <x v="35"/>
    </i>
    <i>
      <x v="1"/>
    </i>
    <i>
      <x v="2"/>
    </i>
    <i>
      <x v="31"/>
    </i>
    <i>
      <x v="27"/>
    </i>
    <i>
      <x v="28"/>
    </i>
    <i>
      <x v="29"/>
    </i>
    <i>
      <x v="26"/>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7" iMeasureFld="0">
      <autoFilter ref="A1">
        <filterColumn colId="0">
          <top10 val="10" filterVal="10"/>
        </filterColumn>
      </autoFilter>
    </filter>
    <filter fld="6"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82411B-A973-45E8-B991-252229CEAA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235" firstHeaderRow="0" firstDataRow="1" firstDataCol="1" rowPageCount="1" colPageCount="1"/>
  <pivotFields count="11">
    <pivotField axis="axisRow" showAll="0">
      <items count="1886">
        <item x="1549"/>
        <item x="3"/>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m="1" x="18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0"/>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1"/>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8"/>
        <item x="1067"/>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13"/>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t="default"/>
      </items>
    </pivotField>
    <pivotField axis="axisRow" showAll="0">
      <items count="192">
        <item x="184"/>
        <item x="130"/>
        <item x="91"/>
        <item x="70"/>
        <item x="86"/>
        <item x="56"/>
        <item x="44"/>
        <item x="110"/>
        <item x="29"/>
        <item x="27"/>
        <item x="156"/>
        <item x="117"/>
        <item x="105"/>
        <item x="148"/>
        <item x="122"/>
        <item x="121"/>
        <item x="104"/>
        <item x="60"/>
        <item x="16"/>
        <item x="129"/>
        <item x="93"/>
        <item x="33"/>
        <item x="17"/>
        <item x="176"/>
        <item x="14"/>
        <item x="46"/>
        <item x="20"/>
        <item x="40"/>
        <item x="119"/>
        <item x="89"/>
        <item x="113"/>
        <item x="65"/>
        <item x="76"/>
        <item x="155"/>
        <item x="81"/>
        <item x="57"/>
        <item x="189"/>
        <item m="1" x="190"/>
        <item x="131"/>
        <item x="39"/>
        <item x="15"/>
        <item x="8"/>
        <item x="108"/>
        <item x="49"/>
        <item x="23"/>
        <item x="177"/>
        <item x="55"/>
        <item x="174"/>
        <item x="186"/>
        <item x="58"/>
        <item x="101"/>
        <item x="26"/>
        <item x="45"/>
        <item x="135"/>
        <item x="50"/>
        <item x="2"/>
        <item x="19"/>
        <item x="179"/>
        <item x="170"/>
        <item x="164"/>
        <item x="106"/>
        <item x="124"/>
        <item x="125"/>
        <item x="172"/>
        <item x="126"/>
        <item x="71"/>
        <item x="128"/>
        <item x="80"/>
        <item x="109"/>
        <item x="187"/>
        <item x="25"/>
        <item x="158"/>
        <item x="32"/>
        <item x="134"/>
        <item x="90"/>
        <item x="157"/>
        <item x="30"/>
        <item x="188"/>
        <item x="118"/>
        <item x="115"/>
        <item x="24"/>
        <item x="102"/>
        <item x="133"/>
        <item x="92"/>
        <item x="79"/>
        <item x="180"/>
        <item x="84"/>
        <item x="116"/>
        <item x="73"/>
        <item x="82"/>
        <item x="69"/>
        <item x="22"/>
        <item x="142"/>
        <item x="143"/>
        <item x="161"/>
        <item x="94"/>
        <item x="141"/>
        <item x="123"/>
        <item x="43"/>
        <item x="3"/>
        <item x="53"/>
        <item x="140"/>
        <item x="160"/>
        <item x="147"/>
        <item x="72"/>
        <item x="159"/>
        <item x="144"/>
        <item x="54"/>
        <item x="66"/>
        <item x="37"/>
        <item x="83"/>
        <item x="114"/>
        <item x="47"/>
        <item x="136"/>
        <item x="178"/>
        <item x="28"/>
        <item x="31"/>
        <item x="12"/>
        <item x="41"/>
        <item x="87"/>
        <item x="150"/>
        <item x="75"/>
        <item x="107"/>
        <item x="74"/>
        <item x="77"/>
        <item x="132"/>
        <item x="4"/>
        <item x="137"/>
        <item x="63"/>
        <item x="96"/>
        <item x="175"/>
        <item x="149"/>
        <item x="165"/>
        <item x="173"/>
        <item x="51"/>
        <item x="97"/>
        <item x="68"/>
        <item x="48"/>
        <item x="42"/>
        <item x="13"/>
        <item x="185"/>
        <item x="138"/>
        <item x="52"/>
        <item x="111"/>
        <item x="62"/>
        <item x="103"/>
        <item x="85"/>
        <item x="171"/>
        <item x="99"/>
        <item x="18"/>
        <item x="154"/>
        <item x="78"/>
        <item x="139"/>
        <item x="36"/>
        <item x="98"/>
        <item x="59"/>
        <item x="5"/>
        <item x="183"/>
        <item x="9"/>
        <item x="127"/>
        <item x="120"/>
        <item x="1"/>
        <item x="61"/>
        <item x="67"/>
        <item x="21"/>
        <item x="163"/>
        <item x="153"/>
        <item x="34"/>
        <item x="100"/>
        <item x="11"/>
        <item x="7"/>
        <item x="152"/>
        <item x="151"/>
        <item x="35"/>
        <item x="168"/>
        <item x="95"/>
        <item x="0"/>
        <item x="166"/>
        <item x="167"/>
        <item x="10"/>
        <item x="88"/>
        <item x="64"/>
        <item x="181"/>
        <item x="162"/>
        <item x="6"/>
        <item x="38"/>
        <item x="145"/>
        <item x="169"/>
        <item x="112"/>
        <item x="182"/>
        <item x="146"/>
        <item t="default"/>
      </items>
    </pivotField>
    <pivotField showAll="0"/>
    <pivotField dataField="1" showAll="0"/>
    <pivotField axis="axisPage" dataField="1" multipleItemSelectionAllowed="1" showAll="0">
      <items count="75">
        <item h="1" x="71"/>
        <item h="1" x="18"/>
        <item h="1" x="69"/>
        <item h="1" x="12"/>
        <item h="1" x="16"/>
        <item h="1" x="54"/>
        <item h="1" x="30"/>
        <item h="1" x="13"/>
        <item h="1" x="72"/>
        <item h="1" x="1"/>
        <item h="1" x="11"/>
        <item h="1" x="4"/>
        <item h="1" x="2"/>
        <item h="1" x="10"/>
        <item h="1" x="33"/>
        <item h="1" x="62"/>
        <item h="1" x="5"/>
        <item h="1" x="48"/>
        <item h="1" x="35"/>
        <item h="1" x="23"/>
        <item h="1" x="6"/>
        <item h="1" x="14"/>
        <item h="1" x="3"/>
        <item h="1" x="26"/>
        <item h="1" x="19"/>
        <item h="1" x="7"/>
        <item h="1" x="17"/>
        <item h="1" x="29"/>
        <item h="1" x="15"/>
        <item h="1" x="47"/>
        <item h="1" x="9"/>
        <item h="1" x="49"/>
        <item h="1" x="27"/>
        <item h="1" x="40"/>
        <item h="1" x="57"/>
        <item h="1" x="8"/>
        <item h="1" x="21"/>
        <item h="1" x="45"/>
        <item h="1" x="37"/>
        <item h="1" x="41"/>
        <item h="1" x="46"/>
        <item h="1" x="32"/>
        <item h="1" x="39"/>
        <item h="1" x="28"/>
        <item h="1" x="65"/>
        <item h="1" x="24"/>
        <item h="1" x="67"/>
        <item h="1" x="55"/>
        <item h="1" x="38"/>
        <item h="1" x="50"/>
        <item h="1" x="44"/>
        <item h="1" x="58"/>
        <item h="1" x="61"/>
        <item h="1" x="59"/>
        <item h="1" x="31"/>
        <item h="1" x="68"/>
        <item h="1" x="66"/>
        <item h="1" x="42"/>
        <item h="1" x="51"/>
        <item h="1" x="56"/>
        <item h="1" x="25"/>
        <item h="1" x="34"/>
        <item h="1" x="22"/>
        <item h="1" x="73"/>
        <item h="1" x="36"/>
        <item h="1" x="43"/>
        <item h="1" x="52"/>
        <item h="1" x="63"/>
        <item h="1" x="70"/>
        <item h="1" x="60"/>
        <item h="1" x="64"/>
        <item h="1" x="53"/>
        <item x="20"/>
        <item h="1" x="0"/>
        <item t="default"/>
      </items>
    </pivotField>
    <pivotField numFmtId="14" showAll="0">
      <items count="484">
        <item x="286"/>
        <item x="455"/>
        <item x="340"/>
        <item x="334"/>
        <item x="311"/>
        <item x="79"/>
        <item x="257"/>
        <item x="194"/>
        <item x="309"/>
        <item x="235"/>
        <item x="123"/>
        <item x="129"/>
        <item x="434"/>
        <item x="76"/>
        <item x="161"/>
        <item x="30"/>
        <item x="22"/>
        <item x="7"/>
        <item x="57"/>
        <item x="349"/>
        <item x="102"/>
        <item x="145"/>
        <item x="98"/>
        <item x="185"/>
        <item x="225"/>
        <item x="106"/>
        <item x="231"/>
        <item x="110"/>
        <item x="54"/>
        <item x="206"/>
        <item x="147"/>
        <item x="394"/>
        <item x="250"/>
        <item x="179"/>
        <item x="48"/>
        <item x="252"/>
        <item x="28"/>
        <item x="415"/>
        <item x="114"/>
        <item x="84"/>
        <item x="362"/>
        <item x="43"/>
        <item x="113"/>
        <item x="382"/>
        <item x="204"/>
        <item x="40"/>
        <item x="306"/>
        <item x="49"/>
        <item x="399"/>
        <item x="195"/>
        <item x="267"/>
        <item x="134"/>
        <item x="256"/>
        <item x="371"/>
        <item x="385"/>
        <item x="37"/>
        <item x="272"/>
        <item x="355"/>
        <item x="260"/>
        <item x="457"/>
        <item x="202"/>
        <item x="23"/>
        <item x="289"/>
        <item x="167"/>
        <item x="176"/>
        <item x="255"/>
        <item x="226"/>
        <item x="254"/>
        <item x="181"/>
        <item x="298"/>
        <item x="354"/>
        <item x="335"/>
        <item x="174"/>
        <item x="454"/>
        <item x="249"/>
        <item x="328"/>
        <item x="400"/>
        <item x="103"/>
        <item x="469"/>
        <item x="356"/>
        <item x="264"/>
        <item x="323"/>
        <item x="448"/>
        <item x="192"/>
        <item x="296"/>
        <item x="91"/>
        <item x="317"/>
        <item x="331"/>
        <item x="315"/>
        <item x="420"/>
        <item x="155"/>
        <item x="475"/>
        <item x="443"/>
        <item x="411"/>
        <item x="444"/>
        <item x="258"/>
        <item x="376"/>
        <item x="379"/>
        <item x="219"/>
        <item x="423"/>
        <item x="427"/>
        <item x="418"/>
        <item x="166"/>
        <item x="464"/>
        <item x="459"/>
        <item x="322"/>
        <item x="288"/>
        <item x="395"/>
        <item x="339"/>
        <item x="357"/>
        <item x="276"/>
        <item x="384"/>
        <item x="277"/>
        <item x="450"/>
        <item x="446"/>
        <item x="367"/>
        <item x="386"/>
        <item x="140"/>
        <item x="52"/>
        <item x="453"/>
        <item x="413"/>
        <item x="466"/>
        <item x="159"/>
        <item x="39"/>
        <item x="470"/>
        <item x="345"/>
        <item x="65"/>
        <item x="221"/>
        <item x="409"/>
        <item x="320"/>
        <item x="481"/>
        <item x="431"/>
        <item x="239"/>
        <item x="220"/>
        <item x="365"/>
        <item x="381"/>
        <item x="171"/>
        <item x="437"/>
        <item x="473"/>
        <item x="178"/>
        <item x="280"/>
        <item x="122"/>
        <item x="479"/>
        <item x="414"/>
        <item x="24"/>
        <item x="428"/>
        <item x="471"/>
        <item x="442"/>
        <item x="111"/>
        <item x="283"/>
        <item x="424"/>
        <item x="353"/>
        <item x="425"/>
        <item x="441"/>
        <item x="188"/>
        <item x="343"/>
        <item x="430"/>
        <item x="378"/>
        <item x="351"/>
        <item x="172"/>
        <item x="404"/>
        <item x="275"/>
        <item x="236"/>
        <item x="451"/>
        <item x="344"/>
        <item x="387"/>
        <item x="402"/>
        <item x="419"/>
        <item x="369"/>
        <item x="452"/>
        <item x="361"/>
        <item x="417"/>
        <item x="191"/>
        <item x="308"/>
        <item x="456"/>
        <item x="213"/>
        <item x="319"/>
        <item x="350"/>
        <item x="482"/>
        <item x="416"/>
        <item x="358"/>
        <item x="478"/>
        <item x="154"/>
        <item x="133"/>
        <item x="347"/>
        <item x="269"/>
        <item x="447"/>
        <item x="436"/>
        <item x="321"/>
        <item x="435"/>
        <item x="268"/>
        <item x="422"/>
        <item x="262"/>
        <item x="338"/>
        <item x="380"/>
        <item x="460"/>
        <item x="375"/>
        <item x="407"/>
        <item x="348"/>
        <item x="472"/>
        <item x="468"/>
        <item x="346"/>
        <item x="29"/>
        <item x="439"/>
        <item x="364"/>
        <item x="259"/>
        <item x="449"/>
        <item x="329"/>
        <item x="316"/>
        <item x="326"/>
        <item x="433"/>
        <item x="377"/>
        <item x="149"/>
        <item x="303"/>
        <item x="325"/>
        <item x="312"/>
        <item x="389"/>
        <item x="432"/>
        <item x="38"/>
        <item x="330"/>
        <item x="116"/>
        <item x="132"/>
        <item x="300"/>
        <item x="474"/>
        <item x="237"/>
        <item x="164"/>
        <item x="465"/>
        <item x="279"/>
        <item x="405"/>
        <item x="120"/>
        <item x="458"/>
        <item x="156"/>
        <item x="397"/>
        <item x="274"/>
        <item x="388"/>
        <item x="210"/>
        <item x="266"/>
        <item x="438"/>
        <item x="245"/>
        <item x="62"/>
        <item x="476"/>
        <item x="366"/>
        <item x="463"/>
        <item x="207"/>
        <item x="370"/>
        <item x="390"/>
        <item x="47"/>
        <item x="327"/>
        <item x="41"/>
        <item x="153"/>
        <item x="51"/>
        <item x="392"/>
        <item x="165"/>
        <item x="8"/>
        <item x="201"/>
        <item x="12"/>
        <item x="297"/>
        <item x="232"/>
        <item x="144"/>
        <item x="359"/>
        <item x="170"/>
        <item x="56"/>
        <item x="115"/>
        <item x="31"/>
        <item x="45"/>
        <item x="228"/>
        <item x="190"/>
        <item x="462"/>
        <item x="150"/>
        <item x="85"/>
        <item x="246"/>
        <item x="125"/>
        <item x="109"/>
        <item x="131"/>
        <item x="426"/>
        <item x="73"/>
        <item x="168"/>
        <item x="118"/>
        <item x="18"/>
        <item x="127"/>
        <item x="374"/>
        <item x="214"/>
        <item x="46"/>
        <item x="158"/>
        <item x="77"/>
        <item x="34"/>
        <item x="183"/>
        <item x="403"/>
        <item x="60"/>
        <item x="42"/>
        <item x="4"/>
        <item x="64"/>
        <item x="99"/>
        <item x="294"/>
        <item x="200"/>
        <item x="87"/>
        <item x="16"/>
        <item x="90"/>
        <item x="445"/>
        <item x="1"/>
        <item x="282"/>
        <item x="241"/>
        <item x="10"/>
        <item x="233"/>
        <item x="318"/>
        <item x="229"/>
        <item x="184"/>
        <item x="137"/>
        <item x="6"/>
        <item x="360"/>
        <item x="261"/>
        <item x="19"/>
        <item x="337"/>
        <item x="135"/>
        <item x="253"/>
        <item x="63"/>
        <item x="80"/>
        <item x="160"/>
        <item x="55"/>
        <item x="310"/>
        <item x="401"/>
        <item x="336"/>
        <item x="75"/>
        <item x="406"/>
        <item x="396"/>
        <item x="265"/>
        <item x="383"/>
        <item x="314"/>
        <item x="94"/>
        <item x="412"/>
        <item x="11"/>
        <item x="292"/>
        <item x="81"/>
        <item x="9"/>
        <item x="58"/>
        <item x="175"/>
        <item x="270"/>
        <item x="141"/>
        <item x="68"/>
        <item x="247"/>
        <item x="218"/>
        <item x="151"/>
        <item x="20"/>
        <item x="230"/>
        <item x="440"/>
        <item x="408"/>
        <item x="17"/>
        <item x="197"/>
        <item x="363"/>
        <item x="313"/>
        <item x="352"/>
        <item x="273"/>
        <item x="278"/>
        <item x="398"/>
        <item x="208"/>
        <item x="467"/>
        <item x="25"/>
        <item x="15"/>
        <item x="182"/>
        <item x="105"/>
        <item x="143"/>
        <item x="333"/>
        <item x="177"/>
        <item x="13"/>
        <item x="299"/>
        <item x="138"/>
        <item x="307"/>
        <item x="27"/>
        <item x="301"/>
        <item x="104"/>
        <item x="95"/>
        <item x="295"/>
        <item x="78"/>
        <item x="216"/>
        <item x="196"/>
        <item x="92"/>
        <item x="324"/>
        <item x="33"/>
        <item x="284"/>
        <item x="93"/>
        <item x="148"/>
        <item x="35"/>
        <item x="130"/>
        <item x="173"/>
        <item x="238"/>
        <item x="101"/>
        <item x="72"/>
        <item x="119"/>
        <item x="222"/>
        <item x="203"/>
        <item x="83"/>
        <item x="67"/>
        <item x="2"/>
        <item x="199"/>
        <item x="480"/>
        <item x="271"/>
        <item x="305"/>
        <item x="100"/>
        <item x="372"/>
        <item x="211"/>
        <item x="477"/>
        <item x="217"/>
        <item x="50"/>
        <item x="146"/>
        <item x="281"/>
        <item x="157"/>
        <item x="240"/>
        <item x="187"/>
        <item x="86"/>
        <item x="32"/>
        <item x="227"/>
        <item x="44"/>
        <item x="61"/>
        <item x="112"/>
        <item x="126"/>
        <item x="291"/>
        <item x="224"/>
        <item x="82"/>
        <item x="0"/>
        <item x="332"/>
        <item x="180"/>
        <item x="373"/>
        <item x="429"/>
        <item x="124"/>
        <item x="293"/>
        <item x="421"/>
        <item x="142"/>
        <item x="70"/>
        <item x="189"/>
        <item x="66"/>
        <item x="107"/>
        <item x="121"/>
        <item x="391"/>
        <item x="215"/>
        <item x="5"/>
        <item x="209"/>
        <item x="53"/>
        <item x="88"/>
        <item x="139"/>
        <item x="234"/>
        <item x="71"/>
        <item x="14"/>
        <item x="198"/>
        <item x="117"/>
        <item x="186"/>
        <item x="169"/>
        <item x="163"/>
        <item x="205"/>
        <item x="248"/>
        <item x="3"/>
        <item x="242"/>
        <item x="341"/>
        <item x="96"/>
        <item x="108"/>
        <item x="26"/>
        <item x="97"/>
        <item x="302"/>
        <item x="368"/>
        <item x="193"/>
        <item x="290"/>
        <item x="36"/>
        <item x="128"/>
        <item x="410"/>
        <item x="393"/>
        <item x="212"/>
        <item x="244"/>
        <item x="136"/>
        <item x="251"/>
        <item x="223"/>
        <item x="342"/>
        <item x="304"/>
        <item x="162"/>
        <item x="89"/>
        <item x="263"/>
        <item x="287"/>
        <item x="461"/>
        <item x="152"/>
        <item x="74"/>
        <item x="285"/>
        <item x="243"/>
        <item x="69"/>
        <item x="21"/>
        <item x="59"/>
        <item t="default"/>
      </items>
    </pivotField>
    <pivotField showAll="0"/>
    <pivotField showAll="0">
      <items count="18">
        <item x="7"/>
        <item x="9"/>
        <item x="0"/>
        <item x="10"/>
        <item x="11"/>
        <item x="2"/>
        <item x="3"/>
        <item x="4"/>
        <item x="5"/>
        <item x="1"/>
        <item x="8"/>
        <item x="13"/>
        <item x="12"/>
        <item x="14"/>
        <item x="16"/>
        <item x="15"/>
        <item x="6"/>
        <item t="default"/>
      </items>
    </pivotField>
    <pivotField showAll="0">
      <items count="60">
        <item x="30"/>
        <item x="4"/>
        <item x="25"/>
        <item x="52"/>
        <item x="35"/>
        <item x="3"/>
        <item x="53"/>
        <item x="0"/>
        <item x="22"/>
        <item x="23"/>
        <item x="8"/>
        <item x="45"/>
        <item x="11"/>
        <item x="31"/>
        <item x="49"/>
        <item x="13"/>
        <item x="20"/>
        <item x="7"/>
        <item x="56"/>
        <item x="21"/>
        <item x="16"/>
        <item x="26"/>
        <item x="6"/>
        <item x="12"/>
        <item x="2"/>
        <item x="17"/>
        <item x="33"/>
        <item x="37"/>
        <item x="34"/>
        <item x="55"/>
        <item x="46"/>
        <item x="32"/>
        <item x="27"/>
        <item x="40"/>
        <item x="28"/>
        <item x="39"/>
        <item x="14"/>
        <item x="48"/>
        <item x="10"/>
        <item x="36"/>
        <item x="29"/>
        <item x="38"/>
        <item x="41"/>
        <item x="15"/>
        <item x="57"/>
        <item x="24"/>
        <item x="9"/>
        <item x="58"/>
        <item x="44"/>
        <item x="43"/>
        <item x="5"/>
        <item x="47"/>
        <item x="50"/>
        <item x="42"/>
        <item x="19"/>
        <item x="18"/>
        <item x="1"/>
        <item x="54"/>
        <item x="51"/>
        <item t="default"/>
      </items>
    </pivotField>
    <pivotField showAll="0"/>
    <pivotField showAll="0" defaultSubtotal="0">
      <items count="6">
        <item x="0"/>
        <item x="1"/>
        <item x="2"/>
        <item x="3"/>
        <item x="4"/>
        <item x="5"/>
      </items>
    </pivotField>
  </pivotFields>
  <rowFields count="2">
    <field x="0"/>
    <field x="1"/>
  </rowFields>
  <rowItems count="231">
    <i>
      <x v="37"/>
    </i>
    <i r="1">
      <x v="161"/>
    </i>
    <i>
      <x v="40"/>
    </i>
    <i r="1">
      <x v="91"/>
    </i>
    <i>
      <x v="46"/>
    </i>
    <i r="1">
      <x v="80"/>
    </i>
    <i>
      <x v="70"/>
    </i>
    <i r="1">
      <x v="158"/>
    </i>
    <i>
      <x v="89"/>
    </i>
    <i r="1">
      <x v="27"/>
    </i>
    <i>
      <x v="102"/>
    </i>
    <i r="1">
      <x v="149"/>
    </i>
    <i>
      <x v="110"/>
    </i>
    <i r="1">
      <x v="158"/>
    </i>
    <i>
      <x v="115"/>
    </i>
    <i r="1">
      <x v="161"/>
    </i>
    <i>
      <x v="119"/>
    </i>
    <i r="1">
      <x v="161"/>
    </i>
    <i>
      <x v="129"/>
    </i>
    <i r="1">
      <x v="54"/>
    </i>
    <i>
      <x v="159"/>
    </i>
    <i r="1">
      <x v="173"/>
    </i>
    <i>
      <x v="169"/>
    </i>
    <i r="1">
      <x v="161"/>
    </i>
    <i>
      <x v="190"/>
    </i>
    <i r="1">
      <x v="126"/>
    </i>
    <i>
      <x v="196"/>
    </i>
    <i r="1">
      <x v="51"/>
    </i>
    <i>
      <x v="221"/>
    </i>
    <i r="1">
      <x v="121"/>
    </i>
    <i>
      <x v="228"/>
    </i>
    <i r="1">
      <x v="98"/>
    </i>
    <i>
      <x v="230"/>
    </i>
    <i r="1">
      <x v="173"/>
    </i>
    <i>
      <x v="241"/>
    </i>
    <i r="1">
      <x v="126"/>
    </i>
    <i>
      <x v="245"/>
    </i>
    <i r="1">
      <x v="161"/>
    </i>
    <i>
      <x v="377"/>
    </i>
    <i r="1">
      <x v="126"/>
    </i>
    <i>
      <x v="385"/>
    </i>
    <i r="1">
      <x v="161"/>
    </i>
    <i>
      <x v="402"/>
    </i>
    <i r="1">
      <x v="17"/>
    </i>
    <i>
      <x v="436"/>
    </i>
    <i r="1">
      <x v="161"/>
    </i>
    <i>
      <x v="451"/>
    </i>
    <i r="1">
      <x v="161"/>
    </i>
    <i>
      <x v="453"/>
    </i>
    <i r="1">
      <x v="107"/>
    </i>
    <i>
      <x v="464"/>
    </i>
    <i r="1">
      <x v="27"/>
    </i>
    <i>
      <x v="483"/>
    </i>
    <i r="1">
      <x v="98"/>
    </i>
    <i>
      <x v="497"/>
    </i>
    <i r="1">
      <x v="17"/>
    </i>
    <i>
      <x v="501"/>
    </i>
    <i r="1">
      <x v="121"/>
    </i>
    <i>
      <x v="504"/>
    </i>
    <i r="1">
      <x v="164"/>
    </i>
    <i>
      <x v="513"/>
    </i>
    <i r="1">
      <x v="161"/>
    </i>
    <i>
      <x v="516"/>
    </i>
    <i r="1">
      <x v="161"/>
    </i>
    <i>
      <x v="532"/>
    </i>
    <i r="1">
      <x v="126"/>
    </i>
    <i>
      <x v="533"/>
    </i>
    <i r="1">
      <x v="60"/>
    </i>
    <i>
      <x v="568"/>
    </i>
    <i r="1">
      <x v="161"/>
    </i>
    <i>
      <x v="571"/>
    </i>
    <i r="1">
      <x v="24"/>
    </i>
    <i>
      <x v="574"/>
    </i>
    <i r="1">
      <x v="138"/>
    </i>
    <i>
      <x v="580"/>
    </i>
    <i r="1">
      <x v="39"/>
    </i>
    <i>
      <x v="601"/>
    </i>
    <i r="1">
      <x v="98"/>
    </i>
    <i>
      <x v="641"/>
    </i>
    <i r="1">
      <x v="99"/>
    </i>
    <i>
      <x v="660"/>
    </i>
    <i r="1">
      <x v="49"/>
    </i>
    <i>
      <x v="675"/>
    </i>
    <i r="1">
      <x v="117"/>
    </i>
    <i>
      <x v="677"/>
    </i>
    <i r="1">
      <x v="176"/>
    </i>
    <i>
      <x v="706"/>
    </i>
    <i r="1">
      <x v="126"/>
    </i>
    <i>
      <x v="712"/>
    </i>
    <i r="1">
      <x v="161"/>
    </i>
    <i>
      <x v="722"/>
    </i>
    <i r="1">
      <x v="8"/>
    </i>
    <i>
      <x v="743"/>
    </i>
    <i r="1">
      <x v="164"/>
    </i>
    <i>
      <x v="754"/>
    </i>
    <i r="1">
      <x v="176"/>
    </i>
    <i>
      <x v="755"/>
    </i>
    <i r="1">
      <x v="161"/>
    </i>
    <i>
      <x v="832"/>
    </i>
    <i r="1">
      <x v="158"/>
    </i>
    <i>
      <x v="841"/>
    </i>
    <i r="1">
      <x v="126"/>
    </i>
    <i>
      <x v="850"/>
    </i>
    <i r="1">
      <x v="99"/>
    </i>
    <i>
      <x v="852"/>
    </i>
    <i r="1">
      <x v="159"/>
    </i>
    <i>
      <x v="856"/>
    </i>
    <i r="1">
      <x v="161"/>
    </i>
    <i>
      <x v="867"/>
    </i>
    <i r="1">
      <x v="161"/>
    </i>
    <i>
      <x v="869"/>
    </i>
    <i r="1">
      <x v="161"/>
    </i>
    <i>
      <x v="889"/>
    </i>
    <i r="1">
      <x v="119"/>
    </i>
    <i>
      <x v="899"/>
    </i>
    <i r="1">
      <x v="65"/>
    </i>
    <i>
      <x v="927"/>
    </i>
    <i r="1">
      <x v="117"/>
    </i>
    <i>
      <x v="937"/>
    </i>
    <i r="1">
      <x v="126"/>
    </i>
    <i>
      <x v="949"/>
    </i>
    <i r="1">
      <x v="138"/>
    </i>
    <i>
      <x v="961"/>
    </i>
    <i r="1">
      <x v="16"/>
    </i>
    <i>
      <x v="965"/>
    </i>
    <i r="1">
      <x v="161"/>
    </i>
    <i>
      <x v="977"/>
    </i>
    <i r="1">
      <x v="161"/>
    </i>
    <i>
      <x v="993"/>
    </i>
    <i r="1">
      <x v="126"/>
    </i>
    <i>
      <x v="1007"/>
    </i>
    <i r="1">
      <x v="126"/>
    </i>
    <i>
      <x v="1023"/>
    </i>
    <i r="1">
      <x v="170"/>
    </i>
    <i>
      <x v="1041"/>
    </i>
    <i r="1">
      <x v="98"/>
    </i>
    <i>
      <x v="1057"/>
    </i>
    <i r="1">
      <x v="161"/>
    </i>
    <i>
      <x v="1099"/>
    </i>
    <i r="1">
      <x v="109"/>
    </i>
    <i>
      <x v="1109"/>
    </i>
    <i r="1">
      <x v="18"/>
    </i>
    <i>
      <x v="1146"/>
    </i>
    <i r="1">
      <x v="107"/>
    </i>
    <i>
      <x v="1174"/>
    </i>
    <i r="1">
      <x v="161"/>
    </i>
    <i>
      <x v="1195"/>
    </i>
    <i r="1">
      <x v="161"/>
    </i>
    <i>
      <x v="1218"/>
    </i>
    <i r="1">
      <x v="24"/>
    </i>
    <i>
      <x v="1227"/>
    </i>
    <i r="1">
      <x v="161"/>
    </i>
    <i>
      <x v="1236"/>
    </i>
    <i r="1">
      <x v="158"/>
    </i>
    <i>
      <x v="1246"/>
    </i>
    <i r="1">
      <x v="18"/>
    </i>
    <i>
      <x v="1248"/>
    </i>
    <i r="1">
      <x v="126"/>
    </i>
    <i>
      <x v="1257"/>
    </i>
    <i r="1">
      <x v="164"/>
    </i>
    <i>
      <x v="1262"/>
    </i>
    <i r="1">
      <x v="98"/>
    </i>
    <i>
      <x v="1266"/>
    </i>
    <i r="1">
      <x v="126"/>
    </i>
    <i>
      <x v="1281"/>
    </i>
    <i r="1">
      <x v="71"/>
    </i>
    <i>
      <x v="1285"/>
    </i>
    <i r="1">
      <x v="161"/>
    </i>
    <i>
      <x v="1292"/>
    </i>
    <i r="1">
      <x v="161"/>
    </i>
    <i>
      <x v="1294"/>
    </i>
    <i r="1">
      <x v="127"/>
    </i>
    <i>
      <x v="1304"/>
    </i>
    <i r="1">
      <x v="99"/>
    </i>
    <i>
      <x v="1322"/>
    </i>
    <i r="1">
      <x v="161"/>
    </i>
    <i>
      <x v="1374"/>
    </i>
    <i r="1">
      <x v="158"/>
    </i>
    <i>
      <x v="1414"/>
    </i>
    <i r="1">
      <x v="170"/>
    </i>
    <i>
      <x v="1420"/>
    </i>
    <i r="1">
      <x v="99"/>
    </i>
    <i>
      <x v="1438"/>
    </i>
    <i r="1">
      <x v="17"/>
    </i>
    <i>
      <x v="1449"/>
    </i>
    <i r="1">
      <x v="139"/>
    </i>
    <i>
      <x v="1450"/>
    </i>
    <i r="1">
      <x v="44"/>
    </i>
    <i>
      <x v="1486"/>
    </i>
    <i r="1">
      <x v="173"/>
    </i>
    <i>
      <x v="1492"/>
    </i>
    <i r="1">
      <x v="80"/>
    </i>
    <i>
      <x v="1522"/>
    </i>
    <i r="1">
      <x v="166"/>
    </i>
    <i>
      <x v="1526"/>
    </i>
    <i r="1">
      <x v="161"/>
    </i>
    <i>
      <x v="1529"/>
    </i>
    <i r="1">
      <x v="80"/>
    </i>
    <i>
      <x v="1546"/>
    </i>
    <i r="1">
      <x v="99"/>
    </i>
    <i>
      <x v="1548"/>
    </i>
    <i r="1">
      <x v="161"/>
    </i>
    <i>
      <x v="1553"/>
    </i>
    <i r="1">
      <x v="17"/>
    </i>
    <i>
      <x v="1606"/>
    </i>
    <i r="1">
      <x v="24"/>
    </i>
    <i>
      <x v="1609"/>
    </i>
    <i r="1">
      <x v="54"/>
    </i>
    <i>
      <x v="1616"/>
    </i>
    <i r="1">
      <x v="126"/>
    </i>
    <i>
      <x v="1685"/>
    </i>
    <i r="1">
      <x v="156"/>
    </i>
    <i>
      <x v="1699"/>
    </i>
    <i r="1">
      <x v="67"/>
    </i>
    <i>
      <x v="1764"/>
    </i>
    <i r="1">
      <x v="170"/>
    </i>
    <i>
      <x v="1776"/>
    </i>
    <i r="1">
      <x v="161"/>
    </i>
    <i>
      <x v="1781"/>
    </i>
    <i r="1">
      <x v="161"/>
    </i>
    <i>
      <x v="1791"/>
    </i>
    <i r="1">
      <x v="69"/>
    </i>
    <i>
      <x v="1796"/>
    </i>
    <i r="1">
      <x v="17"/>
    </i>
    <i>
      <x v="1825"/>
    </i>
    <i r="1">
      <x v="161"/>
    </i>
    <i>
      <x v="1833"/>
    </i>
    <i r="1">
      <x v="170"/>
    </i>
    <i>
      <x v="1843"/>
    </i>
    <i r="1">
      <x v="107"/>
    </i>
    <i t="grand">
      <x/>
    </i>
  </rowItems>
  <colFields count="1">
    <field x="-2"/>
  </colFields>
  <colItems count="2">
    <i>
      <x/>
    </i>
    <i i="1">
      <x v="1"/>
    </i>
  </colItems>
  <pageFields count="1">
    <pageField fld="4" hier="-1"/>
  </pageFields>
  <dataFields count="2">
    <dataField name="Sum of total_laid_off" fld="3" baseField="0" baseItem="0"/>
    <dataField name="Sum of percentage_laid_off"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36DCB8-9C3D-4BFC-9290-E932F649B9DA}" autoFormatId="16" applyNumberFormats="0" applyBorderFormats="0" applyFontFormats="0" applyPatternFormats="0" applyAlignmentFormats="0" applyWidthHeightFormats="0">
  <queryTableRefresh nextId="11">
    <queryTableFields count="10">
      <queryTableField id="1" name="company" tableColumnId="1"/>
      <queryTableField id="2" name="location" tableColumnId="2"/>
      <queryTableField id="3" name="industry" tableColumnId="3"/>
      <queryTableField id="4" name="total_laid_off" tableColumnId="4"/>
      <queryTableField id="5" name="percentage_laid_off" tableColumnId="5"/>
      <queryTableField id="6" name="date" tableColumnId="6"/>
      <queryTableField id="10" dataBound="0" tableColumnId="10"/>
      <queryTableField id="7" name="stage" tableColumnId="7"/>
      <queryTableField id="8" name="country" tableColumnId="8"/>
      <queryTableField id="9" name="funds_raised_million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17875663-BAB6-4C07-A051-C370BDA099F6}" sourceName="stage">
  <pivotTables>
    <pivotTable tabId="3" name="PivotTable1"/>
    <pivotTable tabId="18" name="PivotTable2"/>
    <pivotTable tabId="7" name="PivotTable5"/>
    <pivotTable tabId="6" name="PivotTable4"/>
    <pivotTable tabId="8" name="PivotTable6"/>
    <pivotTable tabId="4" name="PivotTable2"/>
    <pivotTable tabId="9" name="PivotTable7"/>
  </pivotTables>
  <data>
    <tabular pivotCacheId="2030889577">
      <items count="17">
        <i x="7" s="1"/>
        <i x="9" s="1"/>
        <i x="0" s="1"/>
        <i x="10" s="1"/>
        <i x="11" s="1"/>
        <i x="2" s="1"/>
        <i x="3" s="1"/>
        <i x="4" s="1"/>
        <i x="5" s="1"/>
        <i x="1" s="1"/>
        <i x="8" s="1"/>
        <i x="13" s="1"/>
        <i x="12" s="1"/>
        <i x="14" s="1"/>
        <i x="16" s="1"/>
        <i x="1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D71D983-D350-41CD-9C99-3805D437D059}" sourceName="country">
  <pivotTables>
    <pivotTable tabId="3" name="PivotTable1"/>
    <pivotTable tabId="18" name="PivotTable2"/>
    <pivotTable tabId="7" name="PivotTable5"/>
    <pivotTable tabId="6" name="PivotTable4"/>
    <pivotTable tabId="8" name="PivotTable6"/>
    <pivotTable tabId="4" name="PivotTable2"/>
    <pivotTable tabId="9" name="PivotTable7"/>
  </pivotTables>
  <data>
    <tabular pivotCacheId="2030889577">
      <items count="59">
        <i x="30" s="1"/>
        <i x="4" s="1"/>
        <i x="25" s="1"/>
        <i x="52" s="1"/>
        <i x="35" s="1"/>
        <i x="3" s="1"/>
        <i x="53" s="1"/>
        <i x="0" s="1"/>
        <i x="22" s="1"/>
        <i x="23" s="1"/>
        <i x="8" s="1"/>
        <i x="45" s="1"/>
        <i x="11" s="1"/>
        <i x="31" s="1"/>
        <i x="49" s="1"/>
        <i x="13" s="1"/>
        <i x="20" s="1"/>
        <i x="7" s="1"/>
        <i x="56" s="1"/>
        <i x="21" s="1"/>
        <i x="16" s="1"/>
        <i x="26" s="1"/>
        <i x="6" s="1"/>
        <i x="12" s="1"/>
        <i x="2" s="1"/>
        <i x="17" s="1"/>
        <i x="33" s="1"/>
        <i x="37" s="1"/>
        <i x="34" s="1"/>
        <i x="55" s="1"/>
        <i x="46" s="1"/>
        <i x="32" s="1"/>
        <i x="27" s="1"/>
        <i x="40" s="1"/>
        <i x="28" s="1"/>
        <i x="39" s="1"/>
        <i x="14" s="1"/>
        <i x="48" s="1"/>
        <i x="10" s="1"/>
        <i x="36" s="1"/>
        <i x="29" s="1"/>
        <i x="38" s="1"/>
        <i x="41" s="1"/>
        <i x="15" s="1"/>
        <i x="57" s="1"/>
        <i x="24" s="1"/>
        <i x="9" s="1"/>
        <i x="58" s="1"/>
        <i x="44" s="1"/>
        <i x="43" s="1"/>
        <i x="5" s="1"/>
        <i x="47" s="1"/>
        <i x="50" s="1"/>
        <i x="42" s="1"/>
        <i x="19" s="1"/>
        <i x="18" s="1"/>
        <i x="1" s="1"/>
        <i x="54" s="1"/>
        <i x="5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7E8A672-C7C9-4D59-A605-811680E5C029}" sourceName="Years (date)">
  <pivotTables>
    <pivotTable tabId="3" name="PivotTable1"/>
    <pivotTable tabId="18" name="PivotTable2"/>
    <pivotTable tabId="7" name="PivotTable5"/>
    <pivotTable tabId="6" name="PivotTable4"/>
    <pivotTable tabId="8" name="PivotTable6"/>
    <pivotTable tabId="4" name="PivotTable2"/>
    <pivotTable tabId="9" name="PivotTable7"/>
  </pivotTables>
  <data>
    <tabular pivotCacheId="203088957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AA466CEC-F65B-4C52-8EDE-7B0417DE2743}" cache="Slicer_stage" caption="stage" startItem="1" rowHeight="257175"/>
  <slicer name="country" xr10:uid="{8A57ECBF-E32F-4217-B2EA-EC3B77E2CDDA}" cache="Slicer_country" caption="country" startItem="12" rowHeight="257175"/>
  <slicer name="Years (date)" xr10:uid="{DF9EA118-1A29-4079-AD75-AF5BC751B48D}" cache="Slicer_Years__date" caption="Years (date)"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BF35F3-1E50-4230-87D3-D78B30192F74}" name="Table5" displayName="Table5" ref="A1:C2141" totalsRowShown="0">
  <autoFilter ref="A1:C2141" xr:uid="{9BBF35F3-1E50-4230-87D3-D78B30192F74}"/>
  <tableColumns count="3">
    <tableColumn id="1" xr3:uid="{1C3721FA-EF12-4B57-BC60-4A5D05298755}" name="company" dataDxfId="7"/>
    <tableColumn id="2" xr3:uid="{C00CB802-B338-4B0C-98ED-D2219E80D4B8}" name="funds_raised_millions"/>
    <tableColumn id="3" xr3:uid="{9D1338C2-C76D-4171-8FB4-3C4DF090D8A4}" name="total_laid_of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CB9C10-DF9D-419D-AACD-73B9882F7CD6}" name="LayoffsData" displayName="LayoffsData" ref="A1:J2357" tableType="queryTable" totalsRowShown="0">
  <autoFilter ref="A1:J2357" xr:uid="{AFCB9C10-DF9D-419D-AACD-73B9882F7CD6}"/>
  <tableColumns count="10">
    <tableColumn id="1" xr3:uid="{1F3E9BB5-8523-4488-B96B-B933141CD474}" uniqueName="1" name="company" queryTableFieldId="1" dataDxfId="6"/>
    <tableColumn id="2" xr3:uid="{FFAA068B-BAB3-460B-888F-F8A4F224F758}" uniqueName="2" name="location" queryTableFieldId="2" dataDxfId="5"/>
    <tableColumn id="3" xr3:uid="{6F9B7E21-ACA2-491D-8F07-ED6CEC919914}" uniqueName="3" name="industry" queryTableFieldId="3" dataDxfId="4"/>
    <tableColumn id="4" xr3:uid="{8683A712-A605-4A9F-8C83-FFD64120710D}" uniqueName="4" name="total_laid_off" queryTableFieldId="4"/>
    <tableColumn id="5" xr3:uid="{3B97BE14-B3A5-4841-BEE3-180046A6AA3F}" uniqueName="5" name="percentage_laid_off" queryTableFieldId="5"/>
    <tableColumn id="6" xr3:uid="{67FC1F6F-3940-4811-9C97-EC63F9BDDDD9}" uniqueName="6" name="date" queryTableFieldId="6" dataDxfId="3"/>
    <tableColumn id="10" xr3:uid="{2E5B5B86-C215-4A42-B1CE-A8955E38FE5F}" uniqueName="10" name="Month_Year" queryTableFieldId="10" dataDxfId="2">
      <calculatedColumnFormula>TEXT(LayoffsData[[#This Row],[date]],"yyyy-mm")</calculatedColumnFormula>
    </tableColumn>
    <tableColumn id="7" xr3:uid="{83303B09-7325-446C-BE5D-3D24791C4AC9}" uniqueName="7" name="stage" queryTableFieldId="7" dataDxfId="1"/>
    <tableColumn id="8" xr3:uid="{B4EE0A56-2B00-4C99-895D-A63B640F004B}" uniqueName="8" name="country" queryTableFieldId="8" dataDxfId="0"/>
    <tableColumn id="9" xr3:uid="{01398A16-AACF-4F7B-B2E3-14967096A7B8}" uniqueName="9" name="funds_raised_millions" queryTableFieldId="9"/>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7B91-3009-4B96-A068-E416DF2F621A}">
  <dimension ref="Q4"/>
  <sheetViews>
    <sheetView showGridLines="0" tabSelected="1" topLeftCell="A8" zoomScale="60" zoomScaleNormal="60" workbookViewId="0">
      <selection activeCell="T9" sqref="T9"/>
    </sheetView>
  </sheetViews>
  <sheetFormatPr defaultRowHeight="15" x14ac:dyDescent="0.25"/>
  <cols>
    <col min="1" max="16384" width="9.140625" style="11"/>
  </cols>
  <sheetData>
    <row r="4" spans="17:17" x14ac:dyDescent="0.25">
      <c r="Q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036-5770-43CD-A15F-423C16A7C099}">
  <dimension ref="A1:H22"/>
  <sheetViews>
    <sheetView workbookViewId="0">
      <selection activeCell="D8" sqref="D8:E8"/>
    </sheetView>
  </sheetViews>
  <sheetFormatPr defaultRowHeight="15" x14ac:dyDescent="0.25"/>
  <cols>
    <col min="2" max="2" width="18.140625" customWidth="1"/>
    <col min="5" max="5" width="16" customWidth="1"/>
    <col min="8" max="8" width="24.28515625" customWidth="1"/>
  </cols>
  <sheetData>
    <row r="1" spans="1:8" ht="24" x14ac:dyDescent="0.4">
      <c r="A1" s="6" t="s">
        <v>2207</v>
      </c>
    </row>
    <row r="3" spans="1:8" ht="15.75" x14ac:dyDescent="0.25">
      <c r="A3" s="9" t="s">
        <v>2208</v>
      </c>
      <c r="B3" s="9"/>
      <c r="D3" s="9" t="s">
        <v>2209</v>
      </c>
      <c r="E3" s="9"/>
      <c r="G3" s="9" t="s">
        <v>2210</v>
      </c>
      <c r="H3" s="9"/>
    </row>
    <row r="4" spans="1:8" ht="21" x14ac:dyDescent="0.35">
      <c r="A4" s="10">
        <f>COUNTA('Raw Data'!A2:A2357)</f>
        <v>2356</v>
      </c>
      <c r="B4" s="10"/>
      <c r="D4" s="10">
        <f>SUM('Raw Data'!D2:D2357)</f>
        <v>383659</v>
      </c>
      <c r="E4" s="10"/>
      <c r="G4" s="10" t="s">
        <v>2211</v>
      </c>
      <c r="H4" s="10"/>
    </row>
    <row r="7" spans="1:8" ht="15.75" x14ac:dyDescent="0.25">
      <c r="A7" s="9" t="s">
        <v>2223</v>
      </c>
      <c r="B7" s="9"/>
      <c r="D7" s="9" t="s">
        <v>2225</v>
      </c>
      <c r="E7" s="9"/>
      <c r="G7" s="9" t="s">
        <v>2227</v>
      </c>
      <c r="H7" s="9"/>
    </row>
    <row r="8" spans="1:8" ht="21" x14ac:dyDescent="0.35">
      <c r="A8" s="10" t="s">
        <v>2224</v>
      </c>
      <c r="B8" s="10"/>
      <c r="D8" s="10" t="s">
        <v>2226</v>
      </c>
      <c r="E8" s="10"/>
      <c r="G8" s="10">
        <v>116</v>
      </c>
      <c r="H8" s="10"/>
    </row>
    <row r="14" spans="1:8" x14ac:dyDescent="0.25">
      <c r="A14" s="8" t="s">
        <v>2236</v>
      </c>
    </row>
    <row r="15" spans="1:8" x14ac:dyDescent="0.25">
      <c r="A15" s="7" t="s">
        <v>2228</v>
      </c>
    </row>
    <row r="16" spans="1:8" x14ac:dyDescent="0.25">
      <c r="A16" s="7" t="s">
        <v>2229</v>
      </c>
    </row>
    <row r="17" spans="1:1" x14ac:dyDescent="0.25">
      <c r="A17" s="7" t="s">
        <v>2230</v>
      </c>
    </row>
    <row r="18" spans="1:1" x14ac:dyDescent="0.25">
      <c r="A18" s="7" t="s">
        <v>2231</v>
      </c>
    </row>
    <row r="19" spans="1:1" x14ac:dyDescent="0.25">
      <c r="A19" s="7" t="s">
        <v>2232</v>
      </c>
    </row>
    <row r="20" spans="1:1" x14ac:dyDescent="0.25">
      <c r="A20" s="7" t="s">
        <v>2233</v>
      </c>
    </row>
    <row r="21" spans="1:1" x14ac:dyDescent="0.25">
      <c r="A21" s="7" t="s">
        <v>2234</v>
      </c>
    </row>
    <row r="22" spans="1:1" x14ac:dyDescent="0.25">
      <c r="A22" s="7" t="s">
        <v>2235</v>
      </c>
    </row>
  </sheetData>
  <mergeCells count="12">
    <mergeCell ref="G3:H3"/>
    <mergeCell ref="G4:H4"/>
    <mergeCell ref="A7:B7"/>
    <mergeCell ref="A8:B8"/>
    <mergeCell ref="D7:E7"/>
    <mergeCell ref="D8:E8"/>
    <mergeCell ref="G7:H7"/>
    <mergeCell ref="G8:H8"/>
    <mergeCell ref="A3:B3"/>
    <mergeCell ref="A4:B4"/>
    <mergeCell ref="D3:E3"/>
    <mergeCell ref="D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3AC8-0B34-4E93-B532-D05B07056821}">
  <dimension ref="A2:B8"/>
  <sheetViews>
    <sheetView workbookViewId="0">
      <selection activeCell="J19" sqref="J19"/>
    </sheetView>
  </sheetViews>
  <sheetFormatPr defaultRowHeight="15" x14ac:dyDescent="0.25"/>
  <cols>
    <col min="1" max="1" width="13.42578125" bestFit="1" customWidth="1"/>
    <col min="2" max="2" width="19.7109375" bestFit="1" customWidth="1"/>
  </cols>
  <sheetData>
    <row r="2" spans="1:2" x14ac:dyDescent="0.25">
      <c r="A2" t="s">
        <v>2198</v>
      </c>
    </row>
    <row r="3" spans="1:2" x14ac:dyDescent="0.25">
      <c r="A3" s="3" t="s">
        <v>2192</v>
      </c>
      <c r="B3" t="s">
        <v>2191</v>
      </c>
    </row>
    <row r="4" spans="1:2" x14ac:dyDescent="0.25">
      <c r="A4" s="4" t="s">
        <v>2194</v>
      </c>
      <c r="B4" s="1">
        <v>80998</v>
      </c>
    </row>
    <row r="5" spans="1:2" x14ac:dyDescent="0.25">
      <c r="A5" s="4" t="s">
        <v>2195</v>
      </c>
      <c r="B5" s="1">
        <v>15823</v>
      </c>
    </row>
    <row r="6" spans="1:2" x14ac:dyDescent="0.25">
      <c r="A6" s="4" t="s">
        <v>2196</v>
      </c>
      <c r="B6" s="1">
        <v>160661</v>
      </c>
    </row>
    <row r="7" spans="1:2" x14ac:dyDescent="0.25">
      <c r="A7" s="4" t="s">
        <v>2197</v>
      </c>
      <c r="B7" s="1">
        <v>125677</v>
      </c>
    </row>
    <row r="8" spans="1:2" x14ac:dyDescent="0.25">
      <c r="A8" s="4" t="s">
        <v>2193</v>
      </c>
      <c r="B8" s="1">
        <v>383159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04B1-DEDB-4D15-BC42-5C391C078942}">
  <dimension ref="A1:B13"/>
  <sheetViews>
    <sheetView workbookViewId="0">
      <selection activeCell="B18" sqref="B17:B18"/>
    </sheetView>
  </sheetViews>
  <sheetFormatPr defaultRowHeight="15" x14ac:dyDescent="0.25"/>
  <cols>
    <col min="1" max="1" width="13.42578125" bestFit="1" customWidth="1"/>
    <col min="2" max="2" width="19.7109375" bestFit="1" customWidth="1"/>
  </cols>
  <sheetData>
    <row r="1" spans="1:2" x14ac:dyDescent="0.25">
      <c r="A1" t="s">
        <v>2199</v>
      </c>
    </row>
    <row r="2" spans="1:2" x14ac:dyDescent="0.25">
      <c r="A2" s="3" t="s">
        <v>2192</v>
      </c>
      <c r="B2" t="s">
        <v>2191</v>
      </c>
    </row>
    <row r="3" spans="1:2" x14ac:dyDescent="0.25">
      <c r="A3" s="4" t="s">
        <v>151</v>
      </c>
      <c r="B3" s="1">
        <v>18150</v>
      </c>
    </row>
    <row r="4" spans="1:2" x14ac:dyDescent="0.25">
      <c r="A4" s="4" t="s">
        <v>896</v>
      </c>
      <c r="B4" s="1">
        <v>12000</v>
      </c>
    </row>
    <row r="5" spans="1:2" x14ac:dyDescent="0.25">
      <c r="A5" s="4" t="s">
        <v>1259</v>
      </c>
      <c r="B5" s="1">
        <v>11000</v>
      </c>
    </row>
    <row r="6" spans="1:2" x14ac:dyDescent="0.25">
      <c r="A6" s="4" t="s">
        <v>1656</v>
      </c>
      <c r="B6" s="1">
        <v>10090</v>
      </c>
    </row>
    <row r="7" spans="1:2" x14ac:dyDescent="0.25">
      <c r="A7" s="4" t="s">
        <v>1488</v>
      </c>
      <c r="B7" s="1">
        <v>10000</v>
      </c>
    </row>
    <row r="8" spans="1:2" x14ac:dyDescent="0.25">
      <c r="A8" s="4" t="s">
        <v>1267</v>
      </c>
      <c r="B8" s="1">
        <v>10000</v>
      </c>
    </row>
    <row r="9" spans="1:2" x14ac:dyDescent="0.25">
      <c r="A9" s="4" t="s">
        <v>740</v>
      </c>
      <c r="B9" s="1">
        <v>8500</v>
      </c>
    </row>
    <row r="10" spans="1:2" x14ac:dyDescent="0.25">
      <c r="A10" s="4" t="s">
        <v>1987</v>
      </c>
      <c r="B10" s="1">
        <v>7585</v>
      </c>
    </row>
    <row r="11" spans="1:2" x14ac:dyDescent="0.25">
      <c r="A11" s="4" t="s">
        <v>647</v>
      </c>
      <c r="B11" s="1">
        <v>6650</v>
      </c>
    </row>
    <row r="12" spans="1:2" x14ac:dyDescent="0.25">
      <c r="A12" s="4" t="s">
        <v>348</v>
      </c>
      <c r="B12" s="1">
        <v>4601</v>
      </c>
    </row>
    <row r="13" spans="1:2" x14ac:dyDescent="0.25">
      <c r="A13" s="4" t="s">
        <v>2193</v>
      </c>
      <c r="B13" s="1">
        <v>98576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1A12-4D54-445E-9DAE-5F00866E525F}">
  <dimension ref="A1:B13"/>
  <sheetViews>
    <sheetView workbookViewId="0">
      <selection activeCell="C14" sqref="C14"/>
    </sheetView>
  </sheetViews>
  <sheetFormatPr defaultRowHeight="15" x14ac:dyDescent="0.25"/>
  <cols>
    <col min="1" max="1" width="14.28515625" bestFit="1" customWidth="1"/>
    <col min="2" max="2" width="19.7109375" bestFit="1" customWidth="1"/>
  </cols>
  <sheetData>
    <row r="1" spans="1:2" x14ac:dyDescent="0.25">
      <c r="A1" t="s">
        <v>2200</v>
      </c>
    </row>
    <row r="2" spans="1:2" x14ac:dyDescent="0.25">
      <c r="A2" s="3" t="s">
        <v>2192</v>
      </c>
      <c r="B2" t="s">
        <v>2191</v>
      </c>
    </row>
    <row r="3" spans="1:2" x14ac:dyDescent="0.25">
      <c r="A3" s="4" t="s">
        <v>27</v>
      </c>
      <c r="B3" s="1">
        <v>45182</v>
      </c>
    </row>
    <row r="4" spans="1:2" x14ac:dyDescent="0.25">
      <c r="A4" s="4" t="s">
        <v>29</v>
      </c>
      <c r="B4" s="1">
        <v>43613</v>
      </c>
    </row>
    <row r="5" spans="1:2" x14ac:dyDescent="0.25">
      <c r="A5" s="4" t="s">
        <v>149</v>
      </c>
      <c r="B5" s="1">
        <v>35789</v>
      </c>
    </row>
    <row r="6" spans="1:2" x14ac:dyDescent="0.25">
      <c r="A6" s="4" t="s">
        <v>10</v>
      </c>
      <c r="B6" s="1">
        <v>33748</v>
      </c>
    </row>
    <row r="7" spans="1:2" x14ac:dyDescent="0.25">
      <c r="A7" s="4" t="s">
        <v>68</v>
      </c>
      <c r="B7" s="1">
        <v>28344</v>
      </c>
    </row>
    <row r="8" spans="1:2" x14ac:dyDescent="0.25">
      <c r="A8" s="4" t="s">
        <v>15</v>
      </c>
      <c r="B8" s="1">
        <v>25953</v>
      </c>
    </row>
    <row r="9" spans="1:2" x14ac:dyDescent="0.25">
      <c r="A9" s="4" t="s">
        <v>51</v>
      </c>
      <c r="B9" s="1">
        <v>22855</v>
      </c>
    </row>
    <row r="10" spans="1:2" x14ac:dyDescent="0.25">
      <c r="A10" s="4" t="s">
        <v>174</v>
      </c>
      <c r="B10" s="1">
        <v>17565</v>
      </c>
    </row>
    <row r="11" spans="1:2" x14ac:dyDescent="0.25">
      <c r="A11" s="4" t="s">
        <v>84</v>
      </c>
      <c r="B11" s="1">
        <v>17159</v>
      </c>
    </row>
    <row r="12" spans="1:2" x14ac:dyDescent="0.25">
      <c r="A12" s="4" t="s">
        <v>325</v>
      </c>
      <c r="B12" s="1">
        <v>13828</v>
      </c>
    </row>
    <row r="13" spans="1:2" x14ac:dyDescent="0.25">
      <c r="A13" s="4" t="s">
        <v>2193</v>
      </c>
      <c r="B13" s="1">
        <v>284036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CA89-40D2-43A5-830B-4D66F65C4635}">
  <dimension ref="A1:B62"/>
  <sheetViews>
    <sheetView workbookViewId="0">
      <selection activeCell="L6" sqref="L6"/>
    </sheetView>
  </sheetViews>
  <sheetFormatPr defaultRowHeight="15" x14ac:dyDescent="0.25"/>
  <cols>
    <col min="1" max="2" width="19.7109375" bestFit="1" customWidth="1"/>
  </cols>
  <sheetData>
    <row r="1" spans="1:2" x14ac:dyDescent="0.25">
      <c r="A1" t="s">
        <v>2202</v>
      </c>
    </row>
    <row r="2" spans="1:2" x14ac:dyDescent="0.25">
      <c r="A2" s="3" t="s">
        <v>2192</v>
      </c>
      <c r="B2" t="s">
        <v>2191</v>
      </c>
    </row>
    <row r="3" spans="1:2" x14ac:dyDescent="0.25">
      <c r="A3" s="4" t="s">
        <v>17</v>
      </c>
      <c r="B3" s="1">
        <v>256059</v>
      </c>
    </row>
    <row r="4" spans="1:2" x14ac:dyDescent="0.25">
      <c r="A4" s="4" t="s">
        <v>69</v>
      </c>
      <c r="B4" s="1">
        <v>35993</v>
      </c>
    </row>
    <row r="5" spans="1:2" x14ac:dyDescent="0.25">
      <c r="A5" s="4" t="s">
        <v>350</v>
      </c>
      <c r="B5" s="1">
        <v>17220</v>
      </c>
    </row>
    <row r="6" spans="1:2" x14ac:dyDescent="0.25">
      <c r="A6" s="4" t="s">
        <v>64</v>
      </c>
      <c r="B6" s="1">
        <v>11264</v>
      </c>
    </row>
    <row r="7" spans="1:2" x14ac:dyDescent="0.25">
      <c r="A7" s="4" t="s">
        <v>38</v>
      </c>
      <c r="B7" s="1">
        <v>10391</v>
      </c>
    </row>
    <row r="8" spans="1:2" x14ac:dyDescent="0.25">
      <c r="A8" s="4" t="s">
        <v>80</v>
      </c>
      <c r="B8" s="1">
        <v>8701</v>
      </c>
    </row>
    <row r="9" spans="1:2" x14ac:dyDescent="0.25">
      <c r="A9" s="4" t="s">
        <v>201</v>
      </c>
      <c r="B9" s="1">
        <v>6398</v>
      </c>
    </row>
    <row r="10" spans="1:2" x14ac:dyDescent="0.25">
      <c r="A10" s="4" t="s">
        <v>12</v>
      </c>
      <c r="B10" s="1">
        <v>6319</v>
      </c>
    </row>
    <row r="11" spans="1:2" x14ac:dyDescent="0.25">
      <c r="A11" s="4" t="s">
        <v>101</v>
      </c>
      <c r="B11" s="1">
        <v>5995</v>
      </c>
    </row>
    <row r="12" spans="1:2" x14ac:dyDescent="0.25">
      <c r="A12" s="4" t="s">
        <v>296</v>
      </c>
      <c r="B12" s="1">
        <v>5905</v>
      </c>
    </row>
    <row r="13" spans="1:2" x14ac:dyDescent="0.25">
      <c r="A13" s="4" t="s">
        <v>170</v>
      </c>
      <c r="B13" s="1">
        <v>3638</v>
      </c>
    </row>
    <row r="14" spans="1:2" x14ac:dyDescent="0.25">
      <c r="A14" s="4" t="s">
        <v>121</v>
      </c>
      <c r="B14" s="1">
        <v>3521</v>
      </c>
    </row>
    <row r="15" spans="1:2" x14ac:dyDescent="0.25">
      <c r="A15" s="4" t="s">
        <v>46</v>
      </c>
      <c r="B15" s="1">
        <v>2324</v>
      </c>
    </row>
    <row r="16" spans="1:2" x14ac:dyDescent="0.25">
      <c r="A16" s="4" t="s">
        <v>140</v>
      </c>
      <c r="B16" s="1">
        <v>1882</v>
      </c>
    </row>
    <row r="17" spans="1:2" x14ac:dyDescent="0.25">
      <c r="A17" s="4" t="s">
        <v>245</v>
      </c>
      <c r="B17" s="1">
        <v>995</v>
      </c>
    </row>
    <row r="18" spans="1:2" x14ac:dyDescent="0.25">
      <c r="A18" s="4" t="s">
        <v>251</v>
      </c>
      <c r="B18" s="1">
        <v>915</v>
      </c>
    </row>
    <row r="19" spans="1:2" x14ac:dyDescent="0.25">
      <c r="A19" s="4" t="s">
        <v>153</v>
      </c>
      <c r="B19" s="1">
        <v>730</v>
      </c>
    </row>
    <row r="20" spans="1:2" x14ac:dyDescent="0.25">
      <c r="A20" s="4" t="s">
        <v>309</v>
      </c>
      <c r="B20" s="1">
        <v>570</v>
      </c>
    </row>
    <row r="21" spans="1:2" x14ac:dyDescent="0.25">
      <c r="A21" s="4" t="s">
        <v>144</v>
      </c>
      <c r="B21" s="1">
        <v>400</v>
      </c>
    </row>
    <row r="22" spans="1:2" x14ac:dyDescent="0.25">
      <c r="A22" s="4" t="s">
        <v>523</v>
      </c>
      <c r="B22" s="1">
        <v>349</v>
      </c>
    </row>
    <row r="23" spans="1:2" x14ac:dyDescent="0.25">
      <c r="A23" s="4" t="s">
        <v>1498</v>
      </c>
      <c r="B23" s="1">
        <v>333</v>
      </c>
    </row>
    <row r="24" spans="1:2" x14ac:dyDescent="0.25">
      <c r="A24" s="4" t="s">
        <v>388</v>
      </c>
      <c r="B24" s="1">
        <v>323</v>
      </c>
    </row>
    <row r="25" spans="1:2" x14ac:dyDescent="0.25">
      <c r="A25" s="4" t="s">
        <v>2081</v>
      </c>
      <c r="B25" s="1">
        <v>300</v>
      </c>
    </row>
    <row r="26" spans="1:2" x14ac:dyDescent="0.25">
      <c r="A26" s="4" t="s">
        <v>316</v>
      </c>
      <c r="B26" s="1">
        <v>270</v>
      </c>
    </row>
    <row r="27" spans="1:2" x14ac:dyDescent="0.25">
      <c r="A27" s="4" t="s">
        <v>22</v>
      </c>
      <c r="B27" s="1">
        <v>257</v>
      </c>
    </row>
    <row r="28" spans="1:2" x14ac:dyDescent="0.25">
      <c r="A28" s="4" t="s">
        <v>125</v>
      </c>
      <c r="B28" s="1">
        <v>250</v>
      </c>
    </row>
    <row r="29" spans="1:2" x14ac:dyDescent="0.25">
      <c r="A29" s="4" t="s">
        <v>879</v>
      </c>
      <c r="B29" s="1">
        <v>250</v>
      </c>
    </row>
    <row r="30" spans="1:2" x14ac:dyDescent="0.25">
      <c r="A30" s="4" t="s">
        <v>116</v>
      </c>
      <c r="B30" s="1">
        <v>240</v>
      </c>
    </row>
    <row r="31" spans="1:2" x14ac:dyDescent="0.25">
      <c r="A31" s="4" t="s">
        <v>812</v>
      </c>
      <c r="B31" s="1">
        <v>200</v>
      </c>
    </row>
    <row r="32" spans="1:2" x14ac:dyDescent="0.25">
      <c r="A32" s="4" t="s">
        <v>1373</v>
      </c>
      <c r="B32" s="1">
        <v>140</v>
      </c>
    </row>
    <row r="33" spans="1:2" x14ac:dyDescent="0.25">
      <c r="A33" s="4" t="s">
        <v>89</v>
      </c>
      <c r="B33" s="1">
        <v>130</v>
      </c>
    </row>
    <row r="34" spans="1:2" x14ac:dyDescent="0.25">
      <c r="A34" s="4" t="s">
        <v>1676</v>
      </c>
      <c r="B34" s="1">
        <v>120</v>
      </c>
    </row>
    <row r="35" spans="1:2" x14ac:dyDescent="0.25">
      <c r="A35" s="4" t="s">
        <v>776</v>
      </c>
      <c r="B35" s="1">
        <v>115</v>
      </c>
    </row>
    <row r="36" spans="1:2" x14ac:dyDescent="0.25">
      <c r="A36" s="4" t="s">
        <v>453</v>
      </c>
      <c r="B36" s="1">
        <v>100</v>
      </c>
    </row>
    <row r="37" spans="1:2" x14ac:dyDescent="0.25">
      <c r="A37" s="4" t="s">
        <v>595</v>
      </c>
      <c r="B37" s="1">
        <v>85</v>
      </c>
    </row>
    <row r="38" spans="1:2" x14ac:dyDescent="0.25">
      <c r="A38" s="4" t="s">
        <v>820</v>
      </c>
      <c r="B38" s="1">
        <v>80</v>
      </c>
    </row>
    <row r="39" spans="1:2" x14ac:dyDescent="0.25">
      <c r="A39" s="4" t="s">
        <v>305</v>
      </c>
      <c r="B39" s="1">
        <v>75</v>
      </c>
    </row>
    <row r="40" spans="1:2" x14ac:dyDescent="0.25">
      <c r="A40" s="4" t="s">
        <v>1356</v>
      </c>
      <c r="B40" s="1">
        <v>62</v>
      </c>
    </row>
    <row r="41" spans="1:2" x14ac:dyDescent="0.25">
      <c r="A41" s="4" t="s">
        <v>1989</v>
      </c>
      <c r="B41" s="1">
        <v>60</v>
      </c>
    </row>
    <row r="42" spans="1:2" x14ac:dyDescent="0.25">
      <c r="A42" s="4" t="s">
        <v>1528</v>
      </c>
      <c r="B42" s="1">
        <v>55</v>
      </c>
    </row>
    <row r="43" spans="1:2" x14ac:dyDescent="0.25">
      <c r="A43" s="4" t="s">
        <v>791</v>
      </c>
      <c r="B43" s="1">
        <v>45</v>
      </c>
    </row>
    <row r="44" spans="1:2" x14ac:dyDescent="0.25">
      <c r="A44" s="4" t="s">
        <v>1273</v>
      </c>
      <c r="B44" s="1">
        <v>45</v>
      </c>
    </row>
    <row r="45" spans="1:2" x14ac:dyDescent="0.25">
      <c r="A45" s="4" t="s">
        <v>283</v>
      </c>
      <c r="B45" s="1">
        <v>30</v>
      </c>
    </row>
    <row r="46" spans="1:2" x14ac:dyDescent="0.25">
      <c r="A46" s="4" t="s">
        <v>365</v>
      </c>
      <c r="B46" s="1">
        <v>25</v>
      </c>
    </row>
    <row r="47" spans="1:2" x14ac:dyDescent="0.25">
      <c r="A47" s="4" t="s">
        <v>109</v>
      </c>
      <c r="B47" s="1"/>
    </row>
    <row r="48" spans="1:2" x14ac:dyDescent="0.25">
      <c r="A48" s="4" t="s">
        <v>1265</v>
      </c>
      <c r="B48" s="1"/>
    </row>
    <row r="49" spans="1:2" x14ac:dyDescent="0.25">
      <c r="A49" s="4" t="s">
        <v>1547</v>
      </c>
      <c r="B49" s="1"/>
    </row>
    <row r="50" spans="1:2" x14ac:dyDescent="0.25">
      <c r="A50" s="4" t="s">
        <v>1581</v>
      </c>
      <c r="B50" s="1"/>
    </row>
    <row r="51" spans="1:2" x14ac:dyDescent="0.25">
      <c r="A51" s="4" t="s">
        <v>2049</v>
      </c>
      <c r="B51" s="1"/>
    </row>
    <row r="52" spans="1:2" x14ac:dyDescent="0.25">
      <c r="A52" s="4" t="s">
        <v>432</v>
      </c>
      <c r="B52" s="1"/>
    </row>
    <row r="53" spans="1:2" x14ac:dyDescent="0.25">
      <c r="A53" s="4" t="s">
        <v>269</v>
      </c>
      <c r="B53" s="1"/>
    </row>
    <row r="54" spans="1:2" x14ac:dyDescent="0.25">
      <c r="A54" s="4" t="s">
        <v>863</v>
      </c>
      <c r="B54" s="1"/>
    </row>
    <row r="55" spans="1:2" x14ac:dyDescent="0.25">
      <c r="A55" s="4" t="s">
        <v>312</v>
      </c>
      <c r="B55" s="1"/>
    </row>
    <row r="56" spans="1:2" x14ac:dyDescent="0.25">
      <c r="A56" s="4" t="s">
        <v>460</v>
      </c>
      <c r="B56" s="1"/>
    </row>
    <row r="57" spans="1:2" x14ac:dyDescent="0.25">
      <c r="A57" s="4" t="s">
        <v>552</v>
      </c>
      <c r="B57" s="1"/>
    </row>
    <row r="58" spans="1:2" x14ac:dyDescent="0.25">
      <c r="A58" s="4" t="s">
        <v>1895</v>
      </c>
      <c r="B58" s="1"/>
    </row>
    <row r="59" spans="1:2" x14ac:dyDescent="0.25">
      <c r="A59" s="4" t="s">
        <v>2145</v>
      </c>
      <c r="B59" s="1"/>
    </row>
    <row r="60" spans="1:2" x14ac:dyDescent="0.25">
      <c r="A60" s="4" t="s">
        <v>587</v>
      </c>
      <c r="B60" s="1"/>
    </row>
    <row r="61" spans="1:2" x14ac:dyDescent="0.25">
      <c r="A61" s="4" t="s">
        <v>913</v>
      </c>
      <c r="B61" s="1"/>
    </row>
    <row r="62" spans="1:2" x14ac:dyDescent="0.25">
      <c r="A62" s="4" t="s">
        <v>2193</v>
      </c>
      <c r="B62" s="1">
        <v>383159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4EC0D-732B-4AC8-BA0A-4B2D76D4CA3F}">
  <dimension ref="A1:C20"/>
  <sheetViews>
    <sheetView topLeftCell="G1" workbookViewId="0">
      <selection activeCell="Q6" sqref="Q6"/>
    </sheetView>
  </sheetViews>
  <sheetFormatPr defaultRowHeight="15" x14ac:dyDescent="0.25"/>
  <cols>
    <col min="1" max="1" width="13.42578125" bestFit="1" customWidth="1"/>
    <col min="2" max="2" width="19.7109375" bestFit="1" customWidth="1"/>
    <col min="3" max="3" width="14.28515625" bestFit="1" customWidth="1"/>
  </cols>
  <sheetData>
    <row r="1" spans="1:3" x14ac:dyDescent="0.25">
      <c r="A1" t="s">
        <v>2203</v>
      </c>
    </row>
    <row r="2" spans="1:3" x14ac:dyDescent="0.25">
      <c r="A2" s="3" t="s">
        <v>2192</v>
      </c>
      <c r="B2" t="s">
        <v>2191</v>
      </c>
      <c r="C2" t="s">
        <v>2204</v>
      </c>
    </row>
    <row r="3" spans="1:3" x14ac:dyDescent="0.25">
      <c r="A3" s="4" t="s">
        <v>11</v>
      </c>
      <c r="B3" s="1">
        <v>203632</v>
      </c>
      <c r="C3" s="1">
        <v>425</v>
      </c>
    </row>
    <row r="4" spans="1:3" x14ac:dyDescent="0.25">
      <c r="A4" s="4" t="s">
        <v>37</v>
      </c>
      <c r="B4" s="1">
        <v>40716</v>
      </c>
      <c r="C4" s="1">
        <v>392</v>
      </c>
    </row>
    <row r="5" spans="1:3" x14ac:dyDescent="0.25">
      <c r="A5" s="4" t="s">
        <v>57</v>
      </c>
      <c r="B5" s="1">
        <v>27576</v>
      </c>
      <c r="C5" s="1">
        <v>171</v>
      </c>
    </row>
    <row r="6" spans="1:3" x14ac:dyDescent="0.25">
      <c r="A6" s="4" t="s">
        <v>28</v>
      </c>
      <c r="B6" s="1">
        <v>20017</v>
      </c>
      <c r="C6" s="1">
        <v>303</v>
      </c>
    </row>
    <row r="7" spans="1:3" x14ac:dyDescent="0.25">
      <c r="A7" s="4" t="s">
        <v>33</v>
      </c>
      <c r="B7" s="1">
        <v>19225</v>
      </c>
      <c r="C7" s="1">
        <v>225</v>
      </c>
    </row>
    <row r="8" spans="1:3" x14ac:dyDescent="0.25">
      <c r="A8" s="4" t="s">
        <v>24</v>
      </c>
      <c r="B8" s="1">
        <v>15311</v>
      </c>
      <c r="C8" s="1">
        <v>305</v>
      </c>
    </row>
    <row r="9" spans="1:3" x14ac:dyDescent="0.25">
      <c r="A9" s="4" t="s">
        <v>16</v>
      </c>
      <c r="B9" s="1">
        <v>12697</v>
      </c>
      <c r="C9" s="1">
        <v>125</v>
      </c>
    </row>
    <row r="10" spans="1:3" x14ac:dyDescent="0.25">
      <c r="A10" s="4" t="s">
        <v>86</v>
      </c>
      <c r="B10" s="1">
        <v>9932</v>
      </c>
      <c r="C10" s="1">
        <v>65</v>
      </c>
    </row>
    <row r="11" spans="1:3" x14ac:dyDescent="0.25">
      <c r="A11" s="4" t="s">
        <v>105</v>
      </c>
      <c r="B11" s="1">
        <v>7957</v>
      </c>
      <c r="C11" s="1">
        <v>38</v>
      </c>
    </row>
    <row r="12" spans="1:3" x14ac:dyDescent="0.25">
      <c r="A12" s="4" t="s">
        <v>414</v>
      </c>
      <c r="B12" s="1">
        <v>7244</v>
      </c>
      <c r="C12" s="1">
        <v>24</v>
      </c>
    </row>
    <row r="13" spans="1:3" x14ac:dyDescent="0.25">
      <c r="A13" s="4" t="s">
        <v>21</v>
      </c>
      <c r="B13" s="1">
        <v>5678</v>
      </c>
      <c r="C13" s="1">
        <v>176</v>
      </c>
    </row>
    <row r="14" spans="1:3" x14ac:dyDescent="0.25">
      <c r="A14" s="4" t="s">
        <v>450</v>
      </c>
      <c r="B14" s="1">
        <v>3697</v>
      </c>
      <c r="C14" s="1">
        <v>15</v>
      </c>
    </row>
    <row r="15" spans="1:3" x14ac:dyDescent="0.25">
      <c r="A15" s="4" t="s">
        <v>1381</v>
      </c>
      <c r="B15" s="1">
        <v>3570</v>
      </c>
      <c r="C15" s="1">
        <v>8</v>
      </c>
    </row>
    <row r="16" spans="1:3" x14ac:dyDescent="0.25">
      <c r="A16" s="4" t="s">
        <v>904</v>
      </c>
      <c r="B16" s="1">
        <v>2855</v>
      </c>
      <c r="C16" s="1">
        <v>7</v>
      </c>
    </row>
    <row r="17" spans="1:3" x14ac:dyDescent="0.25">
      <c r="A17" s="4" t="s">
        <v>131</v>
      </c>
      <c r="B17" s="1">
        <v>1636</v>
      </c>
      <c r="C17" s="1">
        <v>65</v>
      </c>
    </row>
    <row r="18" spans="1:3" x14ac:dyDescent="0.25">
      <c r="A18" s="4" t="s">
        <v>1001</v>
      </c>
      <c r="B18" s="1">
        <v>1094</v>
      </c>
      <c r="C18" s="1">
        <v>5</v>
      </c>
    </row>
    <row r="19" spans="1:3" x14ac:dyDescent="0.25">
      <c r="A19" s="4" t="s">
        <v>94</v>
      </c>
      <c r="B19" s="1">
        <v>322</v>
      </c>
      <c r="C19" s="1">
        <v>6</v>
      </c>
    </row>
    <row r="20" spans="1:3" x14ac:dyDescent="0.25">
      <c r="A20" s="4" t="s">
        <v>2193</v>
      </c>
      <c r="B20" s="1">
        <v>383159</v>
      </c>
      <c r="C20" s="1">
        <v>2355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19E9B-C6D8-4508-A00D-BDF9B9EED3EC}">
  <dimension ref="A1:C2141"/>
  <sheetViews>
    <sheetView workbookViewId="0">
      <selection activeCell="H19" sqref="H19"/>
    </sheetView>
  </sheetViews>
  <sheetFormatPr defaultRowHeight="15" x14ac:dyDescent="0.25"/>
  <cols>
    <col min="1" max="1" width="28.85546875" bestFit="1" customWidth="1"/>
    <col min="2" max="2" width="23.28515625" bestFit="1" customWidth="1"/>
    <col min="3" max="3" width="15" bestFit="1" customWidth="1"/>
  </cols>
  <sheetData>
    <row r="1" spans="1:3" x14ac:dyDescent="0.25">
      <c r="A1" t="s">
        <v>2201</v>
      </c>
      <c r="B1" t="s">
        <v>7</v>
      </c>
      <c r="C1" t="s">
        <v>2</v>
      </c>
    </row>
    <row r="2" spans="1:3" x14ac:dyDescent="0.25">
      <c r="A2" s="1" t="s">
        <v>13</v>
      </c>
      <c r="B2">
        <v>272</v>
      </c>
    </row>
    <row r="3" spans="1:3" x14ac:dyDescent="0.25">
      <c r="A3" s="1" t="s">
        <v>18</v>
      </c>
      <c r="B3">
        <v>35</v>
      </c>
      <c r="C3">
        <v>9</v>
      </c>
    </row>
    <row r="4" spans="1:3" x14ac:dyDescent="0.25">
      <c r="A4" s="1" t="s">
        <v>23</v>
      </c>
      <c r="B4">
        <v>21</v>
      </c>
      <c r="C4">
        <v>19</v>
      </c>
    </row>
    <row r="5" spans="1:3" x14ac:dyDescent="0.25">
      <c r="A5" s="1" t="s">
        <v>25</v>
      </c>
      <c r="B5">
        <v>120</v>
      </c>
      <c r="C5">
        <v>12</v>
      </c>
    </row>
    <row r="6" spans="1:3" x14ac:dyDescent="0.25">
      <c r="A6" s="1" t="s">
        <v>25</v>
      </c>
      <c r="B6">
        <v>120</v>
      </c>
    </row>
    <row r="7" spans="1:3" x14ac:dyDescent="0.25">
      <c r="A7" s="1" t="s">
        <v>30</v>
      </c>
      <c r="B7">
        <v>242</v>
      </c>
      <c r="C7">
        <v>100</v>
      </c>
    </row>
    <row r="8" spans="1:3" x14ac:dyDescent="0.25">
      <c r="A8" s="1" t="s">
        <v>31</v>
      </c>
      <c r="B8">
        <v>253</v>
      </c>
      <c r="C8">
        <v>70</v>
      </c>
    </row>
    <row r="9" spans="1:3" x14ac:dyDescent="0.25">
      <c r="A9" s="1" t="s">
        <v>34</v>
      </c>
      <c r="B9">
        <v>250</v>
      </c>
      <c r="C9">
        <v>90</v>
      </c>
    </row>
    <row r="10" spans="1:3" x14ac:dyDescent="0.25">
      <c r="A10" s="1" t="s">
        <v>34</v>
      </c>
      <c r="B10">
        <v>250</v>
      </c>
      <c r="C10">
        <v>100</v>
      </c>
    </row>
    <row r="11" spans="1:3" x14ac:dyDescent="0.25">
      <c r="A11" s="1" t="s">
        <v>39</v>
      </c>
      <c r="B11">
        <v>426</v>
      </c>
    </row>
    <row r="12" spans="1:3" x14ac:dyDescent="0.25">
      <c r="A12" s="1" t="s">
        <v>42</v>
      </c>
      <c r="B12">
        <v>44</v>
      </c>
      <c r="C12">
        <v>95</v>
      </c>
    </row>
    <row r="13" spans="1:3" x14ac:dyDescent="0.25">
      <c r="A13" s="1" t="s">
        <v>43</v>
      </c>
      <c r="B13">
        <v>12</v>
      </c>
    </row>
    <row r="14" spans="1:3" x14ac:dyDescent="0.25">
      <c r="A14" s="1" t="s">
        <v>47</v>
      </c>
      <c r="B14">
        <v>426</v>
      </c>
      <c r="C14">
        <v>150</v>
      </c>
    </row>
    <row r="15" spans="1:3" x14ac:dyDescent="0.25">
      <c r="A15" s="1" t="s">
        <v>49</v>
      </c>
      <c r="B15">
        <v>275</v>
      </c>
    </row>
    <row r="16" spans="1:3" x14ac:dyDescent="0.25">
      <c r="A16" s="1" t="s">
        <v>52</v>
      </c>
      <c r="B16">
        <v>253</v>
      </c>
      <c r="C16">
        <v>155</v>
      </c>
    </row>
    <row r="17" spans="1:3" x14ac:dyDescent="0.25">
      <c r="A17" s="1" t="s">
        <v>52</v>
      </c>
      <c r="B17">
        <v>253</v>
      </c>
      <c r="C17">
        <v>200</v>
      </c>
    </row>
    <row r="18" spans="1:3" x14ac:dyDescent="0.25">
      <c r="A18" s="1" t="s">
        <v>54</v>
      </c>
      <c r="B18">
        <v>247</v>
      </c>
    </row>
    <row r="19" spans="1:3" x14ac:dyDescent="0.25">
      <c r="A19" s="1" t="s">
        <v>56</v>
      </c>
      <c r="B19">
        <v>244</v>
      </c>
      <c r="C19">
        <v>75</v>
      </c>
    </row>
    <row r="20" spans="1:3" x14ac:dyDescent="0.25">
      <c r="A20" s="1" t="s">
        <v>58</v>
      </c>
      <c r="B20">
        <v>106</v>
      </c>
      <c r="C20">
        <v>12</v>
      </c>
    </row>
    <row r="21" spans="1:3" x14ac:dyDescent="0.25">
      <c r="A21" s="1" t="s">
        <v>59</v>
      </c>
      <c r="B21">
        <v>237</v>
      </c>
      <c r="C21">
        <v>40</v>
      </c>
    </row>
    <row r="22" spans="1:3" x14ac:dyDescent="0.25">
      <c r="A22" s="1" t="s">
        <v>61</v>
      </c>
      <c r="B22">
        <v>126</v>
      </c>
      <c r="C22">
        <v>70</v>
      </c>
    </row>
    <row r="23" spans="1:3" x14ac:dyDescent="0.25">
      <c r="A23" s="1" t="s">
        <v>65</v>
      </c>
      <c r="B23">
        <v>458</v>
      </c>
    </row>
    <row r="24" spans="1:3" x14ac:dyDescent="0.25">
      <c r="A24" s="1" t="s">
        <v>66</v>
      </c>
      <c r="B24">
        <v>143</v>
      </c>
      <c r="C24">
        <v>45</v>
      </c>
    </row>
    <row r="25" spans="1:3" x14ac:dyDescent="0.25">
      <c r="A25" s="1" t="s">
        <v>70</v>
      </c>
      <c r="B25">
        <v>207</v>
      </c>
      <c r="C25">
        <v>50</v>
      </c>
    </row>
    <row r="26" spans="1:3" x14ac:dyDescent="0.25">
      <c r="A26" s="1" t="s">
        <v>72</v>
      </c>
      <c r="B26">
        <v>352</v>
      </c>
      <c r="C26">
        <v>54</v>
      </c>
    </row>
    <row r="27" spans="1:3" x14ac:dyDescent="0.25">
      <c r="A27" s="1" t="s">
        <v>75</v>
      </c>
      <c r="B27">
        <v>360</v>
      </c>
    </row>
    <row r="28" spans="1:3" x14ac:dyDescent="0.25">
      <c r="A28" s="1" t="s">
        <v>77</v>
      </c>
      <c r="B28">
        <v>190</v>
      </c>
    </row>
    <row r="29" spans="1:3" x14ac:dyDescent="0.25">
      <c r="A29" s="1" t="s">
        <v>77</v>
      </c>
      <c r="B29">
        <v>190</v>
      </c>
      <c r="C29">
        <v>78</v>
      </c>
    </row>
    <row r="30" spans="1:3" x14ac:dyDescent="0.25">
      <c r="A30" s="1" t="s">
        <v>78</v>
      </c>
      <c r="B30">
        <v>189</v>
      </c>
      <c r="C30">
        <v>50</v>
      </c>
    </row>
    <row r="31" spans="1:3" x14ac:dyDescent="0.25">
      <c r="A31" s="1" t="s">
        <v>81</v>
      </c>
      <c r="B31">
        <v>60</v>
      </c>
      <c r="C31">
        <v>36</v>
      </c>
    </row>
    <row r="32" spans="1:3" x14ac:dyDescent="0.25">
      <c r="A32" s="1" t="s">
        <v>82</v>
      </c>
      <c r="B32">
        <v>406</v>
      </c>
      <c r="C32">
        <v>100</v>
      </c>
    </row>
    <row r="33" spans="1:3" x14ac:dyDescent="0.25">
      <c r="A33" s="1" t="s">
        <v>83</v>
      </c>
      <c r="B33">
        <v>67</v>
      </c>
    </row>
    <row r="34" spans="1:3" x14ac:dyDescent="0.25">
      <c r="A34" s="1" t="s">
        <v>85</v>
      </c>
      <c r="B34">
        <v>491</v>
      </c>
      <c r="C34">
        <v>20</v>
      </c>
    </row>
    <row r="35" spans="1:3" x14ac:dyDescent="0.25">
      <c r="A35" s="1" t="s">
        <v>87</v>
      </c>
      <c r="B35">
        <v>376</v>
      </c>
    </row>
    <row r="36" spans="1:3" x14ac:dyDescent="0.25">
      <c r="A36" s="1" t="s">
        <v>90</v>
      </c>
      <c r="B36">
        <v>2</v>
      </c>
      <c r="C36">
        <v>100</v>
      </c>
    </row>
    <row r="37" spans="1:3" x14ac:dyDescent="0.25">
      <c r="A37" s="1" t="s">
        <v>91</v>
      </c>
      <c r="B37">
        <v>89</v>
      </c>
      <c r="C37">
        <v>210</v>
      </c>
    </row>
    <row r="38" spans="1:3" x14ac:dyDescent="0.25">
      <c r="A38" s="1" t="s">
        <v>95</v>
      </c>
      <c r="B38">
        <v>20</v>
      </c>
      <c r="C38">
        <v>40</v>
      </c>
    </row>
    <row r="39" spans="1:3" x14ac:dyDescent="0.25">
      <c r="A39" s="1" t="s">
        <v>97</v>
      </c>
      <c r="B39">
        <v>1500</v>
      </c>
    </row>
    <row r="40" spans="1:3" x14ac:dyDescent="0.25">
      <c r="A40" s="1" t="s">
        <v>97</v>
      </c>
      <c r="B40">
        <v>1500</v>
      </c>
      <c r="C40">
        <v>500</v>
      </c>
    </row>
    <row r="41" spans="1:3" x14ac:dyDescent="0.25">
      <c r="A41" s="1" t="s">
        <v>102</v>
      </c>
      <c r="B41">
        <v>9</v>
      </c>
      <c r="C41">
        <v>44</v>
      </c>
    </row>
    <row r="42" spans="1:3" x14ac:dyDescent="0.25">
      <c r="A42" s="1" t="s">
        <v>103</v>
      </c>
      <c r="B42">
        <v>18</v>
      </c>
    </row>
    <row r="43" spans="1:3" x14ac:dyDescent="0.25">
      <c r="A43" s="1" t="s">
        <v>104</v>
      </c>
      <c r="B43">
        <v>6400</v>
      </c>
      <c r="C43">
        <v>30</v>
      </c>
    </row>
    <row r="44" spans="1:3" x14ac:dyDescent="0.25">
      <c r="A44" s="1" t="s">
        <v>104</v>
      </c>
      <c r="B44">
        <v>5400</v>
      </c>
      <c r="C44">
        <v>1900</v>
      </c>
    </row>
    <row r="45" spans="1:3" x14ac:dyDescent="0.25">
      <c r="A45" s="1" t="s">
        <v>106</v>
      </c>
      <c r="B45">
        <v>109</v>
      </c>
    </row>
    <row r="46" spans="1:3" x14ac:dyDescent="0.25">
      <c r="A46" s="1" t="s">
        <v>106</v>
      </c>
      <c r="B46">
        <v>109</v>
      </c>
    </row>
    <row r="47" spans="1:3" x14ac:dyDescent="0.25">
      <c r="A47" s="1" t="s">
        <v>110</v>
      </c>
      <c r="B47">
        <v>75</v>
      </c>
    </row>
    <row r="48" spans="1:3" x14ac:dyDescent="0.25">
      <c r="A48" s="1" t="s">
        <v>112</v>
      </c>
      <c r="B48">
        <v>1400</v>
      </c>
      <c r="C48">
        <v>254</v>
      </c>
    </row>
    <row r="49" spans="1:3" x14ac:dyDescent="0.25">
      <c r="A49" s="1" t="s">
        <v>114</v>
      </c>
      <c r="B49">
        <v>7</v>
      </c>
      <c r="C49">
        <v>15</v>
      </c>
    </row>
    <row r="50" spans="1:3" x14ac:dyDescent="0.25">
      <c r="A50" s="1" t="s">
        <v>117</v>
      </c>
      <c r="B50">
        <v>26</v>
      </c>
    </row>
    <row r="51" spans="1:3" x14ac:dyDescent="0.25">
      <c r="A51" s="1" t="s">
        <v>118</v>
      </c>
      <c r="B51">
        <v>33</v>
      </c>
      <c r="C51">
        <v>30</v>
      </c>
    </row>
    <row r="52" spans="1:3" x14ac:dyDescent="0.25">
      <c r="A52" s="1" t="s">
        <v>122</v>
      </c>
      <c r="B52">
        <v>420</v>
      </c>
    </row>
    <row r="53" spans="1:3" x14ac:dyDescent="0.25">
      <c r="A53" s="1" t="s">
        <v>126</v>
      </c>
      <c r="B53">
        <v>245</v>
      </c>
      <c r="C53">
        <v>67</v>
      </c>
    </row>
    <row r="54" spans="1:3" x14ac:dyDescent="0.25">
      <c r="A54" s="1" t="s">
        <v>127</v>
      </c>
      <c r="B54">
        <v>46</v>
      </c>
    </row>
    <row r="55" spans="1:3" x14ac:dyDescent="0.25">
      <c r="A55" s="1" t="s">
        <v>132</v>
      </c>
      <c r="B55">
        <v>160</v>
      </c>
      <c r="C55">
        <v>100</v>
      </c>
    </row>
    <row r="56" spans="1:3" x14ac:dyDescent="0.25">
      <c r="A56" s="1" t="s">
        <v>133</v>
      </c>
      <c r="B56">
        <v>293</v>
      </c>
      <c r="C56">
        <v>80</v>
      </c>
    </row>
    <row r="57" spans="1:3" x14ac:dyDescent="0.25">
      <c r="A57" s="1" t="s">
        <v>135</v>
      </c>
      <c r="B57">
        <v>175</v>
      </c>
      <c r="C57">
        <v>20</v>
      </c>
    </row>
    <row r="58" spans="1:3" x14ac:dyDescent="0.25">
      <c r="A58" s="1" t="s">
        <v>136</v>
      </c>
      <c r="B58">
        <v>16</v>
      </c>
    </row>
    <row r="59" spans="1:3" x14ac:dyDescent="0.25">
      <c r="A59" s="1" t="s">
        <v>138</v>
      </c>
      <c r="B59">
        <v>16</v>
      </c>
    </row>
    <row r="60" spans="1:3" x14ac:dyDescent="0.25">
      <c r="A60" s="1" t="s">
        <v>138</v>
      </c>
      <c r="B60">
        <v>16</v>
      </c>
      <c r="C60">
        <v>400</v>
      </c>
    </row>
    <row r="61" spans="1:3" x14ac:dyDescent="0.25">
      <c r="A61" s="1" t="s">
        <v>141</v>
      </c>
      <c r="B61">
        <v>174</v>
      </c>
      <c r="C61">
        <v>63</v>
      </c>
    </row>
    <row r="62" spans="1:3" x14ac:dyDescent="0.25">
      <c r="A62" s="1" t="s">
        <v>141</v>
      </c>
      <c r="B62">
        <v>174</v>
      </c>
      <c r="C62">
        <v>113</v>
      </c>
    </row>
    <row r="63" spans="1:3" x14ac:dyDescent="0.25">
      <c r="A63" s="1" t="s">
        <v>142</v>
      </c>
      <c r="B63">
        <v>60</v>
      </c>
      <c r="C63">
        <v>400</v>
      </c>
    </row>
    <row r="64" spans="1:3" x14ac:dyDescent="0.25">
      <c r="A64" s="1" t="s">
        <v>145</v>
      </c>
      <c r="B64">
        <v>202</v>
      </c>
      <c r="C64">
        <v>23</v>
      </c>
    </row>
    <row r="65" spans="1:3" x14ac:dyDescent="0.25">
      <c r="A65" s="1" t="s">
        <v>146</v>
      </c>
      <c r="B65">
        <v>64</v>
      </c>
    </row>
    <row r="66" spans="1:3" x14ac:dyDescent="0.25">
      <c r="A66" s="1" t="s">
        <v>148</v>
      </c>
      <c r="B66">
        <v>45</v>
      </c>
    </row>
    <row r="67" spans="1:3" x14ac:dyDescent="0.25">
      <c r="A67" s="1" t="s">
        <v>150</v>
      </c>
      <c r="B67">
        <v>560</v>
      </c>
    </row>
    <row r="68" spans="1:3" x14ac:dyDescent="0.25">
      <c r="A68" s="1" t="s">
        <v>150</v>
      </c>
      <c r="B68">
        <v>356</v>
      </c>
      <c r="C68">
        <v>47</v>
      </c>
    </row>
    <row r="69" spans="1:3" x14ac:dyDescent="0.25">
      <c r="A69" s="1" t="s">
        <v>151</v>
      </c>
      <c r="B69">
        <v>108</v>
      </c>
      <c r="C69">
        <v>150</v>
      </c>
    </row>
    <row r="70" spans="1:3" x14ac:dyDescent="0.25">
      <c r="A70" s="1" t="s">
        <v>151</v>
      </c>
      <c r="B70">
        <v>108</v>
      </c>
      <c r="C70">
        <v>8000</v>
      </c>
    </row>
    <row r="71" spans="1:3" x14ac:dyDescent="0.25">
      <c r="A71" s="1" t="s">
        <v>151</v>
      </c>
      <c r="B71">
        <v>108</v>
      </c>
      <c r="C71">
        <v>10000</v>
      </c>
    </row>
    <row r="72" spans="1:3" x14ac:dyDescent="0.25">
      <c r="A72" s="1" t="s">
        <v>152</v>
      </c>
      <c r="B72">
        <v>328</v>
      </c>
    </row>
    <row r="73" spans="1:3" x14ac:dyDescent="0.25">
      <c r="A73" s="1" t="s">
        <v>158</v>
      </c>
      <c r="B73">
        <v>92</v>
      </c>
      <c r="C73">
        <v>50</v>
      </c>
    </row>
    <row r="74" spans="1:3" x14ac:dyDescent="0.25">
      <c r="A74" s="1" t="s">
        <v>159</v>
      </c>
      <c r="B74">
        <v>72</v>
      </c>
    </row>
    <row r="75" spans="1:3" x14ac:dyDescent="0.25">
      <c r="A75" s="1" t="s">
        <v>160</v>
      </c>
      <c r="B75">
        <v>283</v>
      </c>
    </row>
    <row r="76" spans="1:3" x14ac:dyDescent="0.25">
      <c r="A76" s="1" t="s">
        <v>160</v>
      </c>
      <c r="B76">
        <v>283</v>
      </c>
      <c r="C76">
        <v>130</v>
      </c>
    </row>
    <row r="77" spans="1:3" x14ac:dyDescent="0.25">
      <c r="A77" s="1" t="s">
        <v>161</v>
      </c>
      <c r="B77">
        <v>187</v>
      </c>
      <c r="C77">
        <v>13</v>
      </c>
    </row>
    <row r="78" spans="1:3" x14ac:dyDescent="0.25">
      <c r="A78" s="1" t="s">
        <v>162</v>
      </c>
      <c r="B78">
        <v>25</v>
      </c>
      <c r="C78">
        <v>17</v>
      </c>
    </row>
    <row r="79" spans="1:3" x14ac:dyDescent="0.25">
      <c r="A79" s="1" t="s">
        <v>163</v>
      </c>
      <c r="B79">
        <v>14</v>
      </c>
      <c r="C79">
        <v>17</v>
      </c>
    </row>
    <row r="80" spans="1:3" x14ac:dyDescent="0.25">
      <c r="A80" s="1" t="s">
        <v>164</v>
      </c>
      <c r="B80">
        <v>181</v>
      </c>
      <c r="C80">
        <v>135</v>
      </c>
    </row>
    <row r="81" spans="1:3" x14ac:dyDescent="0.25">
      <c r="A81" s="1" t="s">
        <v>166</v>
      </c>
      <c r="B81">
        <v>26</v>
      </c>
      <c r="C81">
        <v>20</v>
      </c>
    </row>
    <row r="82" spans="1:3" x14ac:dyDescent="0.25">
      <c r="A82" s="1" t="s">
        <v>167</v>
      </c>
      <c r="B82">
        <v>64</v>
      </c>
      <c r="C82">
        <v>35</v>
      </c>
    </row>
    <row r="83" spans="1:3" x14ac:dyDescent="0.25">
      <c r="A83" s="1" t="s">
        <v>169</v>
      </c>
      <c r="B83">
        <v>36</v>
      </c>
      <c r="C83">
        <v>23</v>
      </c>
    </row>
    <row r="84" spans="1:3" x14ac:dyDescent="0.25">
      <c r="A84" s="1" t="s">
        <v>171</v>
      </c>
      <c r="B84">
        <v>74</v>
      </c>
    </row>
    <row r="85" spans="1:3" x14ac:dyDescent="0.25">
      <c r="A85" s="1" t="s">
        <v>173</v>
      </c>
      <c r="B85">
        <v>15</v>
      </c>
      <c r="C85">
        <v>11</v>
      </c>
    </row>
    <row r="86" spans="1:3" x14ac:dyDescent="0.25">
      <c r="A86" s="1" t="s">
        <v>175</v>
      </c>
      <c r="B86">
        <v>169</v>
      </c>
      <c r="C86">
        <v>29</v>
      </c>
    </row>
    <row r="87" spans="1:3" x14ac:dyDescent="0.25">
      <c r="A87" s="1" t="s">
        <v>176</v>
      </c>
      <c r="B87">
        <v>640</v>
      </c>
    </row>
    <row r="88" spans="1:3" x14ac:dyDescent="0.25">
      <c r="A88" s="1" t="s">
        <v>178</v>
      </c>
      <c r="B88">
        <v>183</v>
      </c>
    </row>
    <row r="89" spans="1:3" x14ac:dyDescent="0.25">
      <c r="A89" s="1" t="s">
        <v>179</v>
      </c>
      <c r="B89">
        <v>11</v>
      </c>
    </row>
    <row r="90" spans="1:3" x14ac:dyDescent="0.25">
      <c r="A90" s="1" t="s">
        <v>180</v>
      </c>
      <c r="B90">
        <v>156</v>
      </c>
      <c r="C90">
        <v>80</v>
      </c>
    </row>
    <row r="91" spans="1:3" x14ac:dyDescent="0.25">
      <c r="A91" s="1" t="s">
        <v>184</v>
      </c>
      <c r="B91">
        <v>1600</v>
      </c>
      <c r="C91">
        <v>300</v>
      </c>
    </row>
    <row r="92" spans="1:3" x14ac:dyDescent="0.25">
      <c r="A92" s="1" t="s">
        <v>185</v>
      </c>
      <c r="B92">
        <v>483</v>
      </c>
      <c r="C92">
        <v>90</v>
      </c>
    </row>
    <row r="93" spans="1:3" x14ac:dyDescent="0.25">
      <c r="A93" s="1" t="s">
        <v>187</v>
      </c>
      <c r="B93">
        <v>12</v>
      </c>
      <c r="C93">
        <v>80</v>
      </c>
    </row>
    <row r="94" spans="1:3" x14ac:dyDescent="0.25">
      <c r="A94" s="1" t="s">
        <v>189</v>
      </c>
      <c r="B94">
        <v>265</v>
      </c>
      <c r="C94">
        <v>65</v>
      </c>
    </row>
    <row r="95" spans="1:3" x14ac:dyDescent="0.25">
      <c r="A95" s="1" t="s">
        <v>189</v>
      </c>
      <c r="B95">
        <v>100</v>
      </c>
      <c r="C95">
        <v>24</v>
      </c>
    </row>
    <row r="96" spans="1:3" x14ac:dyDescent="0.25">
      <c r="A96" s="1" t="s">
        <v>190</v>
      </c>
      <c r="B96">
        <v>1</v>
      </c>
      <c r="C96">
        <v>13</v>
      </c>
    </row>
    <row r="97" spans="1:3" x14ac:dyDescent="0.25">
      <c r="A97" s="1" t="s">
        <v>191</v>
      </c>
      <c r="B97">
        <v>155</v>
      </c>
    </row>
    <row r="98" spans="1:3" x14ac:dyDescent="0.25">
      <c r="A98" s="1" t="s">
        <v>191</v>
      </c>
      <c r="B98">
        <v>155</v>
      </c>
    </row>
    <row r="99" spans="1:3" x14ac:dyDescent="0.25">
      <c r="A99" s="1" t="s">
        <v>194</v>
      </c>
      <c r="B99">
        <v>3600</v>
      </c>
      <c r="C99">
        <v>100</v>
      </c>
    </row>
    <row r="100" spans="1:3" x14ac:dyDescent="0.25">
      <c r="A100" s="1" t="s">
        <v>194</v>
      </c>
      <c r="B100">
        <v>3600</v>
      </c>
      <c r="C100">
        <v>150</v>
      </c>
    </row>
    <row r="101" spans="1:3" x14ac:dyDescent="0.25">
      <c r="A101" s="1" t="s">
        <v>194</v>
      </c>
      <c r="B101">
        <v>3600</v>
      </c>
      <c r="C101">
        <v>173</v>
      </c>
    </row>
    <row r="102" spans="1:3" x14ac:dyDescent="0.25">
      <c r="A102" s="1" t="s">
        <v>194</v>
      </c>
      <c r="B102">
        <v>3600</v>
      </c>
      <c r="C102">
        <v>259</v>
      </c>
    </row>
    <row r="103" spans="1:3" x14ac:dyDescent="0.25">
      <c r="A103" s="1" t="s">
        <v>197</v>
      </c>
      <c r="B103">
        <v>78</v>
      </c>
      <c r="C103">
        <v>20</v>
      </c>
    </row>
    <row r="104" spans="1:3" x14ac:dyDescent="0.25">
      <c r="A104" s="1" t="s">
        <v>198</v>
      </c>
      <c r="B104">
        <v>537</v>
      </c>
      <c r="C104">
        <v>25</v>
      </c>
    </row>
    <row r="105" spans="1:3" x14ac:dyDescent="0.25">
      <c r="A105" s="1" t="s">
        <v>199</v>
      </c>
      <c r="B105">
        <v>629</v>
      </c>
    </row>
    <row r="106" spans="1:3" x14ac:dyDescent="0.25">
      <c r="A106" s="1" t="s">
        <v>199</v>
      </c>
      <c r="B106">
        <v>629</v>
      </c>
    </row>
    <row r="107" spans="1:3" x14ac:dyDescent="0.25">
      <c r="A107" s="1" t="s">
        <v>199</v>
      </c>
      <c r="B107">
        <v>629</v>
      </c>
      <c r="C107">
        <v>800</v>
      </c>
    </row>
    <row r="108" spans="1:3" x14ac:dyDescent="0.25">
      <c r="A108" s="1" t="s">
        <v>202</v>
      </c>
      <c r="B108">
        <v>35</v>
      </c>
      <c r="C108">
        <v>75</v>
      </c>
    </row>
    <row r="109" spans="1:3" x14ac:dyDescent="0.25">
      <c r="A109" s="1" t="s">
        <v>204</v>
      </c>
      <c r="B109">
        <v>1500</v>
      </c>
      <c r="C109">
        <v>38</v>
      </c>
    </row>
    <row r="110" spans="1:3" x14ac:dyDescent="0.25">
      <c r="A110" s="1" t="s">
        <v>206</v>
      </c>
      <c r="B110">
        <v>453</v>
      </c>
      <c r="C110">
        <v>180</v>
      </c>
    </row>
    <row r="111" spans="1:3" x14ac:dyDescent="0.25">
      <c r="A111" s="1" t="s">
        <v>207</v>
      </c>
      <c r="B111">
        <v>15</v>
      </c>
    </row>
    <row r="112" spans="1:3" x14ac:dyDescent="0.25">
      <c r="A112" s="1" t="s">
        <v>208</v>
      </c>
      <c r="B112">
        <v>27</v>
      </c>
      <c r="C112">
        <v>23</v>
      </c>
    </row>
    <row r="113" spans="1:3" x14ac:dyDescent="0.25">
      <c r="A113" s="1" t="s">
        <v>209</v>
      </c>
      <c r="B113">
        <v>2</v>
      </c>
    </row>
    <row r="114" spans="1:3" x14ac:dyDescent="0.25">
      <c r="A114" s="1" t="s">
        <v>210</v>
      </c>
      <c r="B114">
        <v>300</v>
      </c>
    </row>
    <row r="115" spans="1:3" x14ac:dyDescent="0.25">
      <c r="A115" s="1" t="s">
        <v>210</v>
      </c>
      <c r="B115">
        <v>100</v>
      </c>
      <c r="C115">
        <v>40</v>
      </c>
    </row>
    <row r="116" spans="1:3" x14ac:dyDescent="0.25">
      <c r="A116" s="1" t="s">
        <v>211</v>
      </c>
      <c r="B116">
        <v>282</v>
      </c>
      <c r="C116">
        <v>76</v>
      </c>
    </row>
    <row r="117" spans="1:3" x14ac:dyDescent="0.25">
      <c r="A117" s="1" t="s">
        <v>214</v>
      </c>
      <c r="B117">
        <v>32</v>
      </c>
      <c r="C117">
        <v>15</v>
      </c>
    </row>
    <row r="118" spans="1:3" x14ac:dyDescent="0.25">
      <c r="A118" s="1" t="s">
        <v>215</v>
      </c>
      <c r="B118">
        <v>210</v>
      </c>
      <c r="C118">
        <v>500</v>
      </c>
    </row>
    <row r="119" spans="1:3" x14ac:dyDescent="0.25">
      <c r="A119" s="1" t="s">
        <v>216</v>
      </c>
      <c r="B119">
        <v>177</v>
      </c>
      <c r="C119">
        <v>32</v>
      </c>
    </row>
    <row r="120" spans="1:3" x14ac:dyDescent="0.25">
      <c r="A120" s="1" t="s">
        <v>217</v>
      </c>
      <c r="B120">
        <v>645</v>
      </c>
    </row>
    <row r="121" spans="1:3" x14ac:dyDescent="0.25">
      <c r="A121" s="1" t="s">
        <v>218</v>
      </c>
      <c r="B121">
        <v>1</v>
      </c>
      <c r="C121">
        <v>6</v>
      </c>
    </row>
    <row r="122" spans="1:3" x14ac:dyDescent="0.25">
      <c r="A122" s="1" t="s">
        <v>219</v>
      </c>
      <c r="B122">
        <v>863</v>
      </c>
    </row>
    <row r="123" spans="1:3" x14ac:dyDescent="0.25">
      <c r="A123" s="1" t="s">
        <v>220</v>
      </c>
      <c r="B123">
        <v>80</v>
      </c>
      <c r="C123">
        <v>19</v>
      </c>
    </row>
    <row r="124" spans="1:3" x14ac:dyDescent="0.25">
      <c r="A124" s="1" t="s">
        <v>221</v>
      </c>
      <c r="B124">
        <v>274</v>
      </c>
      <c r="C124">
        <v>20</v>
      </c>
    </row>
    <row r="125" spans="1:3" x14ac:dyDescent="0.25">
      <c r="A125" s="1" t="s">
        <v>223</v>
      </c>
      <c r="B125">
        <v>500</v>
      </c>
      <c r="C125">
        <v>70</v>
      </c>
    </row>
    <row r="126" spans="1:3" x14ac:dyDescent="0.25">
      <c r="A126" s="1" t="s">
        <v>224</v>
      </c>
      <c r="B126">
        <v>584</v>
      </c>
    </row>
    <row r="127" spans="1:3" x14ac:dyDescent="0.25">
      <c r="A127" s="1" t="s">
        <v>224</v>
      </c>
      <c r="B127">
        <v>584</v>
      </c>
    </row>
    <row r="128" spans="1:3" x14ac:dyDescent="0.25">
      <c r="A128" s="1" t="s">
        <v>225</v>
      </c>
      <c r="B128">
        <v>97</v>
      </c>
    </row>
    <row r="129" spans="1:3" x14ac:dyDescent="0.25">
      <c r="A129" s="1" t="s">
        <v>228</v>
      </c>
      <c r="B129">
        <v>205</v>
      </c>
    </row>
    <row r="130" spans="1:3" x14ac:dyDescent="0.25">
      <c r="A130" s="1" t="s">
        <v>229</v>
      </c>
      <c r="B130">
        <v>24</v>
      </c>
    </row>
    <row r="131" spans="1:3" x14ac:dyDescent="0.25">
      <c r="A131" s="1" t="s">
        <v>230</v>
      </c>
      <c r="B131">
        <v>840</v>
      </c>
      <c r="C131">
        <v>260</v>
      </c>
    </row>
    <row r="132" spans="1:3" x14ac:dyDescent="0.25">
      <c r="A132" s="1" t="s">
        <v>231</v>
      </c>
      <c r="B132">
        <v>152</v>
      </c>
    </row>
    <row r="133" spans="1:3" x14ac:dyDescent="0.25">
      <c r="A133" s="1" t="s">
        <v>231</v>
      </c>
      <c r="B133">
        <v>152</v>
      </c>
    </row>
    <row r="134" spans="1:3" x14ac:dyDescent="0.25">
      <c r="A134" s="1" t="s">
        <v>233</v>
      </c>
      <c r="B134">
        <v>341</v>
      </c>
    </row>
    <row r="135" spans="1:3" x14ac:dyDescent="0.25">
      <c r="A135" s="1" t="s">
        <v>236</v>
      </c>
      <c r="B135">
        <v>811</v>
      </c>
      <c r="C135">
        <v>80</v>
      </c>
    </row>
    <row r="136" spans="1:3" x14ac:dyDescent="0.25">
      <c r="A136" s="1" t="s">
        <v>236</v>
      </c>
      <c r="B136">
        <v>686</v>
      </c>
      <c r="C136">
        <v>144</v>
      </c>
    </row>
    <row r="137" spans="1:3" x14ac:dyDescent="0.25">
      <c r="A137" s="1" t="s">
        <v>239</v>
      </c>
      <c r="B137">
        <v>45</v>
      </c>
      <c r="C137">
        <v>500</v>
      </c>
    </row>
    <row r="138" spans="1:3" x14ac:dyDescent="0.25">
      <c r="A138" s="1" t="s">
        <v>240</v>
      </c>
      <c r="B138">
        <v>88</v>
      </c>
    </row>
    <row r="139" spans="1:3" x14ac:dyDescent="0.25">
      <c r="A139" s="1" t="s">
        <v>242</v>
      </c>
      <c r="B139">
        <v>181</v>
      </c>
      <c r="C139">
        <v>60</v>
      </c>
    </row>
    <row r="140" spans="1:3" x14ac:dyDescent="0.25">
      <c r="A140" s="1" t="s">
        <v>243</v>
      </c>
      <c r="B140">
        <v>30</v>
      </c>
    </row>
    <row r="141" spans="1:3" x14ac:dyDescent="0.25">
      <c r="A141" s="1" t="s">
        <v>246</v>
      </c>
      <c r="B141">
        <v>3</v>
      </c>
      <c r="C141">
        <v>5</v>
      </c>
    </row>
    <row r="142" spans="1:3" x14ac:dyDescent="0.25">
      <c r="A142" s="1" t="s">
        <v>247</v>
      </c>
      <c r="B142">
        <v>88</v>
      </c>
      <c r="C142">
        <v>250</v>
      </c>
    </row>
    <row r="143" spans="1:3" x14ac:dyDescent="0.25">
      <c r="A143" s="1" t="s">
        <v>248</v>
      </c>
      <c r="B143">
        <v>1100</v>
      </c>
      <c r="C143">
        <v>100</v>
      </c>
    </row>
    <row r="144" spans="1:3" x14ac:dyDescent="0.25">
      <c r="A144" s="1" t="s">
        <v>249</v>
      </c>
      <c r="B144">
        <v>1000</v>
      </c>
      <c r="C144">
        <v>93</v>
      </c>
    </row>
    <row r="145" spans="1:3" x14ac:dyDescent="0.25">
      <c r="A145" s="1" t="s">
        <v>252</v>
      </c>
      <c r="B145">
        <v>932</v>
      </c>
    </row>
    <row r="146" spans="1:3" x14ac:dyDescent="0.25">
      <c r="A146" s="1" t="s">
        <v>253</v>
      </c>
      <c r="B146">
        <v>946</v>
      </c>
    </row>
    <row r="147" spans="1:3" x14ac:dyDescent="0.25">
      <c r="A147" s="1" t="s">
        <v>255</v>
      </c>
      <c r="B147">
        <v>51</v>
      </c>
      <c r="C147">
        <v>30</v>
      </c>
    </row>
    <row r="148" spans="1:3" x14ac:dyDescent="0.25">
      <c r="A148" s="1" t="s">
        <v>255</v>
      </c>
      <c r="B148">
        <v>51</v>
      </c>
      <c r="C148">
        <v>35</v>
      </c>
    </row>
    <row r="149" spans="1:3" x14ac:dyDescent="0.25">
      <c r="A149" s="1" t="s">
        <v>258</v>
      </c>
      <c r="B149">
        <v>13</v>
      </c>
      <c r="C149">
        <v>70</v>
      </c>
    </row>
    <row r="150" spans="1:3" x14ac:dyDescent="0.25">
      <c r="A150" s="1" t="s">
        <v>260</v>
      </c>
      <c r="B150">
        <v>63</v>
      </c>
    </row>
    <row r="151" spans="1:3" x14ac:dyDescent="0.25">
      <c r="A151" s="1" t="s">
        <v>262</v>
      </c>
      <c r="B151">
        <v>13</v>
      </c>
      <c r="C151">
        <v>16</v>
      </c>
    </row>
    <row r="152" spans="1:3" x14ac:dyDescent="0.25">
      <c r="A152" s="1" t="s">
        <v>265</v>
      </c>
      <c r="B152">
        <v>168</v>
      </c>
      <c r="C152">
        <v>31</v>
      </c>
    </row>
    <row r="153" spans="1:3" x14ac:dyDescent="0.25">
      <c r="A153" s="1" t="s">
        <v>266</v>
      </c>
      <c r="B153">
        <v>223</v>
      </c>
    </row>
    <row r="154" spans="1:3" x14ac:dyDescent="0.25">
      <c r="A154" s="1" t="s">
        <v>267</v>
      </c>
      <c r="B154">
        <v>6</v>
      </c>
    </row>
    <row r="155" spans="1:3" x14ac:dyDescent="0.25">
      <c r="A155" s="1" t="s">
        <v>270</v>
      </c>
      <c r="B155">
        <v>14</v>
      </c>
      <c r="C155">
        <v>30</v>
      </c>
    </row>
    <row r="156" spans="1:3" x14ac:dyDescent="0.25">
      <c r="A156" s="1" t="s">
        <v>271</v>
      </c>
      <c r="B156">
        <v>49</v>
      </c>
      <c r="C156">
        <v>47</v>
      </c>
    </row>
    <row r="157" spans="1:3" x14ac:dyDescent="0.25">
      <c r="A157" s="1" t="s">
        <v>272</v>
      </c>
      <c r="B157">
        <v>69</v>
      </c>
      <c r="C157">
        <v>137</v>
      </c>
    </row>
    <row r="158" spans="1:3" x14ac:dyDescent="0.25">
      <c r="A158" s="1" t="s">
        <v>274</v>
      </c>
      <c r="B158">
        <v>380</v>
      </c>
    </row>
    <row r="159" spans="1:3" x14ac:dyDescent="0.25">
      <c r="A159" s="1" t="s">
        <v>275</v>
      </c>
      <c r="B159">
        <v>272</v>
      </c>
    </row>
    <row r="160" spans="1:3" x14ac:dyDescent="0.25">
      <c r="A160" s="1" t="s">
        <v>276</v>
      </c>
      <c r="B160">
        <v>1000</v>
      </c>
      <c r="C160">
        <v>100</v>
      </c>
    </row>
    <row r="161" spans="1:3" x14ac:dyDescent="0.25">
      <c r="A161" s="1" t="s">
        <v>277</v>
      </c>
      <c r="B161">
        <v>137</v>
      </c>
      <c r="C161">
        <v>41</v>
      </c>
    </row>
    <row r="162" spans="1:3" x14ac:dyDescent="0.25">
      <c r="A162" s="1" t="s">
        <v>279</v>
      </c>
      <c r="B162">
        <v>905</v>
      </c>
    </row>
    <row r="163" spans="1:3" x14ac:dyDescent="0.25">
      <c r="A163" s="1" t="s">
        <v>279</v>
      </c>
      <c r="B163">
        <v>905</v>
      </c>
    </row>
    <row r="164" spans="1:3" x14ac:dyDescent="0.25">
      <c r="A164" s="1" t="s">
        <v>279</v>
      </c>
      <c r="B164">
        <v>905</v>
      </c>
      <c r="C164">
        <v>900</v>
      </c>
    </row>
    <row r="165" spans="1:3" x14ac:dyDescent="0.25">
      <c r="A165" s="1" t="s">
        <v>279</v>
      </c>
      <c r="B165">
        <v>905</v>
      </c>
      <c r="C165">
        <v>3000</v>
      </c>
    </row>
    <row r="166" spans="1:3" x14ac:dyDescent="0.25">
      <c r="A166" s="1" t="s">
        <v>280</v>
      </c>
      <c r="B166">
        <v>111</v>
      </c>
    </row>
    <row r="167" spans="1:3" x14ac:dyDescent="0.25">
      <c r="A167" s="1" t="s">
        <v>281</v>
      </c>
      <c r="B167">
        <v>204</v>
      </c>
    </row>
    <row r="168" spans="1:3" x14ac:dyDescent="0.25">
      <c r="A168" s="1" t="s">
        <v>281</v>
      </c>
      <c r="B168">
        <v>204</v>
      </c>
      <c r="C168">
        <v>30</v>
      </c>
    </row>
    <row r="169" spans="1:3" x14ac:dyDescent="0.25">
      <c r="A169" s="1" t="s">
        <v>284</v>
      </c>
      <c r="B169">
        <v>435</v>
      </c>
      <c r="C169">
        <v>28</v>
      </c>
    </row>
    <row r="170" spans="1:3" x14ac:dyDescent="0.25">
      <c r="A170" s="1" t="s">
        <v>285</v>
      </c>
      <c r="B170">
        <v>60</v>
      </c>
      <c r="C170">
        <v>30</v>
      </c>
    </row>
    <row r="171" spans="1:3" x14ac:dyDescent="0.25">
      <c r="A171" s="1" t="s">
        <v>286</v>
      </c>
      <c r="B171">
        <v>122</v>
      </c>
      <c r="C171">
        <v>40</v>
      </c>
    </row>
    <row r="172" spans="1:3" x14ac:dyDescent="0.25">
      <c r="A172" s="1" t="s">
        <v>286</v>
      </c>
      <c r="B172">
        <v>122</v>
      </c>
      <c r="C172">
        <v>200</v>
      </c>
    </row>
    <row r="173" spans="1:3" x14ac:dyDescent="0.25">
      <c r="A173" s="1" t="s">
        <v>287</v>
      </c>
      <c r="B173">
        <v>16</v>
      </c>
      <c r="C173">
        <v>65</v>
      </c>
    </row>
    <row r="174" spans="1:3" x14ac:dyDescent="0.25">
      <c r="A174" s="1" t="s">
        <v>288</v>
      </c>
      <c r="B174">
        <v>21</v>
      </c>
      <c r="C174">
        <v>40</v>
      </c>
    </row>
    <row r="175" spans="1:3" x14ac:dyDescent="0.25">
      <c r="A175" s="1" t="s">
        <v>289</v>
      </c>
      <c r="B175">
        <v>95</v>
      </c>
      <c r="C175">
        <v>250</v>
      </c>
    </row>
    <row r="176" spans="1:3" x14ac:dyDescent="0.25">
      <c r="A176" s="1" t="s">
        <v>290</v>
      </c>
      <c r="B176">
        <v>200</v>
      </c>
    </row>
    <row r="177" spans="1:3" x14ac:dyDescent="0.25">
      <c r="A177" s="1" t="s">
        <v>291</v>
      </c>
      <c r="B177">
        <v>224</v>
      </c>
      <c r="C177">
        <v>180</v>
      </c>
    </row>
    <row r="178" spans="1:3" x14ac:dyDescent="0.25">
      <c r="A178" s="1" t="s">
        <v>292</v>
      </c>
      <c r="B178">
        <v>12</v>
      </c>
    </row>
    <row r="179" spans="1:3" x14ac:dyDescent="0.25">
      <c r="A179" s="1" t="s">
        <v>294</v>
      </c>
      <c r="B179">
        <v>3700</v>
      </c>
    </row>
    <row r="180" spans="1:3" x14ac:dyDescent="0.25">
      <c r="A180" s="1" t="s">
        <v>297</v>
      </c>
      <c r="B180">
        <v>585</v>
      </c>
      <c r="C180">
        <v>120</v>
      </c>
    </row>
    <row r="181" spans="1:3" x14ac:dyDescent="0.25">
      <c r="A181" s="1" t="s">
        <v>298</v>
      </c>
      <c r="B181">
        <v>783</v>
      </c>
      <c r="C181">
        <v>138</v>
      </c>
    </row>
    <row r="182" spans="1:3" x14ac:dyDescent="0.25">
      <c r="A182" s="1" t="s">
        <v>298</v>
      </c>
      <c r="B182">
        <v>623</v>
      </c>
      <c r="C182">
        <v>406</v>
      </c>
    </row>
    <row r="183" spans="1:3" x14ac:dyDescent="0.25">
      <c r="A183" s="1" t="s">
        <v>299</v>
      </c>
      <c r="B183">
        <v>25</v>
      </c>
    </row>
    <row r="184" spans="1:3" x14ac:dyDescent="0.25">
      <c r="A184" s="1" t="s">
        <v>302</v>
      </c>
      <c r="B184">
        <v>69</v>
      </c>
    </row>
    <row r="185" spans="1:3" x14ac:dyDescent="0.25">
      <c r="A185" s="1" t="s">
        <v>306</v>
      </c>
      <c r="B185">
        <v>30</v>
      </c>
      <c r="C185">
        <v>9</v>
      </c>
    </row>
    <row r="186" spans="1:3" x14ac:dyDescent="0.25">
      <c r="A186" s="1" t="s">
        <v>307</v>
      </c>
      <c r="B186">
        <v>546</v>
      </c>
      <c r="C186">
        <v>270</v>
      </c>
    </row>
    <row r="187" spans="1:3" x14ac:dyDescent="0.25">
      <c r="A187" s="1" t="s">
        <v>310</v>
      </c>
      <c r="B187">
        <v>83</v>
      </c>
    </row>
    <row r="188" spans="1:3" x14ac:dyDescent="0.25">
      <c r="A188" s="1" t="s">
        <v>313</v>
      </c>
      <c r="B188">
        <v>401</v>
      </c>
      <c r="C188">
        <v>40</v>
      </c>
    </row>
    <row r="189" spans="1:3" x14ac:dyDescent="0.25">
      <c r="A189" s="1" t="s">
        <v>314</v>
      </c>
      <c r="B189">
        <v>378</v>
      </c>
      <c r="C189">
        <v>80</v>
      </c>
    </row>
    <row r="190" spans="1:3" x14ac:dyDescent="0.25">
      <c r="A190" s="1" t="s">
        <v>314</v>
      </c>
      <c r="B190">
        <v>378</v>
      </c>
      <c r="C190">
        <v>100</v>
      </c>
    </row>
    <row r="191" spans="1:3" x14ac:dyDescent="0.25">
      <c r="A191" s="1" t="s">
        <v>317</v>
      </c>
      <c r="B191">
        <v>46</v>
      </c>
      <c r="C191">
        <v>70</v>
      </c>
    </row>
    <row r="192" spans="1:3" x14ac:dyDescent="0.25">
      <c r="A192" s="1" t="s">
        <v>320</v>
      </c>
      <c r="B192">
        <v>70</v>
      </c>
      <c r="C192">
        <v>140</v>
      </c>
    </row>
    <row r="193" spans="1:3" x14ac:dyDescent="0.25">
      <c r="A193" s="1" t="s">
        <v>321</v>
      </c>
      <c r="B193">
        <v>45</v>
      </c>
    </row>
    <row r="194" spans="1:3" x14ac:dyDescent="0.25">
      <c r="A194" s="1" t="s">
        <v>322</v>
      </c>
      <c r="B194">
        <v>194</v>
      </c>
      <c r="C194">
        <v>100</v>
      </c>
    </row>
    <row r="195" spans="1:3" x14ac:dyDescent="0.25">
      <c r="A195" s="1" t="s">
        <v>322</v>
      </c>
      <c r="B195">
        <v>194</v>
      </c>
      <c r="C195">
        <v>120</v>
      </c>
    </row>
    <row r="196" spans="1:3" x14ac:dyDescent="0.25">
      <c r="A196" s="1" t="s">
        <v>328</v>
      </c>
      <c r="B196">
        <v>293</v>
      </c>
      <c r="C196">
        <v>200</v>
      </c>
    </row>
    <row r="197" spans="1:3" x14ac:dyDescent="0.25">
      <c r="A197" s="1" t="s">
        <v>329</v>
      </c>
      <c r="B197">
        <v>220</v>
      </c>
      <c r="C197">
        <v>95</v>
      </c>
    </row>
    <row r="198" spans="1:3" x14ac:dyDescent="0.25">
      <c r="A198" s="1" t="s">
        <v>330</v>
      </c>
      <c r="B198">
        <v>41</v>
      </c>
      <c r="C198">
        <v>20</v>
      </c>
    </row>
    <row r="199" spans="1:3" x14ac:dyDescent="0.25">
      <c r="A199" s="1" t="s">
        <v>331</v>
      </c>
      <c r="B199">
        <v>665</v>
      </c>
      <c r="C199">
        <v>100</v>
      </c>
    </row>
    <row r="200" spans="1:3" x14ac:dyDescent="0.25">
      <c r="A200" s="1" t="s">
        <v>331</v>
      </c>
      <c r="B200">
        <v>665</v>
      </c>
      <c r="C200">
        <v>200</v>
      </c>
    </row>
    <row r="201" spans="1:3" x14ac:dyDescent="0.25">
      <c r="A201" s="1" t="s">
        <v>331</v>
      </c>
      <c r="B201">
        <v>665</v>
      </c>
      <c r="C201">
        <v>220</v>
      </c>
    </row>
    <row r="202" spans="1:3" x14ac:dyDescent="0.25">
      <c r="A202" s="1" t="s">
        <v>331</v>
      </c>
      <c r="B202">
        <v>665</v>
      </c>
      <c r="C202">
        <v>340</v>
      </c>
    </row>
    <row r="203" spans="1:3" x14ac:dyDescent="0.25">
      <c r="A203" s="1" t="s">
        <v>332</v>
      </c>
      <c r="B203">
        <v>490</v>
      </c>
      <c r="C203">
        <v>110</v>
      </c>
    </row>
    <row r="204" spans="1:3" x14ac:dyDescent="0.25">
      <c r="A204" s="1" t="s">
        <v>332</v>
      </c>
      <c r="B204">
        <v>490</v>
      </c>
      <c r="C204">
        <v>150</v>
      </c>
    </row>
    <row r="205" spans="1:3" x14ac:dyDescent="0.25">
      <c r="A205" s="1" t="s">
        <v>333</v>
      </c>
      <c r="B205">
        <v>1000</v>
      </c>
    </row>
    <row r="206" spans="1:3" x14ac:dyDescent="0.25">
      <c r="A206" s="1" t="s">
        <v>333</v>
      </c>
      <c r="B206">
        <v>1000</v>
      </c>
      <c r="C206">
        <v>250</v>
      </c>
    </row>
    <row r="207" spans="1:3" x14ac:dyDescent="0.25">
      <c r="A207" s="1" t="s">
        <v>335</v>
      </c>
      <c r="B207">
        <v>352</v>
      </c>
    </row>
    <row r="208" spans="1:3" x14ac:dyDescent="0.25">
      <c r="A208" s="1" t="s">
        <v>336</v>
      </c>
      <c r="B208">
        <v>77</v>
      </c>
      <c r="C208">
        <v>130</v>
      </c>
    </row>
    <row r="209" spans="1:3" x14ac:dyDescent="0.25">
      <c r="A209" s="1" t="s">
        <v>337</v>
      </c>
      <c r="B209">
        <v>48</v>
      </c>
      <c r="C209">
        <v>60</v>
      </c>
    </row>
    <row r="210" spans="1:3" x14ac:dyDescent="0.25">
      <c r="A210" s="1" t="s">
        <v>339</v>
      </c>
      <c r="B210">
        <v>108</v>
      </c>
      <c r="C210">
        <v>137</v>
      </c>
    </row>
    <row r="211" spans="1:3" x14ac:dyDescent="0.25">
      <c r="A211" s="1" t="s">
        <v>342</v>
      </c>
      <c r="B211">
        <v>1300</v>
      </c>
      <c r="C211">
        <v>50</v>
      </c>
    </row>
    <row r="212" spans="1:3" x14ac:dyDescent="0.25">
      <c r="A212" s="1" t="s">
        <v>342</v>
      </c>
      <c r="B212">
        <v>1300</v>
      </c>
      <c r="C212">
        <v>240</v>
      </c>
    </row>
    <row r="213" spans="1:3" x14ac:dyDescent="0.25">
      <c r="A213" s="1" t="s">
        <v>344</v>
      </c>
      <c r="B213">
        <v>42</v>
      </c>
    </row>
    <row r="214" spans="1:3" x14ac:dyDescent="0.25">
      <c r="A214" s="1" t="s">
        <v>345</v>
      </c>
      <c r="B214">
        <v>27</v>
      </c>
      <c r="C214">
        <v>29</v>
      </c>
    </row>
    <row r="215" spans="1:3" x14ac:dyDescent="0.25">
      <c r="A215" s="1" t="s">
        <v>345</v>
      </c>
      <c r="B215">
        <v>27</v>
      </c>
      <c r="C215">
        <v>30</v>
      </c>
    </row>
    <row r="216" spans="1:3" x14ac:dyDescent="0.25">
      <c r="A216" s="1" t="s">
        <v>347</v>
      </c>
      <c r="B216">
        <v>26</v>
      </c>
      <c r="C216">
        <v>12</v>
      </c>
    </row>
    <row r="217" spans="1:3" x14ac:dyDescent="0.25">
      <c r="A217" s="1" t="s">
        <v>352</v>
      </c>
      <c r="B217">
        <v>224</v>
      </c>
      <c r="C217">
        <v>270</v>
      </c>
    </row>
    <row r="218" spans="1:3" x14ac:dyDescent="0.25">
      <c r="A218" s="1" t="s">
        <v>353</v>
      </c>
      <c r="B218">
        <v>48</v>
      </c>
      <c r="C218">
        <v>200</v>
      </c>
    </row>
    <row r="219" spans="1:3" x14ac:dyDescent="0.25">
      <c r="A219" s="1" t="s">
        <v>354</v>
      </c>
      <c r="B219">
        <v>23</v>
      </c>
    </row>
    <row r="220" spans="1:3" x14ac:dyDescent="0.25">
      <c r="A220" s="1" t="s">
        <v>354</v>
      </c>
      <c r="B220">
        <v>23</v>
      </c>
      <c r="C220">
        <v>30</v>
      </c>
    </row>
    <row r="221" spans="1:3" x14ac:dyDescent="0.25">
      <c r="A221" s="1" t="s">
        <v>355</v>
      </c>
      <c r="B221">
        <v>137</v>
      </c>
    </row>
    <row r="222" spans="1:3" x14ac:dyDescent="0.25">
      <c r="A222" s="1" t="s">
        <v>356</v>
      </c>
      <c r="B222">
        <v>56</v>
      </c>
      <c r="C222">
        <v>70</v>
      </c>
    </row>
    <row r="223" spans="1:3" x14ac:dyDescent="0.25">
      <c r="A223" s="1" t="s">
        <v>358</v>
      </c>
      <c r="B223">
        <v>72</v>
      </c>
      <c r="C223">
        <v>15</v>
      </c>
    </row>
    <row r="224" spans="1:3" x14ac:dyDescent="0.25">
      <c r="A224" s="1" t="s">
        <v>359</v>
      </c>
      <c r="B224">
        <v>102</v>
      </c>
    </row>
    <row r="225" spans="1:3" x14ac:dyDescent="0.25">
      <c r="A225" s="1" t="s">
        <v>359</v>
      </c>
      <c r="B225">
        <v>102</v>
      </c>
      <c r="C225">
        <v>61</v>
      </c>
    </row>
    <row r="226" spans="1:3" x14ac:dyDescent="0.25">
      <c r="A226" s="1" t="s">
        <v>360</v>
      </c>
      <c r="B226">
        <v>214</v>
      </c>
      <c r="C226">
        <v>40</v>
      </c>
    </row>
    <row r="227" spans="1:3" x14ac:dyDescent="0.25">
      <c r="A227" s="1" t="s">
        <v>360</v>
      </c>
      <c r="B227">
        <v>214</v>
      </c>
      <c r="C227">
        <v>120</v>
      </c>
    </row>
    <row r="228" spans="1:3" x14ac:dyDescent="0.25">
      <c r="A228" s="1" t="s">
        <v>360</v>
      </c>
      <c r="B228">
        <v>214</v>
      </c>
      <c r="C228">
        <v>130</v>
      </c>
    </row>
    <row r="229" spans="1:3" x14ac:dyDescent="0.25">
      <c r="A229" s="1" t="s">
        <v>360</v>
      </c>
      <c r="B229">
        <v>214</v>
      </c>
      <c r="C229">
        <v>200</v>
      </c>
    </row>
    <row r="230" spans="1:3" x14ac:dyDescent="0.25">
      <c r="A230" s="1" t="s">
        <v>361</v>
      </c>
      <c r="B230">
        <v>75</v>
      </c>
      <c r="C230">
        <v>77</v>
      </c>
    </row>
    <row r="231" spans="1:3" x14ac:dyDescent="0.25">
      <c r="A231" s="1" t="s">
        <v>362</v>
      </c>
      <c r="B231">
        <v>12</v>
      </c>
    </row>
    <row r="232" spans="1:3" x14ac:dyDescent="0.25">
      <c r="A232" s="1" t="s">
        <v>363</v>
      </c>
      <c r="B232">
        <v>148</v>
      </c>
      <c r="C232">
        <v>25</v>
      </c>
    </row>
    <row r="233" spans="1:3" x14ac:dyDescent="0.25">
      <c r="A233" s="1" t="s">
        <v>366</v>
      </c>
      <c r="B233">
        <v>2</v>
      </c>
      <c r="C233">
        <v>3</v>
      </c>
    </row>
    <row r="234" spans="1:3" x14ac:dyDescent="0.25">
      <c r="A234" s="1" t="s">
        <v>367</v>
      </c>
      <c r="B234">
        <v>367</v>
      </c>
      <c r="C234">
        <v>100</v>
      </c>
    </row>
    <row r="235" spans="1:3" x14ac:dyDescent="0.25">
      <c r="A235" s="1" t="s">
        <v>368</v>
      </c>
      <c r="B235">
        <v>42</v>
      </c>
      <c r="C235">
        <v>40</v>
      </c>
    </row>
    <row r="236" spans="1:3" x14ac:dyDescent="0.25">
      <c r="A236" s="1" t="s">
        <v>369</v>
      </c>
      <c r="B236">
        <v>6</v>
      </c>
      <c r="C236">
        <v>50</v>
      </c>
    </row>
    <row r="237" spans="1:3" x14ac:dyDescent="0.25">
      <c r="A237" s="1" t="s">
        <v>371</v>
      </c>
      <c r="B237">
        <v>131</v>
      </c>
      <c r="C237">
        <v>120</v>
      </c>
    </row>
    <row r="238" spans="1:3" x14ac:dyDescent="0.25">
      <c r="A238" s="1" t="s">
        <v>372</v>
      </c>
      <c r="B238">
        <v>732</v>
      </c>
      <c r="C238">
        <v>62</v>
      </c>
    </row>
    <row r="239" spans="1:3" x14ac:dyDescent="0.25">
      <c r="A239" s="1" t="s">
        <v>372</v>
      </c>
      <c r="B239">
        <v>1500</v>
      </c>
      <c r="C239">
        <v>136</v>
      </c>
    </row>
    <row r="240" spans="1:3" x14ac:dyDescent="0.25">
      <c r="A240" s="1" t="s">
        <v>373</v>
      </c>
      <c r="B240">
        <v>45</v>
      </c>
      <c r="C240">
        <v>154</v>
      </c>
    </row>
    <row r="241" spans="1:3" x14ac:dyDescent="0.25">
      <c r="A241" s="1" t="s">
        <v>375</v>
      </c>
      <c r="B241">
        <v>36</v>
      </c>
      <c r="C241">
        <v>13</v>
      </c>
    </row>
    <row r="242" spans="1:3" x14ac:dyDescent="0.25">
      <c r="A242" s="1" t="s">
        <v>377</v>
      </c>
      <c r="B242">
        <v>250</v>
      </c>
      <c r="C242">
        <v>30</v>
      </c>
    </row>
    <row r="243" spans="1:3" x14ac:dyDescent="0.25">
      <c r="A243" s="1" t="s">
        <v>378</v>
      </c>
      <c r="B243">
        <v>31</v>
      </c>
      <c r="C243">
        <v>100</v>
      </c>
    </row>
    <row r="244" spans="1:3" x14ac:dyDescent="0.25">
      <c r="A244" s="1" t="s">
        <v>379</v>
      </c>
      <c r="B244">
        <v>145</v>
      </c>
      <c r="C244">
        <v>30</v>
      </c>
    </row>
    <row r="245" spans="1:3" x14ac:dyDescent="0.25">
      <c r="A245" s="1" t="s">
        <v>379</v>
      </c>
      <c r="B245">
        <v>145</v>
      </c>
      <c r="C245">
        <v>58</v>
      </c>
    </row>
    <row r="246" spans="1:3" x14ac:dyDescent="0.25">
      <c r="A246" s="1" t="s">
        <v>380</v>
      </c>
      <c r="B246">
        <v>212</v>
      </c>
    </row>
    <row r="247" spans="1:3" x14ac:dyDescent="0.25">
      <c r="A247" s="1" t="s">
        <v>381</v>
      </c>
      <c r="B247">
        <v>84</v>
      </c>
      <c r="C247">
        <v>10</v>
      </c>
    </row>
    <row r="248" spans="1:3" x14ac:dyDescent="0.25">
      <c r="A248" s="1" t="s">
        <v>382</v>
      </c>
      <c r="B248">
        <v>2400</v>
      </c>
      <c r="C248">
        <v>206</v>
      </c>
    </row>
    <row r="249" spans="1:3" x14ac:dyDescent="0.25">
      <c r="A249" s="1" t="s">
        <v>383</v>
      </c>
      <c r="B249">
        <v>10</v>
      </c>
      <c r="C249">
        <v>26</v>
      </c>
    </row>
    <row r="250" spans="1:3" x14ac:dyDescent="0.25">
      <c r="A250" s="1" t="s">
        <v>384</v>
      </c>
      <c r="B250">
        <v>25</v>
      </c>
    </row>
    <row r="251" spans="1:3" x14ac:dyDescent="0.25">
      <c r="A251" s="1" t="s">
        <v>385</v>
      </c>
      <c r="B251">
        <v>89</v>
      </c>
      <c r="C251">
        <v>100</v>
      </c>
    </row>
    <row r="252" spans="1:3" x14ac:dyDescent="0.25">
      <c r="A252" s="1" t="s">
        <v>386</v>
      </c>
      <c r="B252">
        <v>11</v>
      </c>
      <c r="C252">
        <v>80</v>
      </c>
    </row>
    <row r="253" spans="1:3" x14ac:dyDescent="0.25">
      <c r="A253" s="1" t="s">
        <v>389</v>
      </c>
      <c r="B253">
        <v>29</v>
      </c>
      <c r="C253">
        <v>39</v>
      </c>
    </row>
    <row r="254" spans="1:3" x14ac:dyDescent="0.25">
      <c r="A254" s="1" t="s">
        <v>390</v>
      </c>
      <c r="B254">
        <v>29</v>
      </c>
      <c r="C254">
        <v>28</v>
      </c>
    </row>
    <row r="255" spans="1:3" x14ac:dyDescent="0.25">
      <c r="A255" s="1" t="s">
        <v>390</v>
      </c>
      <c r="B255">
        <v>29</v>
      </c>
      <c r="C255">
        <v>50</v>
      </c>
    </row>
    <row r="256" spans="1:3" x14ac:dyDescent="0.25">
      <c r="A256" s="1" t="s">
        <v>391</v>
      </c>
      <c r="B256">
        <v>32</v>
      </c>
      <c r="C256">
        <v>100</v>
      </c>
    </row>
    <row r="257" spans="1:3" x14ac:dyDescent="0.25">
      <c r="A257" s="1" t="s">
        <v>392</v>
      </c>
      <c r="B257">
        <v>300</v>
      </c>
      <c r="C257">
        <v>30</v>
      </c>
    </row>
    <row r="258" spans="1:3" x14ac:dyDescent="0.25">
      <c r="A258" s="1" t="s">
        <v>393</v>
      </c>
      <c r="B258">
        <v>171</v>
      </c>
      <c r="C258">
        <v>70</v>
      </c>
    </row>
    <row r="259" spans="1:3" x14ac:dyDescent="0.25">
      <c r="A259" s="1" t="s">
        <v>394</v>
      </c>
      <c r="B259">
        <v>21</v>
      </c>
      <c r="C259">
        <v>23</v>
      </c>
    </row>
    <row r="260" spans="1:3" x14ac:dyDescent="0.25">
      <c r="A260" s="1" t="s">
        <v>395</v>
      </c>
      <c r="B260">
        <v>138</v>
      </c>
      <c r="C260">
        <v>160</v>
      </c>
    </row>
    <row r="261" spans="1:3" x14ac:dyDescent="0.25">
      <c r="A261" s="1" t="s">
        <v>396</v>
      </c>
      <c r="B261">
        <v>80</v>
      </c>
    </row>
    <row r="262" spans="1:3" x14ac:dyDescent="0.25">
      <c r="A262" s="1" t="s">
        <v>396</v>
      </c>
      <c r="B262">
        <v>80</v>
      </c>
      <c r="C262">
        <v>19</v>
      </c>
    </row>
    <row r="263" spans="1:3" x14ac:dyDescent="0.25">
      <c r="A263" s="1" t="s">
        <v>396</v>
      </c>
      <c r="B263">
        <v>80</v>
      </c>
      <c r="C263">
        <v>24</v>
      </c>
    </row>
    <row r="264" spans="1:3" x14ac:dyDescent="0.25">
      <c r="A264" s="1" t="s">
        <v>397</v>
      </c>
      <c r="B264">
        <v>50</v>
      </c>
      <c r="C264">
        <v>1000</v>
      </c>
    </row>
    <row r="265" spans="1:3" x14ac:dyDescent="0.25">
      <c r="A265" s="1" t="s">
        <v>398</v>
      </c>
      <c r="B265">
        <v>530</v>
      </c>
    </row>
    <row r="266" spans="1:3" x14ac:dyDescent="0.25">
      <c r="A266" s="1" t="s">
        <v>398</v>
      </c>
      <c r="B266">
        <v>530</v>
      </c>
    </row>
    <row r="267" spans="1:3" x14ac:dyDescent="0.25">
      <c r="A267" s="1" t="s">
        <v>400</v>
      </c>
      <c r="B267">
        <v>64</v>
      </c>
      <c r="C267">
        <v>48</v>
      </c>
    </row>
    <row r="268" spans="1:3" x14ac:dyDescent="0.25">
      <c r="A268" s="1" t="s">
        <v>401</v>
      </c>
      <c r="B268">
        <v>115</v>
      </c>
    </row>
    <row r="269" spans="1:3" x14ac:dyDescent="0.25">
      <c r="A269" s="1" t="s">
        <v>402</v>
      </c>
      <c r="B269">
        <v>42</v>
      </c>
      <c r="C269">
        <v>87</v>
      </c>
    </row>
    <row r="270" spans="1:3" x14ac:dyDescent="0.25">
      <c r="A270" s="1" t="s">
        <v>403</v>
      </c>
      <c r="B270">
        <v>32</v>
      </c>
    </row>
    <row r="271" spans="1:3" x14ac:dyDescent="0.25">
      <c r="A271" s="1" t="s">
        <v>404</v>
      </c>
      <c r="B271">
        <v>696</v>
      </c>
      <c r="C271">
        <v>180</v>
      </c>
    </row>
    <row r="272" spans="1:3" x14ac:dyDescent="0.25">
      <c r="A272" s="1" t="s">
        <v>408</v>
      </c>
      <c r="B272">
        <v>5500</v>
      </c>
      <c r="C272">
        <v>1500</v>
      </c>
    </row>
    <row r="273" spans="1:3" x14ac:dyDescent="0.25">
      <c r="A273" s="1" t="s">
        <v>408</v>
      </c>
      <c r="B273">
        <v>5500</v>
      </c>
      <c r="C273">
        <v>2500</v>
      </c>
    </row>
    <row r="274" spans="1:3" x14ac:dyDescent="0.25">
      <c r="A274" s="1" t="s">
        <v>409</v>
      </c>
      <c r="B274">
        <v>7400</v>
      </c>
      <c r="C274">
        <v>1800</v>
      </c>
    </row>
    <row r="275" spans="1:3" x14ac:dyDescent="0.25">
      <c r="A275" s="1" t="s">
        <v>410</v>
      </c>
      <c r="B275">
        <v>9400</v>
      </c>
    </row>
    <row r="276" spans="1:3" x14ac:dyDescent="0.25">
      <c r="A276" s="1" t="s">
        <v>409</v>
      </c>
      <c r="B276">
        <v>9400</v>
      </c>
      <c r="C276">
        <v>150</v>
      </c>
    </row>
    <row r="277" spans="1:3" x14ac:dyDescent="0.25">
      <c r="A277" s="1" t="s">
        <v>409</v>
      </c>
      <c r="B277">
        <v>9400</v>
      </c>
      <c r="C277">
        <v>1800</v>
      </c>
    </row>
    <row r="278" spans="1:3" x14ac:dyDescent="0.25">
      <c r="A278" s="1" t="s">
        <v>411</v>
      </c>
      <c r="B278">
        <v>1200</v>
      </c>
    </row>
    <row r="279" spans="1:3" x14ac:dyDescent="0.25">
      <c r="A279" s="1" t="s">
        <v>412</v>
      </c>
      <c r="B279">
        <v>537</v>
      </c>
      <c r="C279">
        <v>20</v>
      </c>
    </row>
    <row r="280" spans="1:3" x14ac:dyDescent="0.25">
      <c r="A280" s="1" t="s">
        <v>415</v>
      </c>
      <c r="B280">
        <v>2300</v>
      </c>
    </row>
    <row r="281" spans="1:3" x14ac:dyDescent="0.25">
      <c r="A281" s="1" t="s">
        <v>416</v>
      </c>
      <c r="B281">
        <v>3</v>
      </c>
    </row>
    <row r="282" spans="1:3" x14ac:dyDescent="0.25">
      <c r="A282" s="1" t="s">
        <v>417</v>
      </c>
      <c r="B282">
        <v>133</v>
      </c>
      <c r="C282">
        <v>28</v>
      </c>
    </row>
    <row r="283" spans="1:3" x14ac:dyDescent="0.25">
      <c r="A283" s="1" t="s">
        <v>418</v>
      </c>
      <c r="B283">
        <v>127</v>
      </c>
      <c r="C283">
        <v>156</v>
      </c>
    </row>
    <row r="284" spans="1:3" x14ac:dyDescent="0.25">
      <c r="A284" s="1" t="s">
        <v>419</v>
      </c>
      <c r="B284">
        <v>75</v>
      </c>
      <c r="C284">
        <v>20</v>
      </c>
    </row>
    <row r="285" spans="1:3" x14ac:dyDescent="0.25">
      <c r="A285" s="1" t="s">
        <v>421</v>
      </c>
      <c r="B285">
        <v>218</v>
      </c>
      <c r="C285">
        <v>90</v>
      </c>
    </row>
    <row r="286" spans="1:3" x14ac:dyDescent="0.25">
      <c r="A286" s="1" t="s">
        <v>422</v>
      </c>
      <c r="B286">
        <v>165</v>
      </c>
      <c r="C286">
        <v>80</v>
      </c>
    </row>
    <row r="287" spans="1:3" x14ac:dyDescent="0.25">
      <c r="A287" s="1" t="s">
        <v>422</v>
      </c>
      <c r="B287">
        <v>165</v>
      </c>
      <c r="C287">
        <v>87</v>
      </c>
    </row>
    <row r="288" spans="1:3" x14ac:dyDescent="0.25">
      <c r="A288" s="1" t="s">
        <v>423</v>
      </c>
      <c r="B288">
        <v>16</v>
      </c>
    </row>
    <row r="289" spans="1:3" x14ac:dyDescent="0.25">
      <c r="A289" s="1" t="s">
        <v>425</v>
      </c>
      <c r="B289">
        <v>5</v>
      </c>
    </row>
    <row r="290" spans="1:3" x14ac:dyDescent="0.25">
      <c r="A290" s="1" t="s">
        <v>426</v>
      </c>
      <c r="B290">
        <v>100</v>
      </c>
      <c r="C290">
        <v>33</v>
      </c>
    </row>
    <row r="291" spans="1:3" x14ac:dyDescent="0.25">
      <c r="A291" s="1" t="s">
        <v>427</v>
      </c>
      <c r="B291">
        <v>300</v>
      </c>
      <c r="C291">
        <v>58</v>
      </c>
    </row>
    <row r="292" spans="1:3" x14ac:dyDescent="0.25">
      <c r="A292" s="1" t="s">
        <v>428</v>
      </c>
      <c r="B292">
        <v>102</v>
      </c>
    </row>
    <row r="293" spans="1:3" x14ac:dyDescent="0.25">
      <c r="A293" s="1" t="s">
        <v>430</v>
      </c>
      <c r="B293">
        <v>33</v>
      </c>
    </row>
    <row r="294" spans="1:3" x14ac:dyDescent="0.25">
      <c r="A294" s="1" t="s">
        <v>433</v>
      </c>
      <c r="B294">
        <v>281</v>
      </c>
    </row>
    <row r="295" spans="1:3" x14ac:dyDescent="0.25">
      <c r="A295" s="1" t="s">
        <v>433</v>
      </c>
      <c r="B295">
        <v>281</v>
      </c>
      <c r="C295">
        <v>37</v>
      </c>
    </row>
    <row r="296" spans="1:3" x14ac:dyDescent="0.25">
      <c r="A296" s="1" t="s">
        <v>434</v>
      </c>
      <c r="B296">
        <v>570</v>
      </c>
    </row>
    <row r="297" spans="1:3" x14ac:dyDescent="0.25">
      <c r="A297" s="1" t="s">
        <v>435</v>
      </c>
      <c r="B297">
        <v>126</v>
      </c>
      <c r="C297">
        <v>120</v>
      </c>
    </row>
    <row r="298" spans="1:3" x14ac:dyDescent="0.25">
      <c r="A298" s="1" t="s">
        <v>436</v>
      </c>
      <c r="B298">
        <v>164</v>
      </c>
      <c r="C298">
        <v>31</v>
      </c>
    </row>
    <row r="299" spans="1:3" x14ac:dyDescent="0.25">
      <c r="A299" s="1" t="s">
        <v>437</v>
      </c>
      <c r="B299">
        <v>683</v>
      </c>
    </row>
    <row r="300" spans="1:3" x14ac:dyDescent="0.25">
      <c r="A300" s="1" t="s">
        <v>438</v>
      </c>
      <c r="B300">
        <v>522</v>
      </c>
      <c r="C300">
        <v>200</v>
      </c>
    </row>
    <row r="301" spans="1:3" x14ac:dyDescent="0.25">
      <c r="A301" s="1" t="s">
        <v>438</v>
      </c>
      <c r="B301">
        <v>522</v>
      </c>
      <c r="C301">
        <v>250</v>
      </c>
    </row>
    <row r="302" spans="1:3" x14ac:dyDescent="0.25">
      <c r="A302" s="1" t="s">
        <v>439</v>
      </c>
      <c r="B302">
        <v>497</v>
      </c>
    </row>
    <row r="303" spans="1:3" x14ac:dyDescent="0.25">
      <c r="A303" s="1" t="s">
        <v>439</v>
      </c>
      <c r="B303">
        <v>247</v>
      </c>
      <c r="C303">
        <v>200</v>
      </c>
    </row>
    <row r="304" spans="1:3" x14ac:dyDescent="0.25">
      <c r="A304" s="1" t="s">
        <v>440</v>
      </c>
      <c r="B304">
        <v>212</v>
      </c>
      <c r="C304">
        <v>51</v>
      </c>
    </row>
    <row r="305" spans="1:3" x14ac:dyDescent="0.25">
      <c r="A305" s="1" t="s">
        <v>441</v>
      </c>
      <c r="B305">
        <v>156</v>
      </c>
      <c r="C305">
        <v>81</v>
      </c>
    </row>
    <row r="306" spans="1:3" x14ac:dyDescent="0.25">
      <c r="A306" s="1" t="s">
        <v>442</v>
      </c>
      <c r="B306">
        <v>771</v>
      </c>
      <c r="C306">
        <v>536</v>
      </c>
    </row>
    <row r="307" spans="1:3" x14ac:dyDescent="0.25">
      <c r="A307" s="1" t="s">
        <v>443</v>
      </c>
      <c r="B307">
        <v>51</v>
      </c>
      <c r="C307">
        <v>22</v>
      </c>
    </row>
    <row r="308" spans="1:3" x14ac:dyDescent="0.25">
      <c r="A308" s="1" t="s">
        <v>443</v>
      </c>
      <c r="B308">
        <v>51</v>
      </c>
      <c r="C308">
        <v>60</v>
      </c>
    </row>
    <row r="309" spans="1:3" x14ac:dyDescent="0.25">
      <c r="A309" s="1" t="s">
        <v>444</v>
      </c>
      <c r="B309">
        <v>30</v>
      </c>
    </row>
    <row r="310" spans="1:3" x14ac:dyDescent="0.25">
      <c r="A310" s="1" t="s">
        <v>445</v>
      </c>
      <c r="B310">
        <v>51</v>
      </c>
    </row>
    <row r="311" spans="1:3" x14ac:dyDescent="0.25">
      <c r="A311" s="1" t="s">
        <v>446</v>
      </c>
      <c r="B311">
        <v>1</v>
      </c>
      <c r="C311">
        <v>130</v>
      </c>
    </row>
    <row r="312" spans="1:3" x14ac:dyDescent="0.25">
      <c r="A312" s="1" t="s">
        <v>447</v>
      </c>
      <c r="B312">
        <v>189</v>
      </c>
    </row>
    <row r="313" spans="1:3" x14ac:dyDescent="0.25">
      <c r="A313" s="1" t="s">
        <v>448</v>
      </c>
      <c r="B313">
        <v>372</v>
      </c>
      <c r="C313">
        <v>110</v>
      </c>
    </row>
    <row r="314" spans="1:3" x14ac:dyDescent="0.25">
      <c r="A314" s="1" t="s">
        <v>449</v>
      </c>
      <c r="B314">
        <v>1300</v>
      </c>
      <c r="C314">
        <v>600</v>
      </c>
    </row>
    <row r="315" spans="1:3" x14ac:dyDescent="0.25">
      <c r="A315" s="1" t="s">
        <v>451</v>
      </c>
      <c r="B315">
        <v>607</v>
      </c>
    </row>
    <row r="316" spans="1:3" x14ac:dyDescent="0.25">
      <c r="A316" s="1" t="s">
        <v>454</v>
      </c>
      <c r="B316">
        <v>383</v>
      </c>
    </row>
    <row r="317" spans="1:3" x14ac:dyDescent="0.25">
      <c r="A317" s="1" t="s">
        <v>455</v>
      </c>
      <c r="B317">
        <v>447</v>
      </c>
      <c r="C317">
        <v>161</v>
      </c>
    </row>
    <row r="318" spans="1:3" x14ac:dyDescent="0.25">
      <c r="A318" s="1" t="s">
        <v>455</v>
      </c>
      <c r="B318">
        <v>1100</v>
      </c>
    </row>
    <row r="319" spans="1:3" x14ac:dyDescent="0.25">
      <c r="A319" s="1" t="s">
        <v>456</v>
      </c>
      <c r="B319">
        <v>1600</v>
      </c>
      <c r="C319">
        <v>2500</v>
      </c>
    </row>
    <row r="320" spans="1:3" x14ac:dyDescent="0.25">
      <c r="A320" s="1" t="s">
        <v>456</v>
      </c>
      <c r="B320">
        <v>1600</v>
      </c>
    </row>
    <row r="321" spans="1:3" x14ac:dyDescent="0.25">
      <c r="A321" s="1" t="s">
        <v>456</v>
      </c>
      <c r="B321">
        <v>1600</v>
      </c>
      <c r="C321">
        <v>1500</v>
      </c>
    </row>
    <row r="322" spans="1:3" x14ac:dyDescent="0.25">
      <c r="A322" s="1" t="s">
        <v>457</v>
      </c>
      <c r="B322">
        <v>157</v>
      </c>
      <c r="C322">
        <v>70</v>
      </c>
    </row>
    <row r="323" spans="1:3" x14ac:dyDescent="0.25">
      <c r="A323" s="1" t="s">
        <v>458</v>
      </c>
      <c r="B323">
        <v>708</v>
      </c>
    </row>
    <row r="324" spans="1:3" x14ac:dyDescent="0.25">
      <c r="A324" s="1" t="s">
        <v>461</v>
      </c>
      <c r="B324">
        <v>41</v>
      </c>
      <c r="C324">
        <v>100</v>
      </c>
    </row>
    <row r="325" spans="1:3" x14ac:dyDescent="0.25">
      <c r="A325" s="1" t="s">
        <v>462</v>
      </c>
      <c r="B325">
        <v>339</v>
      </c>
    </row>
    <row r="326" spans="1:3" x14ac:dyDescent="0.25">
      <c r="A326" s="1" t="s">
        <v>462</v>
      </c>
      <c r="B326">
        <v>339</v>
      </c>
      <c r="C326">
        <v>78</v>
      </c>
    </row>
    <row r="327" spans="1:3" x14ac:dyDescent="0.25">
      <c r="A327" s="1" t="s">
        <v>463</v>
      </c>
      <c r="B327">
        <v>184</v>
      </c>
    </row>
    <row r="328" spans="1:3" x14ac:dyDescent="0.25">
      <c r="A328" s="1" t="s">
        <v>464</v>
      </c>
      <c r="B328">
        <v>110</v>
      </c>
      <c r="C328">
        <v>30</v>
      </c>
    </row>
    <row r="329" spans="1:3" x14ac:dyDescent="0.25">
      <c r="A329" s="1" t="s">
        <v>465</v>
      </c>
      <c r="B329">
        <v>45</v>
      </c>
    </row>
    <row r="330" spans="1:3" x14ac:dyDescent="0.25">
      <c r="A330" s="1" t="s">
        <v>466</v>
      </c>
      <c r="B330">
        <v>80</v>
      </c>
      <c r="C330">
        <v>100</v>
      </c>
    </row>
    <row r="331" spans="1:3" x14ac:dyDescent="0.25">
      <c r="A331" s="1" t="s">
        <v>467</v>
      </c>
      <c r="B331">
        <v>2000</v>
      </c>
    </row>
    <row r="332" spans="1:3" x14ac:dyDescent="0.25">
      <c r="A332" s="1" t="s">
        <v>467</v>
      </c>
      <c r="B332">
        <v>2000</v>
      </c>
      <c r="C332">
        <v>750</v>
      </c>
    </row>
    <row r="333" spans="1:3" x14ac:dyDescent="0.25">
      <c r="A333" s="1" t="s">
        <v>468</v>
      </c>
      <c r="B333">
        <v>351</v>
      </c>
    </row>
    <row r="334" spans="1:3" x14ac:dyDescent="0.25">
      <c r="A334" s="1" t="s">
        <v>469</v>
      </c>
      <c r="B334">
        <v>864</v>
      </c>
      <c r="C334">
        <v>150</v>
      </c>
    </row>
    <row r="335" spans="1:3" x14ac:dyDescent="0.25">
      <c r="A335" s="1" t="s">
        <v>470</v>
      </c>
      <c r="B335">
        <v>560</v>
      </c>
    </row>
    <row r="336" spans="1:3" x14ac:dyDescent="0.25">
      <c r="A336" s="1" t="s">
        <v>471</v>
      </c>
      <c r="B336">
        <v>462</v>
      </c>
    </row>
    <row r="337" spans="1:3" x14ac:dyDescent="0.25">
      <c r="A337" s="1" t="s">
        <v>471</v>
      </c>
      <c r="B337">
        <v>462</v>
      </c>
      <c r="C337">
        <v>285</v>
      </c>
    </row>
    <row r="338" spans="1:3" x14ac:dyDescent="0.25">
      <c r="A338" s="1" t="s">
        <v>471</v>
      </c>
      <c r="B338">
        <v>462</v>
      </c>
      <c r="C338">
        <v>400</v>
      </c>
    </row>
    <row r="339" spans="1:3" x14ac:dyDescent="0.25">
      <c r="A339" s="1" t="s">
        <v>472</v>
      </c>
      <c r="B339">
        <v>536</v>
      </c>
      <c r="C339">
        <v>44</v>
      </c>
    </row>
    <row r="340" spans="1:3" x14ac:dyDescent="0.25">
      <c r="A340" s="1" t="s">
        <v>473</v>
      </c>
      <c r="B340">
        <v>22</v>
      </c>
    </row>
    <row r="341" spans="1:3" x14ac:dyDescent="0.25">
      <c r="A341" s="1" t="s">
        <v>474</v>
      </c>
      <c r="B341">
        <v>72</v>
      </c>
    </row>
    <row r="342" spans="1:3" x14ac:dyDescent="0.25">
      <c r="A342" s="1" t="s">
        <v>475</v>
      </c>
      <c r="B342">
        <v>468</v>
      </c>
      <c r="C342">
        <v>142</v>
      </c>
    </row>
    <row r="343" spans="1:3" x14ac:dyDescent="0.25">
      <c r="A343" s="1" t="s">
        <v>476</v>
      </c>
      <c r="B343">
        <v>92</v>
      </c>
    </row>
    <row r="344" spans="1:3" x14ac:dyDescent="0.25">
      <c r="A344" s="1" t="s">
        <v>476</v>
      </c>
      <c r="B344">
        <v>92</v>
      </c>
      <c r="C344">
        <v>100</v>
      </c>
    </row>
    <row r="345" spans="1:3" x14ac:dyDescent="0.25">
      <c r="A345" s="1" t="s">
        <v>477</v>
      </c>
      <c r="B345">
        <v>1800</v>
      </c>
      <c r="C345">
        <v>100</v>
      </c>
    </row>
    <row r="346" spans="1:3" x14ac:dyDescent="0.25">
      <c r="A346" s="1" t="s">
        <v>478</v>
      </c>
      <c r="B346">
        <v>309</v>
      </c>
      <c r="C346">
        <v>64</v>
      </c>
    </row>
    <row r="347" spans="1:3" x14ac:dyDescent="0.25">
      <c r="A347" s="1" t="s">
        <v>479</v>
      </c>
      <c r="B347">
        <v>54</v>
      </c>
    </row>
    <row r="348" spans="1:3" x14ac:dyDescent="0.25">
      <c r="A348" s="1" t="s">
        <v>480</v>
      </c>
      <c r="B348">
        <v>67</v>
      </c>
    </row>
    <row r="349" spans="1:3" x14ac:dyDescent="0.25">
      <c r="A349" s="1" t="s">
        <v>481</v>
      </c>
      <c r="B349">
        <v>105</v>
      </c>
    </row>
    <row r="350" spans="1:3" x14ac:dyDescent="0.25">
      <c r="A350" s="1" t="s">
        <v>483</v>
      </c>
      <c r="B350">
        <v>54</v>
      </c>
      <c r="C350">
        <v>58</v>
      </c>
    </row>
    <row r="351" spans="1:3" x14ac:dyDescent="0.25">
      <c r="A351" s="1" t="s">
        <v>484</v>
      </c>
      <c r="B351">
        <v>2300</v>
      </c>
      <c r="C351">
        <v>156</v>
      </c>
    </row>
    <row r="352" spans="1:3" x14ac:dyDescent="0.25">
      <c r="A352" s="1" t="s">
        <v>485</v>
      </c>
      <c r="B352">
        <v>2</v>
      </c>
    </row>
    <row r="353" spans="1:3" x14ac:dyDescent="0.25">
      <c r="A353" s="1" t="s">
        <v>486</v>
      </c>
      <c r="B353">
        <v>302</v>
      </c>
      <c r="C353">
        <v>50</v>
      </c>
    </row>
    <row r="354" spans="1:3" x14ac:dyDescent="0.25">
      <c r="A354" s="1" t="s">
        <v>486</v>
      </c>
      <c r="B354">
        <v>302</v>
      </c>
      <c r="C354">
        <v>100</v>
      </c>
    </row>
    <row r="355" spans="1:3" x14ac:dyDescent="0.25">
      <c r="A355" s="1" t="s">
        <v>487</v>
      </c>
      <c r="B355">
        <v>50</v>
      </c>
      <c r="C355">
        <v>65</v>
      </c>
    </row>
    <row r="356" spans="1:3" x14ac:dyDescent="0.25">
      <c r="A356" s="1" t="s">
        <v>488</v>
      </c>
      <c r="B356">
        <v>64</v>
      </c>
      <c r="C356">
        <v>40</v>
      </c>
    </row>
    <row r="357" spans="1:3" x14ac:dyDescent="0.25">
      <c r="A357" s="1" t="s">
        <v>488</v>
      </c>
      <c r="B357">
        <v>64</v>
      </c>
      <c r="C357">
        <v>100</v>
      </c>
    </row>
    <row r="358" spans="1:3" x14ac:dyDescent="0.25">
      <c r="A358" s="1" t="s">
        <v>489</v>
      </c>
      <c r="B358">
        <v>205</v>
      </c>
      <c r="C358">
        <v>65</v>
      </c>
    </row>
    <row r="359" spans="1:3" x14ac:dyDescent="0.25">
      <c r="A359" s="1" t="s">
        <v>489</v>
      </c>
      <c r="B359">
        <v>205</v>
      </c>
      <c r="C359">
        <v>80</v>
      </c>
    </row>
    <row r="360" spans="1:3" x14ac:dyDescent="0.25">
      <c r="A360" s="1" t="s">
        <v>491</v>
      </c>
      <c r="B360">
        <v>18</v>
      </c>
    </row>
    <row r="361" spans="1:3" x14ac:dyDescent="0.25">
      <c r="A361" s="1" t="s">
        <v>492</v>
      </c>
      <c r="B361">
        <v>55</v>
      </c>
      <c r="C361">
        <v>100</v>
      </c>
    </row>
    <row r="362" spans="1:3" x14ac:dyDescent="0.25">
      <c r="A362" s="1" t="s">
        <v>493</v>
      </c>
      <c r="B362">
        <v>315</v>
      </c>
    </row>
    <row r="363" spans="1:3" x14ac:dyDescent="0.25">
      <c r="A363" s="1" t="s">
        <v>494</v>
      </c>
      <c r="B363">
        <v>53</v>
      </c>
    </row>
    <row r="364" spans="1:3" x14ac:dyDescent="0.25">
      <c r="A364" s="1" t="s">
        <v>495</v>
      </c>
      <c r="B364">
        <v>50</v>
      </c>
    </row>
    <row r="365" spans="1:3" x14ac:dyDescent="0.25">
      <c r="A365" s="1" t="s">
        <v>496</v>
      </c>
      <c r="B365">
        <v>2</v>
      </c>
      <c r="C365">
        <v>4100</v>
      </c>
    </row>
    <row r="366" spans="1:3" x14ac:dyDescent="0.25">
      <c r="A366" s="1" t="s">
        <v>497</v>
      </c>
      <c r="B366">
        <v>133</v>
      </c>
      <c r="C366">
        <v>33</v>
      </c>
    </row>
    <row r="367" spans="1:3" x14ac:dyDescent="0.25">
      <c r="A367" s="1" t="s">
        <v>498</v>
      </c>
      <c r="B367">
        <v>64</v>
      </c>
      <c r="C367">
        <v>22</v>
      </c>
    </row>
    <row r="368" spans="1:3" x14ac:dyDescent="0.25">
      <c r="A368" s="1" t="s">
        <v>499</v>
      </c>
      <c r="B368">
        <v>20</v>
      </c>
    </row>
    <row r="369" spans="1:3" x14ac:dyDescent="0.25">
      <c r="A369" s="1" t="s">
        <v>500</v>
      </c>
      <c r="B369">
        <v>112</v>
      </c>
      <c r="C369">
        <v>191</v>
      </c>
    </row>
    <row r="370" spans="1:3" x14ac:dyDescent="0.25">
      <c r="A370" s="1" t="s">
        <v>501</v>
      </c>
      <c r="B370">
        <v>4</v>
      </c>
    </row>
    <row r="371" spans="1:3" x14ac:dyDescent="0.25">
      <c r="A371" s="1" t="s">
        <v>502</v>
      </c>
      <c r="B371">
        <v>496</v>
      </c>
      <c r="C371">
        <v>20</v>
      </c>
    </row>
    <row r="372" spans="1:3" x14ac:dyDescent="0.25">
      <c r="A372" s="1" t="s">
        <v>502</v>
      </c>
      <c r="B372">
        <v>496</v>
      </c>
      <c r="C372">
        <v>45</v>
      </c>
    </row>
    <row r="373" spans="1:3" x14ac:dyDescent="0.25">
      <c r="A373" s="1" t="s">
        <v>503</v>
      </c>
      <c r="B373">
        <v>328</v>
      </c>
      <c r="C373">
        <v>15</v>
      </c>
    </row>
    <row r="374" spans="1:3" x14ac:dyDescent="0.25">
      <c r="A374" s="1" t="s">
        <v>504</v>
      </c>
      <c r="B374">
        <v>1</v>
      </c>
    </row>
    <row r="375" spans="1:3" x14ac:dyDescent="0.25">
      <c r="A375" s="1" t="s">
        <v>505</v>
      </c>
      <c r="B375">
        <v>549</v>
      </c>
      <c r="C375">
        <v>154</v>
      </c>
    </row>
    <row r="376" spans="1:3" x14ac:dyDescent="0.25">
      <c r="A376" s="1" t="s">
        <v>507</v>
      </c>
      <c r="B376">
        <v>140</v>
      </c>
      <c r="C376">
        <v>190</v>
      </c>
    </row>
    <row r="377" spans="1:3" x14ac:dyDescent="0.25">
      <c r="A377" s="1" t="s">
        <v>510</v>
      </c>
      <c r="B377">
        <v>119</v>
      </c>
      <c r="C377">
        <v>17</v>
      </c>
    </row>
    <row r="378" spans="1:3" x14ac:dyDescent="0.25">
      <c r="A378" s="1" t="s">
        <v>511</v>
      </c>
      <c r="B378">
        <v>17</v>
      </c>
    </row>
    <row r="379" spans="1:3" x14ac:dyDescent="0.25">
      <c r="A379" s="1" t="s">
        <v>512</v>
      </c>
      <c r="B379">
        <v>681</v>
      </c>
    </row>
    <row r="380" spans="1:3" x14ac:dyDescent="0.25">
      <c r="A380" s="1" t="s">
        <v>512</v>
      </c>
      <c r="B380">
        <v>681</v>
      </c>
      <c r="C380">
        <v>125</v>
      </c>
    </row>
    <row r="381" spans="1:3" x14ac:dyDescent="0.25">
      <c r="A381" s="1" t="s">
        <v>514</v>
      </c>
      <c r="B381">
        <v>698</v>
      </c>
      <c r="C381">
        <v>50</v>
      </c>
    </row>
    <row r="382" spans="1:3" x14ac:dyDescent="0.25">
      <c r="A382" s="1" t="s">
        <v>512</v>
      </c>
      <c r="B382">
        <v>681</v>
      </c>
      <c r="C382">
        <v>60</v>
      </c>
    </row>
    <row r="383" spans="1:3" x14ac:dyDescent="0.25">
      <c r="A383" s="1" t="s">
        <v>515</v>
      </c>
      <c r="B383">
        <v>13</v>
      </c>
    </row>
    <row r="384" spans="1:3" x14ac:dyDescent="0.25">
      <c r="A384" s="1" t="s">
        <v>515</v>
      </c>
      <c r="B384">
        <v>5</v>
      </c>
    </row>
    <row r="385" spans="1:3" x14ac:dyDescent="0.25">
      <c r="A385" s="1" t="s">
        <v>516</v>
      </c>
      <c r="B385">
        <v>76</v>
      </c>
      <c r="C385">
        <v>60</v>
      </c>
    </row>
    <row r="386" spans="1:3" x14ac:dyDescent="0.25">
      <c r="A386" s="1" t="s">
        <v>517</v>
      </c>
      <c r="B386">
        <v>537</v>
      </c>
      <c r="C386">
        <v>60</v>
      </c>
    </row>
    <row r="387" spans="1:3" x14ac:dyDescent="0.25">
      <c r="A387" s="1" t="s">
        <v>518</v>
      </c>
      <c r="B387">
        <v>59</v>
      </c>
      <c r="C387">
        <v>40</v>
      </c>
    </row>
    <row r="388" spans="1:3" x14ac:dyDescent="0.25">
      <c r="A388" s="1" t="s">
        <v>520</v>
      </c>
      <c r="B388">
        <v>1000</v>
      </c>
    </row>
    <row r="389" spans="1:3" x14ac:dyDescent="0.25">
      <c r="A389" s="1" t="s">
        <v>521</v>
      </c>
      <c r="B389">
        <v>78</v>
      </c>
    </row>
    <row r="390" spans="1:3" x14ac:dyDescent="0.25">
      <c r="A390" s="1" t="s">
        <v>524</v>
      </c>
      <c r="B390">
        <v>100</v>
      </c>
      <c r="C390">
        <v>40</v>
      </c>
    </row>
    <row r="391" spans="1:3" x14ac:dyDescent="0.25">
      <c r="A391" s="1" t="s">
        <v>525</v>
      </c>
      <c r="B391">
        <v>1300</v>
      </c>
    </row>
    <row r="392" spans="1:3" x14ac:dyDescent="0.25">
      <c r="A392" s="1" t="s">
        <v>526</v>
      </c>
      <c r="B392">
        <v>110</v>
      </c>
    </row>
    <row r="393" spans="1:3" x14ac:dyDescent="0.25">
      <c r="A393" s="1" t="s">
        <v>527</v>
      </c>
      <c r="B393">
        <v>47</v>
      </c>
      <c r="C393">
        <v>31</v>
      </c>
    </row>
    <row r="394" spans="1:3" x14ac:dyDescent="0.25">
      <c r="A394" s="1" t="s">
        <v>528</v>
      </c>
      <c r="B394">
        <v>186</v>
      </c>
    </row>
    <row r="395" spans="1:3" x14ac:dyDescent="0.25">
      <c r="A395" s="1" t="s">
        <v>529</v>
      </c>
      <c r="B395">
        <v>153</v>
      </c>
      <c r="C395">
        <v>76</v>
      </c>
    </row>
    <row r="396" spans="1:3" x14ac:dyDescent="0.25">
      <c r="A396" s="1" t="s">
        <v>529</v>
      </c>
      <c r="B396">
        <v>253</v>
      </c>
      <c r="C396">
        <v>150</v>
      </c>
    </row>
    <row r="397" spans="1:3" x14ac:dyDescent="0.25">
      <c r="A397" s="1" t="s">
        <v>530</v>
      </c>
      <c r="B397">
        <v>296</v>
      </c>
    </row>
    <row r="398" spans="1:3" x14ac:dyDescent="0.25">
      <c r="A398" s="1" t="s">
        <v>531</v>
      </c>
      <c r="B398">
        <v>58</v>
      </c>
      <c r="C398">
        <v>22</v>
      </c>
    </row>
    <row r="399" spans="1:3" x14ac:dyDescent="0.25">
      <c r="A399" s="1" t="s">
        <v>532</v>
      </c>
      <c r="B399">
        <v>20</v>
      </c>
      <c r="C399">
        <v>12</v>
      </c>
    </row>
    <row r="400" spans="1:3" x14ac:dyDescent="0.25">
      <c r="A400" s="1" t="s">
        <v>533</v>
      </c>
      <c r="B400">
        <v>332</v>
      </c>
    </row>
    <row r="401" spans="1:3" x14ac:dyDescent="0.25">
      <c r="A401" s="1" t="s">
        <v>534</v>
      </c>
      <c r="B401">
        <v>240</v>
      </c>
    </row>
    <row r="402" spans="1:3" x14ac:dyDescent="0.25">
      <c r="A402" s="1" t="s">
        <v>535</v>
      </c>
      <c r="B402">
        <v>138</v>
      </c>
      <c r="C402">
        <v>25</v>
      </c>
    </row>
    <row r="403" spans="1:3" x14ac:dyDescent="0.25">
      <c r="A403" s="1" t="s">
        <v>535</v>
      </c>
      <c r="B403">
        <v>137</v>
      </c>
    </row>
    <row r="404" spans="1:3" x14ac:dyDescent="0.25">
      <c r="A404" s="1" t="s">
        <v>536</v>
      </c>
      <c r="B404">
        <v>8</v>
      </c>
      <c r="C404">
        <v>8</v>
      </c>
    </row>
    <row r="405" spans="1:3" x14ac:dyDescent="0.25">
      <c r="A405" s="1" t="s">
        <v>537</v>
      </c>
      <c r="B405">
        <v>162</v>
      </c>
    </row>
    <row r="406" spans="1:3" x14ac:dyDescent="0.25">
      <c r="A406" s="1" t="s">
        <v>538</v>
      </c>
      <c r="B406">
        <v>2</v>
      </c>
      <c r="C406">
        <v>7</v>
      </c>
    </row>
    <row r="407" spans="1:3" x14ac:dyDescent="0.25">
      <c r="A407" s="1" t="s">
        <v>539</v>
      </c>
      <c r="B407">
        <v>92</v>
      </c>
      <c r="C407">
        <v>24</v>
      </c>
    </row>
    <row r="408" spans="1:3" x14ac:dyDescent="0.25">
      <c r="A408" s="1" t="s">
        <v>541</v>
      </c>
      <c r="B408">
        <v>660</v>
      </c>
    </row>
    <row r="409" spans="1:3" x14ac:dyDescent="0.25">
      <c r="A409" s="1" t="s">
        <v>542</v>
      </c>
      <c r="B409">
        <v>549</v>
      </c>
      <c r="C409">
        <v>60</v>
      </c>
    </row>
    <row r="410" spans="1:3" x14ac:dyDescent="0.25">
      <c r="A410" s="1" t="s">
        <v>542</v>
      </c>
      <c r="B410">
        <v>549</v>
      </c>
      <c r="C410">
        <v>950</v>
      </c>
    </row>
    <row r="411" spans="1:3" x14ac:dyDescent="0.25">
      <c r="A411" s="1" t="s">
        <v>542</v>
      </c>
      <c r="B411">
        <v>549</v>
      </c>
      <c r="C411">
        <v>1100</v>
      </c>
    </row>
    <row r="412" spans="1:3" x14ac:dyDescent="0.25">
      <c r="A412" s="1" t="s">
        <v>543</v>
      </c>
      <c r="B412">
        <v>244</v>
      </c>
      <c r="C412">
        <v>80</v>
      </c>
    </row>
    <row r="413" spans="1:3" x14ac:dyDescent="0.25">
      <c r="A413" s="1" t="s">
        <v>544</v>
      </c>
      <c r="B413">
        <v>11</v>
      </c>
    </row>
    <row r="414" spans="1:3" x14ac:dyDescent="0.25">
      <c r="A414" s="1" t="s">
        <v>546</v>
      </c>
      <c r="B414">
        <v>1</v>
      </c>
      <c r="C414">
        <v>10</v>
      </c>
    </row>
    <row r="415" spans="1:3" x14ac:dyDescent="0.25">
      <c r="A415" s="1" t="s">
        <v>547</v>
      </c>
      <c r="B415">
        <v>98</v>
      </c>
      <c r="C415">
        <v>30</v>
      </c>
    </row>
    <row r="416" spans="1:3" x14ac:dyDescent="0.25">
      <c r="A416" s="1" t="s">
        <v>548</v>
      </c>
      <c r="B416">
        <v>101</v>
      </c>
      <c r="C416">
        <v>19</v>
      </c>
    </row>
    <row r="417" spans="1:3" x14ac:dyDescent="0.25">
      <c r="A417" s="1" t="s">
        <v>549</v>
      </c>
      <c r="B417">
        <v>719</v>
      </c>
      <c r="C417">
        <v>54</v>
      </c>
    </row>
    <row r="418" spans="1:3" x14ac:dyDescent="0.25">
      <c r="A418" s="1" t="s">
        <v>550</v>
      </c>
      <c r="B418">
        <v>596</v>
      </c>
    </row>
    <row r="419" spans="1:3" x14ac:dyDescent="0.25">
      <c r="A419" s="1" t="s">
        <v>553</v>
      </c>
      <c r="B419">
        <v>482</v>
      </c>
      <c r="C419">
        <v>300</v>
      </c>
    </row>
    <row r="420" spans="1:3" x14ac:dyDescent="0.25">
      <c r="A420" s="1" t="s">
        <v>554</v>
      </c>
      <c r="B420">
        <v>41</v>
      </c>
      <c r="C420">
        <v>97</v>
      </c>
    </row>
    <row r="421" spans="1:3" x14ac:dyDescent="0.25">
      <c r="A421" s="1" t="s">
        <v>559</v>
      </c>
      <c r="B421">
        <v>125</v>
      </c>
    </row>
    <row r="422" spans="1:3" x14ac:dyDescent="0.25">
      <c r="A422" s="1" t="s">
        <v>559</v>
      </c>
      <c r="B422">
        <v>130</v>
      </c>
      <c r="C422">
        <v>22</v>
      </c>
    </row>
    <row r="423" spans="1:3" x14ac:dyDescent="0.25">
      <c r="A423" s="1" t="s">
        <v>560</v>
      </c>
      <c r="B423">
        <v>40</v>
      </c>
      <c r="C423">
        <v>40</v>
      </c>
    </row>
    <row r="424" spans="1:3" x14ac:dyDescent="0.25">
      <c r="A424" s="1" t="s">
        <v>561</v>
      </c>
      <c r="B424">
        <v>1600</v>
      </c>
    </row>
    <row r="425" spans="1:3" x14ac:dyDescent="0.25">
      <c r="A425" s="1" t="s">
        <v>561</v>
      </c>
      <c r="B425">
        <v>1600</v>
      </c>
      <c r="C425">
        <v>271</v>
      </c>
    </row>
    <row r="426" spans="1:3" x14ac:dyDescent="0.25">
      <c r="A426" s="1" t="s">
        <v>561</v>
      </c>
      <c r="B426">
        <v>1600</v>
      </c>
      <c r="C426">
        <v>375</v>
      </c>
    </row>
    <row r="427" spans="1:3" x14ac:dyDescent="0.25">
      <c r="A427" s="1" t="s">
        <v>561</v>
      </c>
      <c r="B427">
        <v>1600</v>
      </c>
      <c r="C427">
        <v>450</v>
      </c>
    </row>
    <row r="428" spans="1:3" x14ac:dyDescent="0.25">
      <c r="A428" s="1" t="s">
        <v>562</v>
      </c>
      <c r="B428">
        <v>17</v>
      </c>
      <c r="C428">
        <v>11</v>
      </c>
    </row>
    <row r="429" spans="1:3" x14ac:dyDescent="0.25">
      <c r="A429" s="1" t="s">
        <v>563</v>
      </c>
      <c r="B429">
        <v>455</v>
      </c>
      <c r="C429">
        <v>221</v>
      </c>
    </row>
    <row r="430" spans="1:3" x14ac:dyDescent="0.25">
      <c r="A430" s="1" t="s">
        <v>564</v>
      </c>
      <c r="B430">
        <v>117</v>
      </c>
    </row>
    <row r="431" spans="1:3" x14ac:dyDescent="0.25">
      <c r="A431" s="1" t="s">
        <v>566</v>
      </c>
      <c r="B431">
        <v>10</v>
      </c>
      <c r="C431">
        <v>91</v>
      </c>
    </row>
    <row r="432" spans="1:3" x14ac:dyDescent="0.25">
      <c r="A432" s="1" t="s">
        <v>566</v>
      </c>
      <c r="B432">
        <v>726</v>
      </c>
      <c r="C432">
        <v>100</v>
      </c>
    </row>
    <row r="433" spans="1:3" x14ac:dyDescent="0.25">
      <c r="A433" s="1" t="s">
        <v>567</v>
      </c>
      <c r="B433">
        <v>5</v>
      </c>
      <c r="C433">
        <v>13</v>
      </c>
    </row>
    <row r="434" spans="1:3" x14ac:dyDescent="0.25">
      <c r="A434" s="1" t="s">
        <v>568</v>
      </c>
      <c r="B434">
        <v>37</v>
      </c>
      <c r="C434">
        <v>140</v>
      </c>
    </row>
    <row r="435" spans="1:3" x14ac:dyDescent="0.25">
      <c r="A435" s="1" t="s">
        <v>570</v>
      </c>
      <c r="B435">
        <v>380</v>
      </c>
      <c r="C435">
        <v>16</v>
      </c>
    </row>
    <row r="436" spans="1:3" x14ac:dyDescent="0.25">
      <c r="A436" s="1" t="s">
        <v>571</v>
      </c>
      <c r="B436">
        <v>281</v>
      </c>
    </row>
    <row r="437" spans="1:3" x14ac:dyDescent="0.25">
      <c r="A437" s="1" t="s">
        <v>571</v>
      </c>
      <c r="B437">
        <v>280</v>
      </c>
      <c r="C437">
        <v>150</v>
      </c>
    </row>
    <row r="438" spans="1:3" x14ac:dyDescent="0.25">
      <c r="A438" s="1" t="s">
        <v>572</v>
      </c>
      <c r="B438">
        <v>1100</v>
      </c>
    </row>
    <row r="439" spans="1:3" x14ac:dyDescent="0.25">
      <c r="A439" s="1" t="s">
        <v>572</v>
      </c>
      <c r="B439">
        <v>1100</v>
      </c>
    </row>
    <row r="440" spans="1:3" x14ac:dyDescent="0.25">
      <c r="A440" s="1" t="s">
        <v>572</v>
      </c>
      <c r="B440">
        <v>665</v>
      </c>
    </row>
    <row r="441" spans="1:3" x14ac:dyDescent="0.25">
      <c r="A441" s="1" t="s">
        <v>572</v>
      </c>
      <c r="B441">
        <v>1100</v>
      </c>
      <c r="C441">
        <v>90</v>
      </c>
    </row>
    <row r="442" spans="1:3" x14ac:dyDescent="0.25">
      <c r="A442" s="1" t="s">
        <v>573</v>
      </c>
      <c r="B442">
        <v>102</v>
      </c>
      <c r="C442">
        <v>35</v>
      </c>
    </row>
    <row r="443" spans="1:3" x14ac:dyDescent="0.25">
      <c r="A443" s="1" t="s">
        <v>574</v>
      </c>
      <c r="B443">
        <v>169</v>
      </c>
    </row>
    <row r="444" spans="1:3" x14ac:dyDescent="0.25">
      <c r="A444" s="1" t="s">
        <v>575</v>
      </c>
      <c r="B444">
        <v>160</v>
      </c>
    </row>
    <row r="445" spans="1:3" x14ac:dyDescent="0.25">
      <c r="A445" s="1" t="s">
        <v>576</v>
      </c>
      <c r="B445">
        <v>2</v>
      </c>
    </row>
    <row r="446" spans="1:3" x14ac:dyDescent="0.25">
      <c r="A446" s="1" t="s">
        <v>578</v>
      </c>
      <c r="B446">
        <v>45</v>
      </c>
    </row>
    <row r="447" spans="1:3" x14ac:dyDescent="0.25">
      <c r="A447" s="1" t="s">
        <v>579</v>
      </c>
      <c r="B447">
        <v>70</v>
      </c>
      <c r="C447">
        <v>30</v>
      </c>
    </row>
    <row r="448" spans="1:3" x14ac:dyDescent="0.25">
      <c r="A448" s="1" t="s">
        <v>580</v>
      </c>
      <c r="B448">
        <v>458</v>
      </c>
    </row>
    <row r="449" spans="1:3" x14ac:dyDescent="0.25">
      <c r="A449" s="1" t="s">
        <v>581</v>
      </c>
      <c r="B449">
        <v>16</v>
      </c>
      <c r="C449">
        <v>20</v>
      </c>
    </row>
    <row r="450" spans="1:3" x14ac:dyDescent="0.25">
      <c r="A450" s="1" t="s">
        <v>583</v>
      </c>
      <c r="B450">
        <v>120</v>
      </c>
      <c r="C450">
        <v>22</v>
      </c>
    </row>
    <row r="451" spans="1:3" x14ac:dyDescent="0.25">
      <c r="A451" s="1" t="s">
        <v>584</v>
      </c>
      <c r="B451">
        <v>314</v>
      </c>
    </row>
    <row r="452" spans="1:3" x14ac:dyDescent="0.25">
      <c r="A452" s="1" t="s">
        <v>585</v>
      </c>
      <c r="B452">
        <v>93</v>
      </c>
    </row>
    <row r="453" spans="1:3" x14ac:dyDescent="0.25">
      <c r="A453" s="1" t="s">
        <v>588</v>
      </c>
      <c r="B453">
        <v>3</v>
      </c>
      <c r="C453">
        <v>170</v>
      </c>
    </row>
    <row r="454" spans="1:3" x14ac:dyDescent="0.25">
      <c r="A454" s="1" t="s">
        <v>589</v>
      </c>
      <c r="B454">
        <v>61</v>
      </c>
    </row>
    <row r="455" spans="1:3" x14ac:dyDescent="0.25">
      <c r="A455" s="1" t="s">
        <v>590</v>
      </c>
      <c r="B455">
        <v>11</v>
      </c>
    </row>
    <row r="456" spans="1:3" x14ac:dyDescent="0.25">
      <c r="A456" s="1" t="s">
        <v>591</v>
      </c>
      <c r="B456">
        <v>24</v>
      </c>
      <c r="C456">
        <v>24</v>
      </c>
    </row>
    <row r="457" spans="1:3" x14ac:dyDescent="0.25">
      <c r="A457" s="1" t="s">
        <v>592</v>
      </c>
      <c r="B457">
        <v>5300</v>
      </c>
      <c r="C457">
        <v>150</v>
      </c>
    </row>
    <row r="458" spans="1:3" x14ac:dyDescent="0.25">
      <c r="A458" s="1" t="s">
        <v>593</v>
      </c>
      <c r="B458">
        <v>26</v>
      </c>
      <c r="C458">
        <v>85</v>
      </c>
    </row>
    <row r="459" spans="1:3" x14ac:dyDescent="0.25">
      <c r="A459" s="1" t="s">
        <v>596</v>
      </c>
      <c r="B459">
        <v>156</v>
      </c>
    </row>
    <row r="460" spans="1:3" x14ac:dyDescent="0.25">
      <c r="A460" s="1" t="s">
        <v>596</v>
      </c>
      <c r="B460">
        <v>156</v>
      </c>
      <c r="C460">
        <v>260</v>
      </c>
    </row>
    <row r="461" spans="1:3" x14ac:dyDescent="0.25">
      <c r="A461" s="1" t="s">
        <v>596</v>
      </c>
      <c r="B461">
        <v>156</v>
      </c>
      <c r="C461">
        <v>2000</v>
      </c>
    </row>
    <row r="462" spans="1:3" x14ac:dyDescent="0.25">
      <c r="A462" s="1" t="s">
        <v>597</v>
      </c>
      <c r="B462">
        <v>233</v>
      </c>
      <c r="C462">
        <v>62</v>
      </c>
    </row>
    <row r="463" spans="1:3" x14ac:dyDescent="0.25">
      <c r="A463" s="1" t="s">
        <v>599</v>
      </c>
      <c r="B463">
        <v>7</v>
      </c>
      <c r="C463">
        <v>30</v>
      </c>
    </row>
    <row r="464" spans="1:3" x14ac:dyDescent="0.25">
      <c r="A464" s="1" t="s">
        <v>600</v>
      </c>
      <c r="B464">
        <v>999</v>
      </c>
      <c r="C464">
        <v>170</v>
      </c>
    </row>
    <row r="465" spans="1:3" x14ac:dyDescent="0.25">
      <c r="A465" s="1" t="s">
        <v>600</v>
      </c>
      <c r="B465">
        <v>999</v>
      </c>
      <c r="C465">
        <v>388</v>
      </c>
    </row>
    <row r="466" spans="1:3" x14ac:dyDescent="0.25">
      <c r="A466" s="1" t="s">
        <v>601</v>
      </c>
      <c r="B466">
        <v>157</v>
      </c>
      <c r="C466">
        <v>36</v>
      </c>
    </row>
    <row r="467" spans="1:3" x14ac:dyDescent="0.25">
      <c r="A467" s="1" t="s">
        <v>602</v>
      </c>
      <c r="B467">
        <v>102</v>
      </c>
      <c r="C467">
        <v>95</v>
      </c>
    </row>
    <row r="468" spans="1:3" x14ac:dyDescent="0.25">
      <c r="A468" s="1" t="s">
        <v>603</v>
      </c>
      <c r="B468">
        <v>8</v>
      </c>
      <c r="C468">
        <v>109</v>
      </c>
    </row>
    <row r="469" spans="1:3" x14ac:dyDescent="0.25">
      <c r="A469" s="1" t="s">
        <v>604</v>
      </c>
      <c r="B469">
        <v>405</v>
      </c>
      <c r="C469">
        <v>120</v>
      </c>
    </row>
    <row r="470" spans="1:3" x14ac:dyDescent="0.25">
      <c r="A470" s="1" t="s">
        <v>605</v>
      </c>
      <c r="B470">
        <v>404</v>
      </c>
      <c r="C470">
        <v>800</v>
      </c>
    </row>
    <row r="471" spans="1:3" x14ac:dyDescent="0.25">
      <c r="A471" s="1" t="s">
        <v>606</v>
      </c>
      <c r="B471">
        <v>19</v>
      </c>
      <c r="C471">
        <v>150</v>
      </c>
    </row>
    <row r="472" spans="1:3" x14ac:dyDescent="0.25">
      <c r="A472" s="1" t="s">
        <v>608</v>
      </c>
      <c r="B472">
        <v>182</v>
      </c>
      <c r="C472">
        <v>65</v>
      </c>
    </row>
    <row r="473" spans="1:3" x14ac:dyDescent="0.25">
      <c r="A473" s="1" t="s">
        <v>609</v>
      </c>
      <c r="B473">
        <v>31</v>
      </c>
    </row>
    <row r="474" spans="1:3" x14ac:dyDescent="0.25">
      <c r="A474" s="1" t="s">
        <v>610</v>
      </c>
      <c r="B474">
        <v>146</v>
      </c>
      <c r="C474">
        <v>400</v>
      </c>
    </row>
    <row r="475" spans="1:3" x14ac:dyDescent="0.25">
      <c r="A475" s="1" t="s">
        <v>611</v>
      </c>
      <c r="B475">
        <v>35</v>
      </c>
    </row>
    <row r="476" spans="1:3" x14ac:dyDescent="0.25">
      <c r="A476" s="1" t="s">
        <v>612</v>
      </c>
      <c r="B476">
        <v>750</v>
      </c>
      <c r="C476">
        <v>100</v>
      </c>
    </row>
    <row r="477" spans="1:3" x14ac:dyDescent="0.25">
      <c r="A477" s="1" t="s">
        <v>612</v>
      </c>
      <c r="B477">
        <v>750</v>
      </c>
      <c r="C477">
        <v>200</v>
      </c>
    </row>
    <row r="478" spans="1:3" x14ac:dyDescent="0.25">
      <c r="A478" s="1" t="s">
        <v>613</v>
      </c>
      <c r="B478">
        <v>153</v>
      </c>
      <c r="C478">
        <v>30</v>
      </c>
    </row>
    <row r="479" spans="1:3" x14ac:dyDescent="0.25">
      <c r="A479" s="1" t="s">
        <v>614</v>
      </c>
      <c r="B479">
        <v>54</v>
      </c>
    </row>
    <row r="480" spans="1:3" x14ac:dyDescent="0.25">
      <c r="A480" s="1" t="s">
        <v>615</v>
      </c>
      <c r="B480">
        <v>161</v>
      </c>
      <c r="C480">
        <v>121</v>
      </c>
    </row>
    <row r="481" spans="1:3" x14ac:dyDescent="0.25">
      <c r="A481" s="1" t="s">
        <v>616</v>
      </c>
      <c r="B481">
        <v>156</v>
      </c>
    </row>
    <row r="482" spans="1:3" x14ac:dyDescent="0.25">
      <c r="A482" s="1" t="s">
        <v>617</v>
      </c>
      <c r="B482">
        <v>247</v>
      </c>
      <c r="C482">
        <v>34</v>
      </c>
    </row>
    <row r="483" spans="1:3" x14ac:dyDescent="0.25">
      <c r="A483" s="1" t="s">
        <v>618</v>
      </c>
      <c r="B483">
        <v>168</v>
      </c>
    </row>
    <row r="484" spans="1:3" x14ac:dyDescent="0.25">
      <c r="A484" s="1" t="s">
        <v>619</v>
      </c>
      <c r="B484">
        <v>120</v>
      </c>
    </row>
    <row r="485" spans="1:3" x14ac:dyDescent="0.25">
      <c r="A485" s="1" t="s">
        <v>619</v>
      </c>
      <c r="B485">
        <v>120</v>
      </c>
      <c r="C485">
        <v>60</v>
      </c>
    </row>
    <row r="486" spans="1:3" x14ac:dyDescent="0.25">
      <c r="A486" s="1" t="s">
        <v>620</v>
      </c>
      <c r="B486">
        <v>814</v>
      </c>
    </row>
    <row r="487" spans="1:3" x14ac:dyDescent="0.25">
      <c r="A487" s="1" t="s">
        <v>621</v>
      </c>
      <c r="B487">
        <v>23</v>
      </c>
      <c r="C487">
        <v>40</v>
      </c>
    </row>
    <row r="488" spans="1:3" x14ac:dyDescent="0.25">
      <c r="A488" s="1" t="s">
        <v>622</v>
      </c>
      <c r="B488">
        <v>63</v>
      </c>
    </row>
    <row r="489" spans="1:3" x14ac:dyDescent="0.25">
      <c r="A489" s="1" t="s">
        <v>624</v>
      </c>
      <c r="B489">
        <v>607</v>
      </c>
    </row>
    <row r="490" spans="1:3" x14ac:dyDescent="0.25">
      <c r="A490" s="1" t="s">
        <v>624</v>
      </c>
      <c r="B490">
        <v>607</v>
      </c>
      <c r="C490">
        <v>134</v>
      </c>
    </row>
    <row r="491" spans="1:3" x14ac:dyDescent="0.25">
      <c r="A491" s="1" t="s">
        <v>626</v>
      </c>
      <c r="B491">
        <v>3</v>
      </c>
      <c r="C491">
        <v>6</v>
      </c>
    </row>
    <row r="492" spans="1:3" x14ac:dyDescent="0.25">
      <c r="A492" s="1" t="s">
        <v>627</v>
      </c>
      <c r="B492">
        <v>103</v>
      </c>
      <c r="C492">
        <v>30</v>
      </c>
    </row>
    <row r="493" spans="1:3" x14ac:dyDescent="0.25">
      <c r="A493" s="1" t="s">
        <v>628</v>
      </c>
      <c r="B493">
        <v>1000</v>
      </c>
    </row>
    <row r="494" spans="1:3" x14ac:dyDescent="0.25">
      <c r="A494" s="1" t="s">
        <v>628</v>
      </c>
      <c r="B494">
        <v>1000</v>
      </c>
    </row>
    <row r="495" spans="1:3" x14ac:dyDescent="0.25">
      <c r="A495" s="1" t="s">
        <v>628</v>
      </c>
      <c r="B495">
        <v>1000</v>
      </c>
      <c r="C495">
        <v>70</v>
      </c>
    </row>
    <row r="496" spans="1:3" x14ac:dyDescent="0.25">
      <c r="A496" s="1" t="s">
        <v>628</v>
      </c>
      <c r="B496">
        <v>430</v>
      </c>
      <c r="C496">
        <v>200</v>
      </c>
    </row>
    <row r="497" spans="1:3" x14ac:dyDescent="0.25">
      <c r="A497" s="1" t="s">
        <v>629</v>
      </c>
      <c r="B497">
        <v>190</v>
      </c>
      <c r="C497">
        <v>15</v>
      </c>
    </row>
    <row r="498" spans="1:3" x14ac:dyDescent="0.25">
      <c r="A498" s="1" t="s">
        <v>630</v>
      </c>
      <c r="B498">
        <v>63</v>
      </c>
    </row>
    <row r="499" spans="1:3" x14ac:dyDescent="0.25">
      <c r="A499" s="1" t="s">
        <v>631</v>
      </c>
      <c r="B499">
        <v>100</v>
      </c>
    </row>
    <row r="500" spans="1:3" x14ac:dyDescent="0.25">
      <c r="A500" s="1" t="s">
        <v>633</v>
      </c>
      <c r="B500">
        <v>90</v>
      </c>
    </row>
    <row r="501" spans="1:3" x14ac:dyDescent="0.25">
      <c r="A501" s="1" t="s">
        <v>635</v>
      </c>
      <c r="B501">
        <v>390</v>
      </c>
      <c r="C501">
        <v>100</v>
      </c>
    </row>
    <row r="502" spans="1:3" x14ac:dyDescent="0.25">
      <c r="A502" s="1" t="s">
        <v>636</v>
      </c>
      <c r="B502">
        <v>18</v>
      </c>
    </row>
    <row r="503" spans="1:3" x14ac:dyDescent="0.25">
      <c r="A503" s="1" t="s">
        <v>637</v>
      </c>
      <c r="B503">
        <v>259</v>
      </c>
    </row>
    <row r="504" spans="1:3" x14ac:dyDescent="0.25">
      <c r="A504" s="1" t="s">
        <v>638</v>
      </c>
      <c r="B504">
        <v>78</v>
      </c>
    </row>
    <row r="505" spans="1:3" x14ac:dyDescent="0.25">
      <c r="A505" s="1" t="s">
        <v>640</v>
      </c>
      <c r="B505">
        <v>411</v>
      </c>
    </row>
    <row r="506" spans="1:3" x14ac:dyDescent="0.25">
      <c r="A506" s="1" t="s">
        <v>641</v>
      </c>
      <c r="B506">
        <v>194</v>
      </c>
    </row>
    <row r="507" spans="1:3" x14ac:dyDescent="0.25">
      <c r="A507" s="1" t="s">
        <v>641</v>
      </c>
      <c r="B507">
        <v>254</v>
      </c>
    </row>
    <row r="508" spans="1:3" x14ac:dyDescent="0.25">
      <c r="A508" s="1" t="s">
        <v>643</v>
      </c>
      <c r="B508">
        <v>80</v>
      </c>
      <c r="C508">
        <v>669</v>
      </c>
    </row>
    <row r="509" spans="1:3" x14ac:dyDescent="0.25">
      <c r="A509" s="1" t="s">
        <v>644</v>
      </c>
      <c r="B509">
        <v>1700</v>
      </c>
      <c r="C509">
        <v>350</v>
      </c>
    </row>
    <row r="510" spans="1:3" x14ac:dyDescent="0.25">
      <c r="A510" s="1" t="s">
        <v>644</v>
      </c>
      <c r="B510">
        <v>1500</v>
      </c>
      <c r="C510">
        <v>367</v>
      </c>
    </row>
    <row r="511" spans="1:3" x14ac:dyDescent="0.25">
      <c r="A511" s="1" t="s">
        <v>645</v>
      </c>
      <c r="B511">
        <v>1700</v>
      </c>
      <c r="C511">
        <v>120</v>
      </c>
    </row>
    <row r="512" spans="1:3" x14ac:dyDescent="0.25">
      <c r="A512" s="1" t="s">
        <v>646</v>
      </c>
      <c r="B512">
        <v>8300</v>
      </c>
      <c r="C512">
        <v>100</v>
      </c>
    </row>
    <row r="513" spans="1:3" x14ac:dyDescent="0.25">
      <c r="A513" s="1" t="s">
        <v>646</v>
      </c>
      <c r="B513">
        <v>9900</v>
      </c>
      <c r="C513">
        <v>156</v>
      </c>
    </row>
    <row r="514" spans="1:3" x14ac:dyDescent="0.25">
      <c r="A514" s="1" t="s">
        <v>646</v>
      </c>
      <c r="B514">
        <v>8300</v>
      </c>
      <c r="C514">
        <v>300</v>
      </c>
    </row>
    <row r="515" spans="1:3" x14ac:dyDescent="0.25">
      <c r="A515" s="1" t="s">
        <v>648</v>
      </c>
      <c r="B515">
        <v>143</v>
      </c>
      <c r="C515">
        <v>27</v>
      </c>
    </row>
    <row r="516" spans="1:3" x14ac:dyDescent="0.25">
      <c r="A516" s="1" t="s">
        <v>649</v>
      </c>
      <c r="B516">
        <v>106</v>
      </c>
      <c r="C516">
        <v>60</v>
      </c>
    </row>
    <row r="517" spans="1:3" x14ac:dyDescent="0.25">
      <c r="A517" s="1" t="s">
        <v>650</v>
      </c>
      <c r="B517">
        <v>58</v>
      </c>
      <c r="C517">
        <v>12</v>
      </c>
    </row>
    <row r="518" spans="1:3" x14ac:dyDescent="0.25">
      <c r="A518" s="1" t="s">
        <v>652</v>
      </c>
      <c r="B518">
        <v>811</v>
      </c>
    </row>
    <row r="519" spans="1:3" x14ac:dyDescent="0.25">
      <c r="A519" s="1" t="s">
        <v>652</v>
      </c>
      <c r="B519">
        <v>436</v>
      </c>
    </row>
    <row r="520" spans="1:3" x14ac:dyDescent="0.25">
      <c r="A520" s="1" t="s">
        <v>652</v>
      </c>
      <c r="B520">
        <v>811</v>
      </c>
    </row>
    <row r="521" spans="1:3" x14ac:dyDescent="0.25">
      <c r="A521" s="1" t="s">
        <v>653</v>
      </c>
      <c r="B521">
        <v>481</v>
      </c>
    </row>
    <row r="522" spans="1:3" x14ac:dyDescent="0.25">
      <c r="A522" s="1" t="s">
        <v>654</v>
      </c>
      <c r="B522">
        <v>26</v>
      </c>
      <c r="C522">
        <v>5</v>
      </c>
    </row>
    <row r="523" spans="1:3" x14ac:dyDescent="0.25">
      <c r="A523" s="1" t="s">
        <v>656</v>
      </c>
      <c r="B523">
        <v>105</v>
      </c>
    </row>
    <row r="524" spans="1:3" x14ac:dyDescent="0.25">
      <c r="A524" s="1" t="s">
        <v>660</v>
      </c>
      <c r="B524">
        <v>491</v>
      </c>
      <c r="C524">
        <v>200</v>
      </c>
    </row>
    <row r="525" spans="1:3" x14ac:dyDescent="0.25">
      <c r="A525" s="1" t="s">
        <v>661</v>
      </c>
      <c r="B525">
        <v>133</v>
      </c>
      <c r="C525">
        <v>75</v>
      </c>
    </row>
    <row r="526" spans="1:3" x14ac:dyDescent="0.25">
      <c r="A526" s="1" t="s">
        <v>662</v>
      </c>
      <c r="B526">
        <v>18</v>
      </c>
    </row>
    <row r="527" spans="1:3" x14ac:dyDescent="0.25">
      <c r="A527" s="1" t="s">
        <v>663</v>
      </c>
      <c r="B527">
        <v>88</v>
      </c>
      <c r="C527">
        <v>57</v>
      </c>
    </row>
    <row r="528" spans="1:3" x14ac:dyDescent="0.25">
      <c r="A528" s="1" t="s">
        <v>664</v>
      </c>
      <c r="B528">
        <v>252</v>
      </c>
    </row>
    <row r="529" spans="1:3" x14ac:dyDescent="0.25">
      <c r="A529" s="1" t="s">
        <v>665</v>
      </c>
      <c r="B529">
        <v>180</v>
      </c>
    </row>
    <row r="530" spans="1:3" x14ac:dyDescent="0.25">
      <c r="A530" s="1" t="s">
        <v>665</v>
      </c>
      <c r="B530">
        <v>180</v>
      </c>
    </row>
    <row r="531" spans="1:3" x14ac:dyDescent="0.25">
      <c r="A531" s="1" t="s">
        <v>665</v>
      </c>
      <c r="B531">
        <v>180</v>
      </c>
      <c r="C531">
        <v>40</v>
      </c>
    </row>
    <row r="532" spans="1:3" x14ac:dyDescent="0.25">
      <c r="A532" s="1" t="s">
        <v>668</v>
      </c>
      <c r="B532">
        <v>105</v>
      </c>
    </row>
    <row r="533" spans="1:3" x14ac:dyDescent="0.25">
      <c r="A533" s="1" t="s">
        <v>668</v>
      </c>
      <c r="B533">
        <v>105</v>
      </c>
    </row>
    <row r="534" spans="1:3" x14ac:dyDescent="0.25">
      <c r="A534" s="1" t="s">
        <v>669</v>
      </c>
      <c r="B534">
        <v>280</v>
      </c>
      <c r="C534">
        <v>190</v>
      </c>
    </row>
    <row r="535" spans="1:3" x14ac:dyDescent="0.25">
      <c r="A535" s="1" t="s">
        <v>670</v>
      </c>
      <c r="B535">
        <v>16</v>
      </c>
      <c r="C535">
        <v>8</v>
      </c>
    </row>
    <row r="536" spans="1:3" x14ac:dyDescent="0.25">
      <c r="A536" s="1" t="s">
        <v>671</v>
      </c>
      <c r="B536">
        <v>536</v>
      </c>
      <c r="C536">
        <v>671</v>
      </c>
    </row>
    <row r="537" spans="1:3" x14ac:dyDescent="0.25">
      <c r="A537" s="1" t="s">
        <v>671</v>
      </c>
      <c r="B537">
        <v>536</v>
      </c>
      <c r="C537">
        <v>680</v>
      </c>
    </row>
    <row r="538" spans="1:3" x14ac:dyDescent="0.25">
      <c r="A538" s="1" t="s">
        <v>672</v>
      </c>
      <c r="B538">
        <v>679</v>
      </c>
      <c r="C538">
        <v>250</v>
      </c>
    </row>
    <row r="539" spans="1:3" x14ac:dyDescent="0.25">
      <c r="A539" s="1" t="s">
        <v>672</v>
      </c>
      <c r="B539">
        <v>679</v>
      </c>
      <c r="C539">
        <v>310</v>
      </c>
    </row>
    <row r="540" spans="1:3" x14ac:dyDescent="0.25">
      <c r="A540" s="1" t="s">
        <v>672</v>
      </c>
      <c r="B540">
        <v>679</v>
      </c>
      <c r="C540">
        <v>515</v>
      </c>
    </row>
    <row r="541" spans="1:3" x14ac:dyDescent="0.25">
      <c r="A541" s="1" t="s">
        <v>673</v>
      </c>
      <c r="B541">
        <v>130</v>
      </c>
      <c r="C541">
        <v>150</v>
      </c>
    </row>
    <row r="542" spans="1:3" x14ac:dyDescent="0.25">
      <c r="A542" s="1" t="s">
        <v>674</v>
      </c>
      <c r="B542">
        <v>223</v>
      </c>
    </row>
    <row r="543" spans="1:3" x14ac:dyDescent="0.25">
      <c r="A543" s="1" t="s">
        <v>675</v>
      </c>
      <c r="B543">
        <v>116</v>
      </c>
    </row>
    <row r="544" spans="1:3" x14ac:dyDescent="0.25">
      <c r="A544" s="1" t="s">
        <v>675</v>
      </c>
      <c r="B544">
        <v>116</v>
      </c>
    </row>
    <row r="545" spans="1:3" x14ac:dyDescent="0.25">
      <c r="A545" s="1" t="s">
        <v>676</v>
      </c>
      <c r="B545">
        <v>689</v>
      </c>
      <c r="C545">
        <v>90</v>
      </c>
    </row>
    <row r="546" spans="1:3" x14ac:dyDescent="0.25">
      <c r="A546" s="1" t="s">
        <v>677</v>
      </c>
      <c r="B546">
        <v>102</v>
      </c>
      <c r="C546">
        <v>12</v>
      </c>
    </row>
    <row r="547" spans="1:3" x14ac:dyDescent="0.25">
      <c r="A547" s="1" t="s">
        <v>678</v>
      </c>
      <c r="B547">
        <v>2500</v>
      </c>
      <c r="C547">
        <v>1250</v>
      </c>
    </row>
    <row r="548" spans="1:3" x14ac:dyDescent="0.25">
      <c r="A548" s="1" t="s">
        <v>680</v>
      </c>
      <c r="B548">
        <v>22</v>
      </c>
      <c r="C548">
        <v>23</v>
      </c>
    </row>
    <row r="549" spans="1:3" x14ac:dyDescent="0.25">
      <c r="A549" s="1" t="s">
        <v>681</v>
      </c>
      <c r="B549">
        <v>719</v>
      </c>
      <c r="C549">
        <v>140</v>
      </c>
    </row>
    <row r="550" spans="1:3" x14ac:dyDescent="0.25">
      <c r="A550" s="1" t="s">
        <v>682</v>
      </c>
      <c r="B550">
        <v>175</v>
      </c>
    </row>
    <row r="551" spans="1:3" x14ac:dyDescent="0.25">
      <c r="A551" s="1" t="s">
        <v>683</v>
      </c>
      <c r="B551">
        <v>107</v>
      </c>
      <c r="C551">
        <v>59</v>
      </c>
    </row>
    <row r="552" spans="1:3" x14ac:dyDescent="0.25">
      <c r="A552" s="1" t="s">
        <v>685</v>
      </c>
      <c r="B552">
        <v>550</v>
      </c>
    </row>
    <row r="553" spans="1:3" x14ac:dyDescent="0.25">
      <c r="A553" s="1" t="s">
        <v>687</v>
      </c>
      <c r="B553">
        <v>56</v>
      </c>
      <c r="C553">
        <v>24</v>
      </c>
    </row>
    <row r="554" spans="1:3" x14ac:dyDescent="0.25">
      <c r="A554" s="1" t="s">
        <v>688</v>
      </c>
      <c r="B554">
        <v>1700</v>
      </c>
      <c r="C554">
        <v>315</v>
      </c>
    </row>
    <row r="555" spans="1:3" x14ac:dyDescent="0.25">
      <c r="A555" s="1" t="s">
        <v>689</v>
      </c>
      <c r="B555">
        <v>4</v>
      </c>
      <c r="C555">
        <v>12</v>
      </c>
    </row>
    <row r="556" spans="1:3" x14ac:dyDescent="0.25">
      <c r="A556" s="1" t="s">
        <v>690</v>
      </c>
      <c r="B556">
        <v>100</v>
      </c>
    </row>
    <row r="557" spans="1:3" x14ac:dyDescent="0.25">
      <c r="A557" s="1" t="s">
        <v>692</v>
      </c>
      <c r="B557">
        <v>17</v>
      </c>
      <c r="C557">
        <v>23</v>
      </c>
    </row>
    <row r="558" spans="1:3" x14ac:dyDescent="0.25">
      <c r="A558" s="1" t="s">
        <v>693</v>
      </c>
      <c r="B558">
        <v>382</v>
      </c>
    </row>
    <row r="559" spans="1:3" x14ac:dyDescent="0.25">
      <c r="A559" s="1" t="s">
        <v>694</v>
      </c>
      <c r="B559">
        <v>603</v>
      </c>
      <c r="C559">
        <v>50</v>
      </c>
    </row>
    <row r="560" spans="1:3" x14ac:dyDescent="0.25">
      <c r="A560" s="1" t="s">
        <v>697</v>
      </c>
      <c r="B560">
        <v>114</v>
      </c>
      <c r="C560">
        <v>35</v>
      </c>
    </row>
    <row r="561" spans="1:3" x14ac:dyDescent="0.25">
      <c r="A561" s="1" t="s">
        <v>698</v>
      </c>
      <c r="B561">
        <v>190</v>
      </c>
      <c r="C561">
        <v>50</v>
      </c>
    </row>
    <row r="562" spans="1:3" x14ac:dyDescent="0.25">
      <c r="A562" s="1" t="s">
        <v>699</v>
      </c>
      <c r="B562">
        <v>2</v>
      </c>
    </row>
    <row r="563" spans="1:3" x14ac:dyDescent="0.25">
      <c r="A563" s="1" t="s">
        <v>700</v>
      </c>
      <c r="B563">
        <v>12</v>
      </c>
      <c r="C563">
        <v>75</v>
      </c>
    </row>
    <row r="564" spans="1:3" x14ac:dyDescent="0.25">
      <c r="A564" s="1" t="s">
        <v>700</v>
      </c>
      <c r="B564">
        <v>12</v>
      </c>
      <c r="C564">
        <v>50</v>
      </c>
    </row>
    <row r="565" spans="1:3" x14ac:dyDescent="0.25">
      <c r="A565" s="1" t="s">
        <v>701</v>
      </c>
      <c r="B565">
        <v>465</v>
      </c>
      <c r="C565">
        <v>40</v>
      </c>
    </row>
    <row r="566" spans="1:3" x14ac:dyDescent="0.25">
      <c r="A566" s="1" t="s">
        <v>702</v>
      </c>
      <c r="B566">
        <v>1</v>
      </c>
      <c r="C566">
        <v>20</v>
      </c>
    </row>
    <row r="567" spans="1:3" x14ac:dyDescent="0.25">
      <c r="A567" s="1" t="s">
        <v>703</v>
      </c>
      <c r="B567">
        <v>202</v>
      </c>
      <c r="C567">
        <v>25</v>
      </c>
    </row>
    <row r="568" spans="1:3" x14ac:dyDescent="0.25">
      <c r="A568" s="1" t="s">
        <v>704</v>
      </c>
      <c r="B568">
        <v>30</v>
      </c>
      <c r="C568">
        <v>62</v>
      </c>
    </row>
    <row r="569" spans="1:3" x14ac:dyDescent="0.25">
      <c r="A569" s="1" t="s">
        <v>704</v>
      </c>
      <c r="B569">
        <v>460</v>
      </c>
      <c r="C569">
        <v>340</v>
      </c>
    </row>
    <row r="570" spans="1:3" x14ac:dyDescent="0.25">
      <c r="A570" s="1" t="s">
        <v>705</v>
      </c>
      <c r="B570">
        <v>1200</v>
      </c>
      <c r="C570">
        <v>500</v>
      </c>
    </row>
    <row r="571" spans="1:3" x14ac:dyDescent="0.25">
      <c r="A571" s="1" t="s">
        <v>706</v>
      </c>
      <c r="B571">
        <v>149</v>
      </c>
      <c r="C571">
        <v>47</v>
      </c>
    </row>
    <row r="572" spans="1:3" x14ac:dyDescent="0.25">
      <c r="A572" s="1" t="s">
        <v>707</v>
      </c>
      <c r="B572">
        <v>40</v>
      </c>
      <c r="C572">
        <v>40</v>
      </c>
    </row>
    <row r="573" spans="1:3" x14ac:dyDescent="0.25">
      <c r="A573" s="1" t="s">
        <v>708</v>
      </c>
      <c r="B573">
        <v>462</v>
      </c>
      <c r="C573">
        <v>95</v>
      </c>
    </row>
    <row r="574" spans="1:3" x14ac:dyDescent="0.25">
      <c r="A574" s="1" t="s">
        <v>709</v>
      </c>
      <c r="B574">
        <v>1</v>
      </c>
      <c r="C574">
        <v>30</v>
      </c>
    </row>
    <row r="575" spans="1:3" x14ac:dyDescent="0.25">
      <c r="A575" s="1" t="s">
        <v>710</v>
      </c>
      <c r="B575">
        <v>656</v>
      </c>
    </row>
    <row r="576" spans="1:3" x14ac:dyDescent="0.25">
      <c r="A576" s="1" t="s">
        <v>711</v>
      </c>
      <c r="B576">
        <v>77</v>
      </c>
    </row>
    <row r="577" spans="1:3" x14ac:dyDescent="0.25">
      <c r="A577" s="1" t="s">
        <v>712</v>
      </c>
      <c r="B577">
        <v>109</v>
      </c>
      <c r="C577">
        <v>100</v>
      </c>
    </row>
    <row r="578" spans="1:3" x14ac:dyDescent="0.25">
      <c r="A578" s="1" t="s">
        <v>713</v>
      </c>
      <c r="B578">
        <v>70</v>
      </c>
    </row>
    <row r="579" spans="1:3" x14ac:dyDescent="0.25">
      <c r="A579" s="1" t="s">
        <v>715</v>
      </c>
      <c r="B579">
        <v>162</v>
      </c>
    </row>
    <row r="580" spans="1:3" x14ac:dyDescent="0.25">
      <c r="A580" s="1" t="s">
        <v>716</v>
      </c>
      <c r="B580">
        <v>212</v>
      </c>
      <c r="C580">
        <v>81</v>
      </c>
    </row>
    <row r="581" spans="1:3" x14ac:dyDescent="0.25">
      <c r="A581" s="1" t="s">
        <v>716</v>
      </c>
      <c r="B581">
        <v>212</v>
      </c>
      <c r="C581">
        <v>141</v>
      </c>
    </row>
    <row r="582" spans="1:3" x14ac:dyDescent="0.25">
      <c r="A582" s="1" t="s">
        <v>717</v>
      </c>
      <c r="B582">
        <v>2</v>
      </c>
      <c r="C582">
        <v>200</v>
      </c>
    </row>
    <row r="583" spans="1:3" x14ac:dyDescent="0.25">
      <c r="A583" s="1" t="s">
        <v>719</v>
      </c>
      <c r="B583">
        <v>96</v>
      </c>
    </row>
    <row r="584" spans="1:3" x14ac:dyDescent="0.25">
      <c r="A584" s="1" t="s">
        <v>720</v>
      </c>
      <c r="B584">
        <v>257</v>
      </c>
      <c r="C584">
        <v>62</v>
      </c>
    </row>
    <row r="585" spans="1:3" x14ac:dyDescent="0.25">
      <c r="A585" s="1" t="s">
        <v>721</v>
      </c>
      <c r="B585">
        <v>22</v>
      </c>
      <c r="C585">
        <v>10</v>
      </c>
    </row>
    <row r="586" spans="1:3" x14ac:dyDescent="0.25">
      <c r="A586" s="1" t="s">
        <v>722</v>
      </c>
      <c r="B586">
        <v>65</v>
      </c>
      <c r="C586">
        <v>60</v>
      </c>
    </row>
    <row r="587" spans="1:3" x14ac:dyDescent="0.25">
      <c r="A587" s="1" t="s">
        <v>723</v>
      </c>
      <c r="B587">
        <v>323</v>
      </c>
    </row>
    <row r="588" spans="1:3" x14ac:dyDescent="0.25">
      <c r="A588" s="1" t="s">
        <v>723</v>
      </c>
      <c r="B588">
        <v>323</v>
      </c>
    </row>
    <row r="589" spans="1:3" x14ac:dyDescent="0.25">
      <c r="A589" s="1" t="s">
        <v>724</v>
      </c>
      <c r="B589">
        <v>30</v>
      </c>
      <c r="C589">
        <v>43</v>
      </c>
    </row>
    <row r="590" spans="1:3" x14ac:dyDescent="0.25">
      <c r="A590" s="1" t="s">
        <v>725</v>
      </c>
      <c r="B590">
        <v>40</v>
      </c>
    </row>
    <row r="591" spans="1:3" x14ac:dyDescent="0.25">
      <c r="A591" s="1" t="s">
        <v>726</v>
      </c>
      <c r="B591">
        <v>94</v>
      </c>
      <c r="C591">
        <v>41</v>
      </c>
    </row>
    <row r="592" spans="1:3" x14ac:dyDescent="0.25">
      <c r="A592" s="1" t="s">
        <v>727</v>
      </c>
      <c r="B592">
        <v>317</v>
      </c>
      <c r="C592">
        <v>230</v>
      </c>
    </row>
    <row r="593" spans="1:3" x14ac:dyDescent="0.25">
      <c r="A593" s="1" t="s">
        <v>728</v>
      </c>
      <c r="B593">
        <v>142</v>
      </c>
      <c r="C593">
        <v>30</v>
      </c>
    </row>
    <row r="594" spans="1:3" x14ac:dyDescent="0.25">
      <c r="A594" s="1" t="s">
        <v>729</v>
      </c>
      <c r="B594">
        <v>16</v>
      </c>
    </row>
    <row r="595" spans="1:3" x14ac:dyDescent="0.25">
      <c r="A595" s="1" t="s">
        <v>730</v>
      </c>
      <c r="B595">
        <v>78</v>
      </c>
      <c r="C595">
        <v>30</v>
      </c>
    </row>
    <row r="596" spans="1:3" x14ac:dyDescent="0.25">
      <c r="A596" s="1" t="s">
        <v>732</v>
      </c>
      <c r="B596">
        <v>4</v>
      </c>
    </row>
    <row r="597" spans="1:3" x14ac:dyDescent="0.25">
      <c r="A597" s="1" t="s">
        <v>734</v>
      </c>
      <c r="B597">
        <v>14</v>
      </c>
      <c r="C597">
        <v>31</v>
      </c>
    </row>
    <row r="598" spans="1:3" x14ac:dyDescent="0.25">
      <c r="A598" s="1" t="s">
        <v>735</v>
      </c>
      <c r="B598">
        <v>310</v>
      </c>
      <c r="C598">
        <v>400</v>
      </c>
    </row>
    <row r="599" spans="1:3" x14ac:dyDescent="0.25">
      <c r="A599" s="1" t="s">
        <v>737</v>
      </c>
      <c r="B599">
        <v>59</v>
      </c>
      <c r="C599">
        <v>58</v>
      </c>
    </row>
    <row r="600" spans="1:3" x14ac:dyDescent="0.25">
      <c r="A600" s="1" t="s">
        <v>738</v>
      </c>
      <c r="B600">
        <v>85</v>
      </c>
      <c r="C600">
        <v>24</v>
      </c>
    </row>
    <row r="601" spans="1:3" x14ac:dyDescent="0.25">
      <c r="A601" s="1" t="s">
        <v>738</v>
      </c>
      <c r="B601">
        <v>85</v>
      </c>
      <c r="C601">
        <v>25</v>
      </c>
    </row>
    <row r="602" spans="1:3" x14ac:dyDescent="0.25">
      <c r="A602" s="1" t="s">
        <v>739</v>
      </c>
      <c r="B602">
        <v>11</v>
      </c>
      <c r="C602">
        <v>30</v>
      </c>
    </row>
    <row r="603" spans="1:3" x14ac:dyDescent="0.25">
      <c r="A603" s="1" t="s">
        <v>740</v>
      </c>
      <c r="B603">
        <v>663</v>
      </c>
      <c r="C603">
        <v>8500</v>
      </c>
    </row>
    <row r="604" spans="1:3" x14ac:dyDescent="0.25">
      <c r="A604" s="1" t="s">
        <v>741</v>
      </c>
      <c r="B604">
        <v>97</v>
      </c>
      <c r="C604">
        <v>30</v>
      </c>
    </row>
    <row r="605" spans="1:3" x14ac:dyDescent="0.25">
      <c r="A605" s="1" t="s">
        <v>742</v>
      </c>
      <c r="B605">
        <v>1200</v>
      </c>
      <c r="C605">
        <v>40</v>
      </c>
    </row>
    <row r="606" spans="1:3" x14ac:dyDescent="0.25">
      <c r="A606" s="1" t="s">
        <v>743</v>
      </c>
      <c r="B606">
        <v>37</v>
      </c>
    </row>
    <row r="607" spans="1:3" x14ac:dyDescent="0.25">
      <c r="A607" s="1" t="s">
        <v>744</v>
      </c>
      <c r="B607">
        <v>10</v>
      </c>
    </row>
    <row r="608" spans="1:3" x14ac:dyDescent="0.25">
      <c r="A608" s="1" t="s">
        <v>744</v>
      </c>
      <c r="B608">
        <v>10</v>
      </c>
    </row>
    <row r="609" spans="1:3" x14ac:dyDescent="0.25">
      <c r="A609" s="1" t="s">
        <v>746</v>
      </c>
      <c r="B609">
        <v>106</v>
      </c>
      <c r="C609">
        <v>18</v>
      </c>
    </row>
    <row r="610" spans="1:3" x14ac:dyDescent="0.25">
      <c r="A610" s="1" t="s">
        <v>746</v>
      </c>
      <c r="B610">
        <v>406</v>
      </c>
      <c r="C610">
        <v>40</v>
      </c>
    </row>
    <row r="611" spans="1:3" x14ac:dyDescent="0.25">
      <c r="A611" s="1" t="s">
        <v>746</v>
      </c>
      <c r="B611">
        <v>406</v>
      </c>
      <c r="C611">
        <v>50</v>
      </c>
    </row>
    <row r="612" spans="1:3" x14ac:dyDescent="0.25">
      <c r="A612" s="1" t="s">
        <v>747</v>
      </c>
      <c r="B612">
        <v>322</v>
      </c>
      <c r="C612">
        <v>100</v>
      </c>
    </row>
    <row r="613" spans="1:3" x14ac:dyDescent="0.25">
      <c r="A613" s="1" t="s">
        <v>748</v>
      </c>
      <c r="B613">
        <v>69</v>
      </c>
      <c r="C613">
        <v>50</v>
      </c>
    </row>
    <row r="614" spans="1:3" x14ac:dyDescent="0.25">
      <c r="A614" s="1" t="s">
        <v>749</v>
      </c>
      <c r="B614">
        <v>557</v>
      </c>
      <c r="C614">
        <v>80</v>
      </c>
    </row>
    <row r="615" spans="1:3" x14ac:dyDescent="0.25">
      <c r="A615" s="1" t="s">
        <v>749</v>
      </c>
      <c r="B615">
        <v>332</v>
      </c>
      <c r="C615">
        <v>500</v>
      </c>
    </row>
    <row r="616" spans="1:3" x14ac:dyDescent="0.25">
      <c r="A616" s="1" t="s">
        <v>750</v>
      </c>
      <c r="B616">
        <v>476</v>
      </c>
      <c r="C616">
        <v>200</v>
      </c>
    </row>
    <row r="617" spans="1:3" x14ac:dyDescent="0.25">
      <c r="A617" s="1" t="s">
        <v>751</v>
      </c>
      <c r="B617">
        <v>176</v>
      </c>
      <c r="C617">
        <v>30</v>
      </c>
    </row>
    <row r="618" spans="1:3" x14ac:dyDescent="0.25">
      <c r="A618" s="1" t="s">
        <v>751</v>
      </c>
      <c r="B618">
        <v>18</v>
      </c>
      <c r="C618">
        <v>227</v>
      </c>
    </row>
    <row r="619" spans="1:3" x14ac:dyDescent="0.25">
      <c r="A619" s="1" t="s">
        <v>752</v>
      </c>
      <c r="B619">
        <v>290</v>
      </c>
      <c r="C619">
        <v>129</v>
      </c>
    </row>
    <row r="620" spans="1:3" x14ac:dyDescent="0.25">
      <c r="A620" s="1" t="s">
        <v>753</v>
      </c>
      <c r="B620">
        <v>400</v>
      </c>
      <c r="C620">
        <v>40</v>
      </c>
    </row>
    <row r="621" spans="1:3" x14ac:dyDescent="0.25">
      <c r="A621" s="1" t="s">
        <v>754</v>
      </c>
      <c r="B621">
        <v>60</v>
      </c>
      <c r="C621">
        <v>59</v>
      </c>
    </row>
    <row r="622" spans="1:3" x14ac:dyDescent="0.25">
      <c r="A622" s="1" t="s">
        <v>756</v>
      </c>
      <c r="B622">
        <v>87</v>
      </c>
      <c r="C622">
        <v>142</v>
      </c>
    </row>
    <row r="623" spans="1:3" x14ac:dyDescent="0.25">
      <c r="A623" s="1" t="s">
        <v>757</v>
      </c>
      <c r="B623">
        <v>26</v>
      </c>
      <c r="C623">
        <v>7</v>
      </c>
    </row>
    <row r="624" spans="1:3" x14ac:dyDescent="0.25">
      <c r="A624" s="1" t="s">
        <v>758</v>
      </c>
      <c r="B624">
        <v>100</v>
      </c>
      <c r="C624">
        <v>24</v>
      </c>
    </row>
    <row r="625" spans="1:3" x14ac:dyDescent="0.25">
      <c r="A625" s="1" t="s">
        <v>759</v>
      </c>
      <c r="B625">
        <v>61</v>
      </c>
    </row>
    <row r="626" spans="1:3" x14ac:dyDescent="0.25">
      <c r="A626" s="1" t="s">
        <v>759</v>
      </c>
      <c r="B626">
        <v>61</v>
      </c>
    </row>
    <row r="627" spans="1:3" x14ac:dyDescent="0.25">
      <c r="A627" s="1" t="s">
        <v>760</v>
      </c>
      <c r="B627">
        <v>319</v>
      </c>
      <c r="C627">
        <v>400</v>
      </c>
    </row>
    <row r="628" spans="1:3" x14ac:dyDescent="0.25">
      <c r="A628" s="1" t="s">
        <v>762</v>
      </c>
      <c r="B628">
        <v>48</v>
      </c>
      <c r="C628">
        <v>80</v>
      </c>
    </row>
    <row r="629" spans="1:3" x14ac:dyDescent="0.25">
      <c r="A629" s="1" t="s">
        <v>763</v>
      </c>
      <c r="B629">
        <v>336</v>
      </c>
      <c r="C629">
        <v>120</v>
      </c>
    </row>
    <row r="630" spans="1:3" x14ac:dyDescent="0.25">
      <c r="A630" s="1" t="s">
        <v>764</v>
      </c>
      <c r="B630">
        <v>502</v>
      </c>
      <c r="C630">
        <v>260</v>
      </c>
    </row>
    <row r="631" spans="1:3" x14ac:dyDescent="0.25">
      <c r="A631" s="1" t="s">
        <v>765</v>
      </c>
      <c r="B631">
        <v>1700</v>
      </c>
      <c r="C631">
        <v>84</v>
      </c>
    </row>
    <row r="632" spans="1:3" x14ac:dyDescent="0.25">
      <c r="A632" s="1" t="s">
        <v>766</v>
      </c>
      <c r="B632">
        <v>145</v>
      </c>
    </row>
    <row r="633" spans="1:3" x14ac:dyDescent="0.25">
      <c r="A633" s="1" t="s">
        <v>766</v>
      </c>
      <c r="B633">
        <v>145</v>
      </c>
    </row>
    <row r="634" spans="1:3" x14ac:dyDescent="0.25">
      <c r="A634" s="1" t="s">
        <v>768</v>
      </c>
      <c r="B634">
        <v>150</v>
      </c>
      <c r="C634">
        <v>90</v>
      </c>
    </row>
    <row r="635" spans="1:3" x14ac:dyDescent="0.25">
      <c r="A635" s="1" t="s">
        <v>768</v>
      </c>
      <c r="B635">
        <v>150</v>
      </c>
      <c r="C635">
        <v>250</v>
      </c>
    </row>
    <row r="636" spans="1:3" x14ac:dyDescent="0.25">
      <c r="A636" s="1" t="s">
        <v>769</v>
      </c>
      <c r="B636">
        <v>124</v>
      </c>
    </row>
    <row r="637" spans="1:3" x14ac:dyDescent="0.25">
      <c r="A637" s="1" t="s">
        <v>770</v>
      </c>
      <c r="B637">
        <v>1200</v>
      </c>
      <c r="C637">
        <v>315</v>
      </c>
    </row>
    <row r="638" spans="1:3" x14ac:dyDescent="0.25">
      <c r="A638" s="1" t="s">
        <v>771</v>
      </c>
      <c r="B638">
        <v>31</v>
      </c>
      <c r="C638">
        <v>170</v>
      </c>
    </row>
    <row r="639" spans="1:3" x14ac:dyDescent="0.25">
      <c r="A639" s="1" t="s">
        <v>772</v>
      </c>
      <c r="B639">
        <v>81</v>
      </c>
    </row>
    <row r="640" spans="1:3" x14ac:dyDescent="0.25">
      <c r="A640" s="1" t="s">
        <v>773</v>
      </c>
      <c r="B640">
        <v>76</v>
      </c>
    </row>
    <row r="641" spans="1:3" x14ac:dyDescent="0.25">
      <c r="A641" s="1" t="s">
        <v>774</v>
      </c>
      <c r="B641">
        <v>273</v>
      </c>
    </row>
    <row r="642" spans="1:3" x14ac:dyDescent="0.25">
      <c r="A642" s="1" t="s">
        <v>777</v>
      </c>
      <c r="B642">
        <v>35</v>
      </c>
      <c r="C642">
        <v>100</v>
      </c>
    </row>
    <row r="643" spans="1:3" x14ac:dyDescent="0.25">
      <c r="A643" s="1" t="s">
        <v>778</v>
      </c>
      <c r="B643">
        <v>226</v>
      </c>
    </row>
    <row r="644" spans="1:3" x14ac:dyDescent="0.25">
      <c r="A644" s="1" t="s">
        <v>780</v>
      </c>
      <c r="B644">
        <v>30</v>
      </c>
    </row>
    <row r="645" spans="1:3" x14ac:dyDescent="0.25">
      <c r="A645" s="1" t="s">
        <v>781</v>
      </c>
      <c r="B645">
        <v>49</v>
      </c>
      <c r="C645">
        <v>16</v>
      </c>
    </row>
    <row r="646" spans="1:3" x14ac:dyDescent="0.25">
      <c r="A646" s="1" t="s">
        <v>782</v>
      </c>
      <c r="B646">
        <v>22</v>
      </c>
      <c r="C646">
        <v>14</v>
      </c>
    </row>
    <row r="647" spans="1:3" x14ac:dyDescent="0.25">
      <c r="A647" s="1" t="s">
        <v>784</v>
      </c>
      <c r="B647">
        <v>9</v>
      </c>
    </row>
    <row r="648" spans="1:3" x14ac:dyDescent="0.25">
      <c r="A648" s="1" t="s">
        <v>785</v>
      </c>
      <c r="B648">
        <v>1000</v>
      </c>
      <c r="C648">
        <v>30</v>
      </c>
    </row>
    <row r="649" spans="1:3" x14ac:dyDescent="0.25">
      <c r="A649" s="1" t="s">
        <v>786</v>
      </c>
      <c r="B649">
        <v>264</v>
      </c>
    </row>
    <row r="650" spans="1:3" x14ac:dyDescent="0.25">
      <c r="A650" s="1" t="s">
        <v>787</v>
      </c>
      <c r="B650">
        <v>32</v>
      </c>
    </row>
    <row r="651" spans="1:3" x14ac:dyDescent="0.25">
      <c r="A651" s="1" t="s">
        <v>788</v>
      </c>
      <c r="B651">
        <v>269</v>
      </c>
    </row>
    <row r="652" spans="1:3" x14ac:dyDescent="0.25">
      <c r="A652" s="1" t="s">
        <v>789</v>
      </c>
      <c r="B652">
        <v>29</v>
      </c>
    </row>
    <row r="653" spans="1:3" x14ac:dyDescent="0.25">
      <c r="A653" s="1" t="s">
        <v>792</v>
      </c>
      <c r="B653">
        <v>50</v>
      </c>
      <c r="C653">
        <v>30</v>
      </c>
    </row>
    <row r="654" spans="1:3" x14ac:dyDescent="0.25">
      <c r="A654" s="1" t="s">
        <v>793</v>
      </c>
      <c r="B654">
        <v>59</v>
      </c>
    </row>
    <row r="655" spans="1:3" x14ac:dyDescent="0.25">
      <c r="A655" s="1" t="s">
        <v>794</v>
      </c>
      <c r="B655">
        <v>13</v>
      </c>
      <c r="C655">
        <v>30</v>
      </c>
    </row>
    <row r="656" spans="1:3" x14ac:dyDescent="0.25">
      <c r="A656" s="1" t="s">
        <v>796</v>
      </c>
      <c r="B656">
        <v>111</v>
      </c>
      <c r="C656">
        <v>60</v>
      </c>
    </row>
    <row r="657" spans="1:3" x14ac:dyDescent="0.25">
      <c r="A657" s="1" t="s">
        <v>798</v>
      </c>
      <c r="B657">
        <v>57</v>
      </c>
    </row>
    <row r="658" spans="1:3" x14ac:dyDescent="0.25">
      <c r="A658" s="1" t="s">
        <v>799</v>
      </c>
      <c r="B658">
        <v>15</v>
      </c>
      <c r="C658">
        <v>100</v>
      </c>
    </row>
    <row r="659" spans="1:3" x14ac:dyDescent="0.25">
      <c r="A659" s="1" t="s">
        <v>800</v>
      </c>
      <c r="B659">
        <v>2400</v>
      </c>
      <c r="C659">
        <v>640</v>
      </c>
    </row>
    <row r="660" spans="1:3" x14ac:dyDescent="0.25">
      <c r="A660" s="1" t="s">
        <v>801</v>
      </c>
      <c r="B660">
        <v>235</v>
      </c>
      <c r="C660">
        <v>24</v>
      </c>
    </row>
    <row r="661" spans="1:3" x14ac:dyDescent="0.25">
      <c r="A661" s="1" t="s">
        <v>802</v>
      </c>
      <c r="B661">
        <v>12900</v>
      </c>
    </row>
    <row r="662" spans="1:3" x14ac:dyDescent="0.25">
      <c r="A662" s="1" t="s">
        <v>803</v>
      </c>
      <c r="B662">
        <v>14</v>
      </c>
      <c r="C662">
        <v>37</v>
      </c>
    </row>
    <row r="663" spans="1:3" x14ac:dyDescent="0.25">
      <c r="A663" s="1" t="s">
        <v>804</v>
      </c>
      <c r="B663">
        <v>119</v>
      </c>
    </row>
    <row r="664" spans="1:3" x14ac:dyDescent="0.25">
      <c r="A664" s="1" t="s">
        <v>805</v>
      </c>
      <c r="B664">
        <v>45</v>
      </c>
    </row>
    <row r="665" spans="1:3" x14ac:dyDescent="0.25">
      <c r="A665" s="1" t="s">
        <v>808</v>
      </c>
      <c r="B665">
        <v>9</v>
      </c>
    </row>
    <row r="666" spans="1:3" x14ac:dyDescent="0.25">
      <c r="A666" s="1" t="s">
        <v>809</v>
      </c>
      <c r="B666">
        <v>310</v>
      </c>
      <c r="C666">
        <v>200</v>
      </c>
    </row>
    <row r="667" spans="1:3" x14ac:dyDescent="0.25">
      <c r="A667" s="1" t="s">
        <v>809</v>
      </c>
      <c r="B667">
        <v>310</v>
      </c>
      <c r="C667">
        <v>300</v>
      </c>
    </row>
    <row r="668" spans="1:3" x14ac:dyDescent="0.25">
      <c r="A668" s="1" t="s">
        <v>813</v>
      </c>
      <c r="B668">
        <v>1</v>
      </c>
    </row>
    <row r="669" spans="1:3" x14ac:dyDescent="0.25">
      <c r="A669" s="1" t="s">
        <v>814</v>
      </c>
      <c r="B669">
        <v>4</v>
      </c>
      <c r="C669">
        <v>4</v>
      </c>
    </row>
    <row r="670" spans="1:3" x14ac:dyDescent="0.25">
      <c r="A670" s="1" t="s">
        <v>815</v>
      </c>
      <c r="B670">
        <v>120</v>
      </c>
      <c r="C670">
        <v>784</v>
      </c>
    </row>
    <row r="671" spans="1:3" x14ac:dyDescent="0.25">
      <c r="A671" s="1" t="s">
        <v>816</v>
      </c>
      <c r="B671">
        <v>263</v>
      </c>
      <c r="C671">
        <v>60</v>
      </c>
    </row>
    <row r="672" spans="1:3" x14ac:dyDescent="0.25">
      <c r="A672" s="1" t="s">
        <v>817</v>
      </c>
      <c r="B672">
        <v>96</v>
      </c>
    </row>
    <row r="673" spans="1:3" x14ac:dyDescent="0.25">
      <c r="A673" s="1" t="s">
        <v>817</v>
      </c>
      <c r="B673">
        <v>176</v>
      </c>
      <c r="C673">
        <v>20</v>
      </c>
    </row>
    <row r="674" spans="1:3" x14ac:dyDescent="0.25">
      <c r="A674" s="1" t="s">
        <v>817</v>
      </c>
      <c r="B674">
        <v>176</v>
      </c>
      <c r="C674">
        <v>21</v>
      </c>
    </row>
    <row r="675" spans="1:3" x14ac:dyDescent="0.25">
      <c r="A675" s="1" t="s">
        <v>818</v>
      </c>
      <c r="B675">
        <v>749</v>
      </c>
      <c r="C675">
        <v>80</v>
      </c>
    </row>
    <row r="676" spans="1:3" x14ac:dyDescent="0.25">
      <c r="A676" s="1" t="s">
        <v>818</v>
      </c>
      <c r="B676">
        <v>749</v>
      </c>
    </row>
    <row r="677" spans="1:3" x14ac:dyDescent="0.25">
      <c r="A677" s="1" t="s">
        <v>818</v>
      </c>
      <c r="B677">
        <v>749</v>
      </c>
      <c r="C677">
        <v>60</v>
      </c>
    </row>
    <row r="678" spans="1:3" x14ac:dyDescent="0.25">
      <c r="A678" s="1" t="s">
        <v>821</v>
      </c>
      <c r="B678">
        <v>20</v>
      </c>
      <c r="C678">
        <v>87</v>
      </c>
    </row>
    <row r="679" spans="1:3" x14ac:dyDescent="0.25">
      <c r="A679" s="1" t="s">
        <v>822</v>
      </c>
      <c r="B679">
        <v>125</v>
      </c>
      <c r="C679">
        <v>100</v>
      </c>
    </row>
    <row r="680" spans="1:3" x14ac:dyDescent="0.25">
      <c r="A680" s="1" t="s">
        <v>823</v>
      </c>
      <c r="B680">
        <v>58</v>
      </c>
    </row>
    <row r="681" spans="1:3" x14ac:dyDescent="0.25">
      <c r="A681" s="1" t="s">
        <v>824</v>
      </c>
      <c r="B681">
        <v>58</v>
      </c>
      <c r="C681">
        <v>15</v>
      </c>
    </row>
    <row r="682" spans="1:3" x14ac:dyDescent="0.25">
      <c r="A682" s="1" t="s">
        <v>825</v>
      </c>
      <c r="B682">
        <v>593</v>
      </c>
      <c r="C682">
        <v>60</v>
      </c>
    </row>
    <row r="683" spans="1:3" x14ac:dyDescent="0.25">
      <c r="A683" s="1" t="s">
        <v>826</v>
      </c>
      <c r="B683">
        <v>225</v>
      </c>
    </row>
    <row r="684" spans="1:3" x14ac:dyDescent="0.25">
      <c r="A684" s="1" t="s">
        <v>826</v>
      </c>
      <c r="B684">
        <v>100</v>
      </c>
      <c r="C684">
        <v>10</v>
      </c>
    </row>
    <row r="685" spans="1:3" x14ac:dyDescent="0.25">
      <c r="A685" s="1" t="s">
        <v>827</v>
      </c>
      <c r="B685">
        <v>201</v>
      </c>
      <c r="C685">
        <v>60</v>
      </c>
    </row>
    <row r="686" spans="1:3" x14ac:dyDescent="0.25">
      <c r="A686" s="1" t="s">
        <v>828</v>
      </c>
      <c r="B686">
        <v>166</v>
      </c>
      <c r="C686">
        <v>26</v>
      </c>
    </row>
    <row r="687" spans="1:3" x14ac:dyDescent="0.25">
      <c r="A687" s="1" t="s">
        <v>829</v>
      </c>
      <c r="B687">
        <v>63</v>
      </c>
      <c r="C687">
        <v>150</v>
      </c>
    </row>
    <row r="688" spans="1:3" x14ac:dyDescent="0.25">
      <c r="A688" s="1" t="s">
        <v>830</v>
      </c>
      <c r="B688">
        <v>133</v>
      </c>
      <c r="C688">
        <v>45</v>
      </c>
    </row>
    <row r="689" spans="1:3" x14ac:dyDescent="0.25">
      <c r="A689" s="1" t="s">
        <v>831</v>
      </c>
      <c r="B689">
        <v>76</v>
      </c>
    </row>
    <row r="690" spans="1:3" x14ac:dyDescent="0.25">
      <c r="A690" s="1" t="s">
        <v>832</v>
      </c>
      <c r="B690">
        <v>75</v>
      </c>
      <c r="C690">
        <v>38</v>
      </c>
    </row>
    <row r="691" spans="1:3" x14ac:dyDescent="0.25">
      <c r="A691" s="1" t="s">
        <v>833</v>
      </c>
      <c r="B691">
        <v>280</v>
      </c>
      <c r="C691">
        <v>40</v>
      </c>
    </row>
    <row r="692" spans="1:3" x14ac:dyDescent="0.25">
      <c r="A692" s="1" t="s">
        <v>834</v>
      </c>
      <c r="B692">
        <v>107</v>
      </c>
    </row>
    <row r="693" spans="1:3" x14ac:dyDescent="0.25">
      <c r="A693" s="1" t="s">
        <v>834</v>
      </c>
      <c r="B693">
        <v>107</v>
      </c>
      <c r="C693">
        <v>329</v>
      </c>
    </row>
    <row r="694" spans="1:3" x14ac:dyDescent="0.25">
      <c r="A694" s="1" t="s">
        <v>835</v>
      </c>
      <c r="B694">
        <v>484</v>
      </c>
      <c r="C694">
        <v>90</v>
      </c>
    </row>
    <row r="695" spans="1:3" x14ac:dyDescent="0.25">
      <c r="A695" s="1" t="s">
        <v>836</v>
      </c>
      <c r="B695">
        <v>203</v>
      </c>
    </row>
    <row r="696" spans="1:3" x14ac:dyDescent="0.25">
      <c r="A696" s="1" t="s">
        <v>837</v>
      </c>
      <c r="B696">
        <v>3</v>
      </c>
      <c r="C696">
        <v>35</v>
      </c>
    </row>
    <row r="697" spans="1:3" x14ac:dyDescent="0.25">
      <c r="A697" s="1" t="s">
        <v>839</v>
      </c>
      <c r="B697">
        <v>17</v>
      </c>
      <c r="C697">
        <v>130</v>
      </c>
    </row>
    <row r="698" spans="1:3" x14ac:dyDescent="0.25">
      <c r="A698" s="1" t="s">
        <v>839</v>
      </c>
      <c r="B698">
        <v>17</v>
      </c>
      <c r="C698">
        <v>145</v>
      </c>
    </row>
    <row r="699" spans="1:3" x14ac:dyDescent="0.25">
      <c r="A699" s="1" t="s">
        <v>840</v>
      </c>
      <c r="B699">
        <v>202</v>
      </c>
    </row>
    <row r="700" spans="1:3" x14ac:dyDescent="0.25">
      <c r="A700" s="1" t="s">
        <v>841</v>
      </c>
      <c r="B700">
        <v>151</v>
      </c>
    </row>
    <row r="701" spans="1:3" x14ac:dyDescent="0.25">
      <c r="A701" s="1" t="s">
        <v>842</v>
      </c>
      <c r="B701">
        <v>59</v>
      </c>
    </row>
    <row r="702" spans="1:3" x14ac:dyDescent="0.25">
      <c r="A702" s="1" t="s">
        <v>842</v>
      </c>
      <c r="B702">
        <v>197</v>
      </c>
    </row>
    <row r="703" spans="1:3" x14ac:dyDescent="0.25">
      <c r="A703" s="1" t="s">
        <v>843</v>
      </c>
      <c r="B703">
        <v>453</v>
      </c>
      <c r="C703">
        <v>14</v>
      </c>
    </row>
    <row r="704" spans="1:3" x14ac:dyDescent="0.25">
      <c r="A704" s="1" t="s">
        <v>843</v>
      </c>
      <c r="B704">
        <v>553</v>
      </c>
      <c r="C704">
        <v>150</v>
      </c>
    </row>
    <row r="705" spans="1:3" x14ac:dyDescent="0.25">
      <c r="A705" s="1" t="s">
        <v>844</v>
      </c>
      <c r="B705">
        <v>746</v>
      </c>
      <c r="C705">
        <v>85</v>
      </c>
    </row>
    <row r="706" spans="1:3" x14ac:dyDescent="0.25">
      <c r="A706" s="1" t="s">
        <v>845</v>
      </c>
      <c r="B706">
        <v>42</v>
      </c>
      <c r="C706">
        <v>65</v>
      </c>
    </row>
    <row r="707" spans="1:3" x14ac:dyDescent="0.25">
      <c r="A707" s="1" t="s">
        <v>846</v>
      </c>
      <c r="B707">
        <v>310</v>
      </c>
    </row>
    <row r="708" spans="1:3" x14ac:dyDescent="0.25">
      <c r="A708" s="1" t="s">
        <v>847</v>
      </c>
      <c r="B708">
        <v>228</v>
      </c>
      <c r="C708">
        <v>180</v>
      </c>
    </row>
    <row r="709" spans="1:3" x14ac:dyDescent="0.25">
      <c r="A709" s="1" t="s">
        <v>848</v>
      </c>
      <c r="B709">
        <v>50</v>
      </c>
    </row>
    <row r="710" spans="1:3" x14ac:dyDescent="0.25">
      <c r="A710" s="1" t="s">
        <v>850</v>
      </c>
      <c r="B710">
        <v>101</v>
      </c>
      <c r="C710">
        <v>17</v>
      </c>
    </row>
    <row r="711" spans="1:3" x14ac:dyDescent="0.25">
      <c r="A711" s="1" t="s">
        <v>851</v>
      </c>
      <c r="B711">
        <v>76</v>
      </c>
      <c r="C711">
        <v>30</v>
      </c>
    </row>
    <row r="712" spans="1:3" x14ac:dyDescent="0.25">
      <c r="A712" s="1" t="s">
        <v>853</v>
      </c>
      <c r="B712">
        <v>5</v>
      </c>
    </row>
    <row r="713" spans="1:3" x14ac:dyDescent="0.25">
      <c r="A713" s="1" t="s">
        <v>855</v>
      </c>
      <c r="B713">
        <v>148</v>
      </c>
      <c r="C713">
        <v>100</v>
      </c>
    </row>
    <row r="714" spans="1:3" x14ac:dyDescent="0.25">
      <c r="A714" s="1" t="s">
        <v>856</v>
      </c>
      <c r="B714">
        <v>423</v>
      </c>
    </row>
    <row r="715" spans="1:3" x14ac:dyDescent="0.25">
      <c r="A715" s="1" t="s">
        <v>856</v>
      </c>
      <c r="B715">
        <v>423</v>
      </c>
      <c r="C715">
        <v>100</v>
      </c>
    </row>
    <row r="716" spans="1:3" x14ac:dyDescent="0.25">
      <c r="A716" s="1" t="s">
        <v>856</v>
      </c>
      <c r="B716">
        <v>423</v>
      </c>
      <c r="C716">
        <v>68</v>
      </c>
    </row>
    <row r="717" spans="1:3" x14ac:dyDescent="0.25">
      <c r="A717" s="1" t="s">
        <v>858</v>
      </c>
      <c r="B717">
        <v>78</v>
      </c>
    </row>
    <row r="718" spans="1:3" x14ac:dyDescent="0.25">
      <c r="A718" s="1" t="s">
        <v>859</v>
      </c>
      <c r="B718">
        <v>120</v>
      </c>
      <c r="C718">
        <v>23</v>
      </c>
    </row>
    <row r="719" spans="1:3" x14ac:dyDescent="0.25">
      <c r="A719" s="1" t="s">
        <v>860</v>
      </c>
      <c r="B719">
        <v>948</v>
      </c>
    </row>
    <row r="720" spans="1:3" x14ac:dyDescent="0.25">
      <c r="A720" s="1" t="s">
        <v>860</v>
      </c>
      <c r="B720">
        <v>403</v>
      </c>
      <c r="C720">
        <v>100</v>
      </c>
    </row>
    <row r="721" spans="1:3" x14ac:dyDescent="0.25">
      <c r="A721" s="1" t="s">
        <v>861</v>
      </c>
      <c r="B721">
        <v>1800</v>
      </c>
    </row>
    <row r="722" spans="1:3" x14ac:dyDescent="0.25">
      <c r="A722" s="1" t="s">
        <v>861</v>
      </c>
      <c r="B722">
        <v>1800</v>
      </c>
    </row>
    <row r="723" spans="1:3" x14ac:dyDescent="0.25">
      <c r="A723" s="1" t="s">
        <v>861</v>
      </c>
      <c r="B723">
        <v>1800</v>
      </c>
      <c r="C723">
        <v>100</v>
      </c>
    </row>
    <row r="724" spans="1:3" x14ac:dyDescent="0.25">
      <c r="A724" s="1" t="s">
        <v>864</v>
      </c>
      <c r="B724">
        <v>16</v>
      </c>
      <c r="C724">
        <v>11</v>
      </c>
    </row>
    <row r="725" spans="1:3" x14ac:dyDescent="0.25">
      <c r="A725" s="1" t="s">
        <v>865</v>
      </c>
      <c r="B725">
        <v>49</v>
      </c>
      <c r="C725">
        <v>30</v>
      </c>
    </row>
    <row r="726" spans="1:3" x14ac:dyDescent="0.25">
      <c r="A726" s="1" t="s">
        <v>866</v>
      </c>
      <c r="B726">
        <v>656</v>
      </c>
      <c r="C726">
        <v>90</v>
      </c>
    </row>
    <row r="727" spans="1:3" x14ac:dyDescent="0.25">
      <c r="A727" s="1" t="s">
        <v>867</v>
      </c>
      <c r="B727">
        <v>350</v>
      </c>
    </row>
    <row r="728" spans="1:3" x14ac:dyDescent="0.25">
      <c r="A728" s="1" t="s">
        <v>868</v>
      </c>
      <c r="B728">
        <v>413</v>
      </c>
      <c r="C728">
        <v>130</v>
      </c>
    </row>
    <row r="729" spans="1:3" x14ac:dyDescent="0.25">
      <c r="A729" s="1" t="s">
        <v>869</v>
      </c>
      <c r="B729">
        <v>41</v>
      </c>
      <c r="C729">
        <v>21</v>
      </c>
    </row>
    <row r="730" spans="1:3" x14ac:dyDescent="0.25">
      <c r="A730" s="1" t="s">
        <v>871</v>
      </c>
      <c r="B730">
        <v>45</v>
      </c>
    </row>
    <row r="731" spans="1:3" x14ac:dyDescent="0.25">
      <c r="A731" s="1" t="s">
        <v>872</v>
      </c>
      <c r="B731">
        <v>204</v>
      </c>
      <c r="C731">
        <v>300</v>
      </c>
    </row>
    <row r="732" spans="1:3" x14ac:dyDescent="0.25">
      <c r="A732" s="1" t="s">
        <v>873</v>
      </c>
      <c r="B732">
        <v>82</v>
      </c>
      <c r="C732">
        <v>198</v>
      </c>
    </row>
    <row r="733" spans="1:3" x14ac:dyDescent="0.25">
      <c r="A733" s="1" t="s">
        <v>874</v>
      </c>
      <c r="B733">
        <v>30</v>
      </c>
      <c r="C733">
        <v>18</v>
      </c>
    </row>
    <row r="734" spans="1:3" x14ac:dyDescent="0.25">
      <c r="A734" s="1" t="s">
        <v>876</v>
      </c>
      <c r="B734">
        <v>266</v>
      </c>
      <c r="C734">
        <v>80</v>
      </c>
    </row>
    <row r="735" spans="1:3" x14ac:dyDescent="0.25">
      <c r="A735" s="1" t="s">
        <v>876</v>
      </c>
      <c r="B735">
        <v>266</v>
      </c>
      <c r="C735">
        <v>19</v>
      </c>
    </row>
    <row r="736" spans="1:3" x14ac:dyDescent="0.25">
      <c r="A736" s="1" t="s">
        <v>876</v>
      </c>
      <c r="B736">
        <v>186</v>
      </c>
      <c r="C736">
        <v>150</v>
      </c>
    </row>
    <row r="737" spans="1:3" x14ac:dyDescent="0.25">
      <c r="A737" s="1" t="s">
        <v>877</v>
      </c>
      <c r="B737">
        <v>1200</v>
      </c>
      <c r="C737">
        <v>250</v>
      </c>
    </row>
    <row r="738" spans="1:3" x14ac:dyDescent="0.25">
      <c r="A738" s="1" t="s">
        <v>880</v>
      </c>
      <c r="B738">
        <v>197</v>
      </c>
    </row>
    <row r="739" spans="1:3" x14ac:dyDescent="0.25">
      <c r="A739" s="1" t="s">
        <v>881</v>
      </c>
      <c r="B739">
        <v>97</v>
      </c>
      <c r="C739">
        <v>22</v>
      </c>
    </row>
    <row r="740" spans="1:3" x14ac:dyDescent="0.25">
      <c r="A740" s="1" t="s">
        <v>882</v>
      </c>
      <c r="B740">
        <v>178</v>
      </c>
      <c r="C740">
        <v>55</v>
      </c>
    </row>
    <row r="741" spans="1:3" x14ac:dyDescent="0.25">
      <c r="A741" s="1" t="s">
        <v>883</v>
      </c>
      <c r="B741">
        <v>21</v>
      </c>
    </row>
    <row r="742" spans="1:3" x14ac:dyDescent="0.25">
      <c r="A742" s="1" t="s">
        <v>884</v>
      </c>
      <c r="B742">
        <v>122</v>
      </c>
    </row>
    <row r="743" spans="1:3" x14ac:dyDescent="0.25">
      <c r="A743" s="1" t="s">
        <v>885</v>
      </c>
      <c r="B743">
        <v>800</v>
      </c>
      <c r="C743">
        <v>530</v>
      </c>
    </row>
    <row r="744" spans="1:3" x14ac:dyDescent="0.25">
      <c r="A744" s="1" t="s">
        <v>887</v>
      </c>
      <c r="B744">
        <v>75</v>
      </c>
      <c r="C744">
        <v>800</v>
      </c>
    </row>
    <row r="745" spans="1:3" x14ac:dyDescent="0.25">
      <c r="A745" s="1" t="s">
        <v>888</v>
      </c>
      <c r="B745">
        <v>4800</v>
      </c>
      <c r="C745">
        <v>430</v>
      </c>
    </row>
    <row r="746" spans="1:3" x14ac:dyDescent="0.25">
      <c r="A746" s="1" t="s">
        <v>889</v>
      </c>
      <c r="B746">
        <v>12</v>
      </c>
      <c r="C746">
        <v>20</v>
      </c>
    </row>
    <row r="747" spans="1:3" x14ac:dyDescent="0.25">
      <c r="A747" s="1" t="s">
        <v>889</v>
      </c>
      <c r="B747">
        <v>12</v>
      </c>
      <c r="C747">
        <v>54</v>
      </c>
    </row>
    <row r="748" spans="1:3" x14ac:dyDescent="0.25">
      <c r="A748" s="1" t="s">
        <v>890</v>
      </c>
      <c r="B748">
        <v>54</v>
      </c>
    </row>
    <row r="749" spans="1:3" x14ac:dyDescent="0.25">
      <c r="A749" s="1" t="s">
        <v>891</v>
      </c>
      <c r="B749">
        <v>583</v>
      </c>
      <c r="C749">
        <v>80</v>
      </c>
    </row>
    <row r="750" spans="1:3" x14ac:dyDescent="0.25">
      <c r="A750" s="1" t="s">
        <v>893</v>
      </c>
      <c r="B750">
        <v>16</v>
      </c>
      <c r="C750">
        <v>70</v>
      </c>
    </row>
    <row r="751" spans="1:3" x14ac:dyDescent="0.25">
      <c r="A751" s="1" t="s">
        <v>894</v>
      </c>
      <c r="B751">
        <v>6</v>
      </c>
    </row>
    <row r="752" spans="1:3" x14ac:dyDescent="0.25">
      <c r="A752" s="1" t="s">
        <v>895</v>
      </c>
      <c r="B752">
        <v>910</v>
      </c>
      <c r="C752">
        <v>140</v>
      </c>
    </row>
    <row r="753" spans="1:3" x14ac:dyDescent="0.25">
      <c r="A753" s="1" t="s">
        <v>896</v>
      </c>
      <c r="B753">
        <v>26</v>
      </c>
      <c r="C753">
        <v>12000</v>
      </c>
    </row>
    <row r="754" spans="1:3" x14ac:dyDescent="0.25">
      <c r="A754" s="1" t="s">
        <v>897</v>
      </c>
      <c r="B754">
        <v>288</v>
      </c>
      <c r="C754">
        <v>200</v>
      </c>
    </row>
    <row r="755" spans="1:3" x14ac:dyDescent="0.25">
      <c r="A755" s="1" t="s">
        <v>898</v>
      </c>
      <c r="B755">
        <v>3400</v>
      </c>
      <c r="C755">
        <v>100</v>
      </c>
    </row>
    <row r="756" spans="1:3" x14ac:dyDescent="0.25">
      <c r="A756" s="1" t="s">
        <v>898</v>
      </c>
      <c r="B756">
        <v>3400</v>
      </c>
      <c r="C756">
        <v>250</v>
      </c>
    </row>
    <row r="757" spans="1:3" x14ac:dyDescent="0.25">
      <c r="A757" s="1" t="s">
        <v>898</v>
      </c>
      <c r="B757">
        <v>3400</v>
      </c>
      <c r="C757">
        <v>450</v>
      </c>
    </row>
    <row r="758" spans="1:3" x14ac:dyDescent="0.25">
      <c r="A758" s="1" t="s">
        <v>898</v>
      </c>
      <c r="B758">
        <v>3400</v>
      </c>
      <c r="C758">
        <v>1500</v>
      </c>
    </row>
    <row r="759" spans="1:3" x14ac:dyDescent="0.25">
      <c r="A759" s="1" t="s">
        <v>899</v>
      </c>
      <c r="B759">
        <v>1300</v>
      </c>
      <c r="C759">
        <v>300</v>
      </c>
    </row>
    <row r="760" spans="1:3" x14ac:dyDescent="0.25">
      <c r="A760" s="1" t="s">
        <v>899</v>
      </c>
      <c r="B760">
        <v>1300</v>
      </c>
      <c r="C760">
        <v>540</v>
      </c>
    </row>
    <row r="761" spans="1:3" x14ac:dyDescent="0.25">
      <c r="A761" s="1" t="s">
        <v>900</v>
      </c>
      <c r="B761">
        <v>47</v>
      </c>
      <c r="C761">
        <v>23</v>
      </c>
    </row>
    <row r="762" spans="1:3" x14ac:dyDescent="0.25">
      <c r="A762" s="1" t="s">
        <v>901</v>
      </c>
      <c r="B762">
        <v>686</v>
      </c>
      <c r="C762">
        <v>100</v>
      </c>
    </row>
    <row r="763" spans="1:3" x14ac:dyDescent="0.25">
      <c r="A763" s="1" t="s">
        <v>901</v>
      </c>
      <c r="B763">
        <v>686</v>
      </c>
      <c r="C763">
        <v>200</v>
      </c>
    </row>
    <row r="764" spans="1:3" x14ac:dyDescent="0.25">
      <c r="A764" s="1" t="s">
        <v>902</v>
      </c>
      <c r="B764">
        <v>1300</v>
      </c>
      <c r="C764">
        <v>1300</v>
      </c>
    </row>
    <row r="765" spans="1:3" x14ac:dyDescent="0.25">
      <c r="A765" s="1" t="s">
        <v>903</v>
      </c>
      <c r="B765">
        <v>9900</v>
      </c>
      <c r="C765">
        <v>360</v>
      </c>
    </row>
    <row r="766" spans="1:3" x14ac:dyDescent="0.25">
      <c r="A766" s="1" t="s">
        <v>905</v>
      </c>
      <c r="B766">
        <v>16</v>
      </c>
    </row>
    <row r="767" spans="1:3" x14ac:dyDescent="0.25">
      <c r="A767" s="1" t="s">
        <v>906</v>
      </c>
      <c r="B767">
        <v>17</v>
      </c>
      <c r="C767">
        <v>75</v>
      </c>
    </row>
    <row r="768" spans="1:3" x14ac:dyDescent="0.25">
      <c r="A768" s="1" t="s">
        <v>908</v>
      </c>
      <c r="B768">
        <v>692</v>
      </c>
    </row>
    <row r="769" spans="1:3" x14ac:dyDescent="0.25">
      <c r="A769" s="1" t="s">
        <v>910</v>
      </c>
      <c r="B769">
        <v>7</v>
      </c>
      <c r="C769">
        <v>20</v>
      </c>
    </row>
    <row r="770" spans="1:3" x14ac:dyDescent="0.25">
      <c r="A770" s="1" t="s">
        <v>911</v>
      </c>
      <c r="B770">
        <v>214</v>
      </c>
    </row>
    <row r="771" spans="1:3" x14ac:dyDescent="0.25">
      <c r="A771" s="1" t="s">
        <v>914</v>
      </c>
      <c r="B771">
        <v>110</v>
      </c>
      <c r="C771">
        <v>120</v>
      </c>
    </row>
    <row r="772" spans="1:3" x14ac:dyDescent="0.25">
      <c r="A772" s="1" t="s">
        <v>915</v>
      </c>
      <c r="B772">
        <v>556</v>
      </c>
      <c r="C772">
        <v>104</v>
      </c>
    </row>
    <row r="773" spans="1:3" x14ac:dyDescent="0.25">
      <c r="A773" s="1" t="s">
        <v>916</v>
      </c>
      <c r="B773">
        <v>145</v>
      </c>
      <c r="C773">
        <v>60</v>
      </c>
    </row>
    <row r="774" spans="1:3" x14ac:dyDescent="0.25">
      <c r="A774" s="1" t="s">
        <v>917</v>
      </c>
      <c r="B774">
        <v>190</v>
      </c>
      <c r="C774">
        <v>50</v>
      </c>
    </row>
    <row r="775" spans="1:3" x14ac:dyDescent="0.25">
      <c r="A775" s="1" t="s">
        <v>918</v>
      </c>
      <c r="B775">
        <v>1400</v>
      </c>
      <c r="C775">
        <v>500</v>
      </c>
    </row>
    <row r="776" spans="1:3" x14ac:dyDescent="0.25">
      <c r="A776" s="1" t="s">
        <v>918</v>
      </c>
      <c r="B776">
        <v>1400</v>
      </c>
      <c r="C776">
        <v>500</v>
      </c>
    </row>
    <row r="777" spans="1:3" x14ac:dyDescent="0.25">
      <c r="A777" s="1" t="s">
        <v>918</v>
      </c>
      <c r="B777">
        <v>1400</v>
      </c>
      <c r="C777">
        <v>2800</v>
      </c>
    </row>
    <row r="778" spans="1:3" x14ac:dyDescent="0.25">
      <c r="A778" s="1" t="s">
        <v>919</v>
      </c>
      <c r="B778">
        <v>474</v>
      </c>
    </row>
    <row r="779" spans="1:3" x14ac:dyDescent="0.25">
      <c r="A779" s="1" t="s">
        <v>920</v>
      </c>
      <c r="B779">
        <v>2300</v>
      </c>
      <c r="C779">
        <v>40</v>
      </c>
    </row>
    <row r="780" spans="1:3" x14ac:dyDescent="0.25">
      <c r="A780" s="1" t="s">
        <v>922</v>
      </c>
      <c r="B780">
        <v>550</v>
      </c>
      <c r="C780">
        <v>130</v>
      </c>
    </row>
    <row r="781" spans="1:3" x14ac:dyDescent="0.25">
      <c r="A781" s="1" t="s">
        <v>923</v>
      </c>
      <c r="B781">
        <v>24</v>
      </c>
    </row>
    <row r="782" spans="1:3" x14ac:dyDescent="0.25">
      <c r="A782" s="1" t="s">
        <v>924</v>
      </c>
      <c r="B782">
        <v>58</v>
      </c>
      <c r="C782">
        <v>90</v>
      </c>
    </row>
    <row r="783" spans="1:3" x14ac:dyDescent="0.25">
      <c r="A783" s="1" t="s">
        <v>925</v>
      </c>
      <c r="B783">
        <v>746</v>
      </c>
      <c r="C783">
        <v>126</v>
      </c>
    </row>
    <row r="784" spans="1:3" x14ac:dyDescent="0.25">
      <c r="A784" s="1" t="s">
        <v>926</v>
      </c>
      <c r="B784">
        <v>300</v>
      </c>
      <c r="C784">
        <v>467</v>
      </c>
    </row>
    <row r="785" spans="1:3" x14ac:dyDescent="0.25">
      <c r="A785" s="1" t="s">
        <v>927</v>
      </c>
      <c r="B785">
        <v>11</v>
      </c>
    </row>
    <row r="786" spans="1:3" x14ac:dyDescent="0.25">
      <c r="A786" s="1" t="s">
        <v>928</v>
      </c>
      <c r="B786">
        <v>2</v>
      </c>
    </row>
    <row r="787" spans="1:3" x14ac:dyDescent="0.25">
      <c r="A787" s="1" t="s">
        <v>929</v>
      </c>
      <c r="B787">
        <v>74</v>
      </c>
    </row>
    <row r="788" spans="1:3" x14ac:dyDescent="0.25">
      <c r="A788" s="1" t="s">
        <v>930</v>
      </c>
      <c r="B788">
        <v>191</v>
      </c>
      <c r="C788">
        <v>158</v>
      </c>
    </row>
    <row r="789" spans="1:3" x14ac:dyDescent="0.25">
      <c r="A789" s="1" t="s">
        <v>932</v>
      </c>
      <c r="B789">
        <v>58</v>
      </c>
      <c r="C789">
        <v>58</v>
      </c>
    </row>
    <row r="790" spans="1:3" x14ac:dyDescent="0.25">
      <c r="A790" s="1" t="s">
        <v>933</v>
      </c>
      <c r="B790">
        <v>349</v>
      </c>
      <c r="C790">
        <v>69</v>
      </c>
    </row>
    <row r="791" spans="1:3" x14ac:dyDescent="0.25">
      <c r="A791" s="1" t="s">
        <v>934</v>
      </c>
      <c r="B791">
        <v>7</v>
      </c>
    </row>
    <row r="792" spans="1:3" x14ac:dyDescent="0.25">
      <c r="A792" s="1" t="s">
        <v>935</v>
      </c>
      <c r="B792">
        <v>58</v>
      </c>
      <c r="C792">
        <v>5</v>
      </c>
    </row>
    <row r="793" spans="1:3" x14ac:dyDescent="0.25">
      <c r="A793" s="1" t="s">
        <v>936</v>
      </c>
      <c r="B793">
        <v>215</v>
      </c>
      <c r="C793">
        <v>50</v>
      </c>
    </row>
    <row r="794" spans="1:3" x14ac:dyDescent="0.25">
      <c r="A794" s="1" t="s">
        <v>937</v>
      </c>
      <c r="B794">
        <v>136</v>
      </c>
    </row>
    <row r="795" spans="1:3" x14ac:dyDescent="0.25">
      <c r="A795" s="1" t="s">
        <v>938</v>
      </c>
      <c r="B795">
        <v>244</v>
      </c>
      <c r="C795">
        <v>149</v>
      </c>
    </row>
    <row r="796" spans="1:3" x14ac:dyDescent="0.25">
      <c r="A796" s="1" t="s">
        <v>939</v>
      </c>
      <c r="B796">
        <v>100</v>
      </c>
      <c r="C796">
        <v>150</v>
      </c>
    </row>
    <row r="797" spans="1:3" x14ac:dyDescent="0.25">
      <c r="A797" s="1" t="s">
        <v>940</v>
      </c>
      <c r="B797">
        <v>20</v>
      </c>
      <c r="C797">
        <v>18</v>
      </c>
    </row>
    <row r="798" spans="1:3" x14ac:dyDescent="0.25">
      <c r="A798" s="1" t="s">
        <v>941</v>
      </c>
      <c r="B798">
        <v>67</v>
      </c>
      <c r="C798">
        <v>12</v>
      </c>
    </row>
    <row r="799" spans="1:3" x14ac:dyDescent="0.25">
      <c r="A799" s="1" t="s">
        <v>942</v>
      </c>
      <c r="B799">
        <v>367</v>
      </c>
      <c r="C799">
        <v>611</v>
      </c>
    </row>
    <row r="800" spans="1:3" x14ac:dyDescent="0.25">
      <c r="A800" s="1" t="s">
        <v>943</v>
      </c>
      <c r="B800">
        <v>28</v>
      </c>
    </row>
    <row r="801" spans="1:3" x14ac:dyDescent="0.25">
      <c r="A801" s="1" t="s">
        <v>944</v>
      </c>
      <c r="B801">
        <v>6</v>
      </c>
      <c r="C801">
        <v>16</v>
      </c>
    </row>
    <row r="802" spans="1:3" x14ac:dyDescent="0.25">
      <c r="A802" s="1" t="s">
        <v>946</v>
      </c>
      <c r="B802">
        <v>265</v>
      </c>
      <c r="C802">
        <v>24</v>
      </c>
    </row>
    <row r="803" spans="1:3" x14ac:dyDescent="0.25">
      <c r="A803" s="1" t="s">
        <v>948</v>
      </c>
      <c r="B803">
        <v>45</v>
      </c>
      <c r="C803">
        <v>70</v>
      </c>
    </row>
    <row r="804" spans="1:3" x14ac:dyDescent="0.25">
      <c r="A804" s="1" t="s">
        <v>949</v>
      </c>
      <c r="B804">
        <v>475</v>
      </c>
      <c r="C804">
        <v>25</v>
      </c>
    </row>
    <row r="805" spans="1:3" x14ac:dyDescent="0.25">
      <c r="A805" s="1" t="s">
        <v>950</v>
      </c>
      <c r="B805">
        <v>9</v>
      </c>
      <c r="C805">
        <v>51</v>
      </c>
    </row>
    <row r="806" spans="1:3" x14ac:dyDescent="0.25">
      <c r="A806" s="1" t="s">
        <v>951</v>
      </c>
      <c r="B806">
        <v>644</v>
      </c>
      <c r="C806">
        <v>100</v>
      </c>
    </row>
    <row r="807" spans="1:3" x14ac:dyDescent="0.25">
      <c r="A807" s="1" t="s">
        <v>952</v>
      </c>
      <c r="B807">
        <v>41</v>
      </c>
    </row>
    <row r="808" spans="1:3" x14ac:dyDescent="0.25">
      <c r="A808" s="1" t="s">
        <v>953</v>
      </c>
      <c r="B808">
        <v>1300</v>
      </c>
      <c r="C808">
        <v>70</v>
      </c>
    </row>
    <row r="809" spans="1:3" x14ac:dyDescent="0.25">
      <c r="A809" s="1" t="s">
        <v>955</v>
      </c>
      <c r="B809">
        <v>132</v>
      </c>
    </row>
    <row r="810" spans="1:3" x14ac:dyDescent="0.25">
      <c r="A810" s="1" t="s">
        <v>956</v>
      </c>
      <c r="B810">
        <v>52</v>
      </c>
      <c r="C810">
        <v>36</v>
      </c>
    </row>
    <row r="811" spans="1:3" x14ac:dyDescent="0.25">
      <c r="A811" s="1" t="s">
        <v>958</v>
      </c>
      <c r="B811">
        <v>82</v>
      </c>
      <c r="C811">
        <v>80</v>
      </c>
    </row>
    <row r="812" spans="1:3" x14ac:dyDescent="0.25">
      <c r="A812" s="1" t="s">
        <v>959</v>
      </c>
      <c r="B812">
        <v>4</v>
      </c>
      <c r="C812">
        <v>18</v>
      </c>
    </row>
    <row r="813" spans="1:3" x14ac:dyDescent="0.25">
      <c r="A813" s="1" t="s">
        <v>960</v>
      </c>
      <c r="B813">
        <v>128</v>
      </c>
    </row>
    <row r="814" spans="1:3" x14ac:dyDescent="0.25">
      <c r="A814" s="1" t="s">
        <v>961</v>
      </c>
      <c r="B814">
        <v>743</v>
      </c>
    </row>
    <row r="815" spans="1:3" x14ac:dyDescent="0.25">
      <c r="A815" s="1" t="s">
        <v>963</v>
      </c>
      <c r="B815">
        <v>160</v>
      </c>
    </row>
    <row r="816" spans="1:3" x14ac:dyDescent="0.25">
      <c r="A816" s="1" t="s">
        <v>963</v>
      </c>
      <c r="B816">
        <v>501</v>
      </c>
    </row>
    <row r="817" spans="1:3" x14ac:dyDescent="0.25">
      <c r="A817" s="1" t="s">
        <v>964</v>
      </c>
      <c r="B817">
        <v>35</v>
      </c>
      <c r="C817">
        <v>40</v>
      </c>
    </row>
    <row r="818" spans="1:3" x14ac:dyDescent="0.25">
      <c r="A818" s="1" t="s">
        <v>964</v>
      </c>
      <c r="B818">
        <v>35</v>
      </c>
      <c r="C818">
        <v>119</v>
      </c>
    </row>
    <row r="819" spans="1:3" x14ac:dyDescent="0.25">
      <c r="A819" s="1" t="s">
        <v>965</v>
      </c>
      <c r="B819">
        <v>95</v>
      </c>
      <c r="C819">
        <v>250</v>
      </c>
    </row>
    <row r="820" spans="1:3" x14ac:dyDescent="0.25">
      <c r="A820" s="1" t="s">
        <v>966</v>
      </c>
      <c r="B820">
        <v>300</v>
      </c>
      <c r="C820">
        <v>50</v>
      </c>
    </row>
    <row r="821" spans="1:3" x14ac:dyDescent="0.25">
      <c r="A821" s="1" t="s">
        <v>966</v>
      </c>
      <c r="B821">
        <v>300</v>
      </c>
      <c r="C821">
        <v>70</v>
      </c>
    </row>
    <row r="822" spans="1:3" x14ac:dyDescent="0.25">
      <c r="A822" s="1" t="s">
        <v>966</v>
      </c>
      <c r="B822">
        <v>300</v>
      </c>
      <c r="C822">
        <v>400</v>
      </c>
    </row>
    <row r="823" spans="1:3" x14ac:dyDescent="0.25">
      <c r="A823" s="1" t="s">
        <v>967</v>
      </c>
      <c r="B823">
        <v>1000</v>
      </c>
    </row>
    <row r="824" spans="1:3" x14ac:dyDescent="0.25">
      <c r="A824" s="1" t="s">
        <v>967</v>
      </c>
      <c r="B824">
        <v>1000</v>
      </c>
      <c r="C824">
        <v>138</v>
      </c>
    </row>
    <row r="825" spans="1:3" x14ac:dyDescent="0.25">
      <c r="A825" s="1" t="s">
        <v>967</v>
      </c>
      <c r="B825">
        <v>1000</v>
      </c>
      <c r="C825">
        <v>242</v>
      </c>
    </row>
    <row r="826" spans="1:3" x14ac:dyDescent="0.25">
      <c r="A826" s="1" t="s">
        <v>968</v>
      </c>
      <c r="B826">
        <v>183</v>
      </c>
    </row>
    <row r="827" spans="1:3" x14ac:dyDescent="0.25">
      <c r="A827" s="1" t="s">
        <v>969</v>
      </c>
      <c r="B827">
        <v>45</v>
      </c>
    </row>
    <row r="828" spans="1:3" x14ac:dyDescent="0.25">
      <c r="A828" s="1" t="s">
        <v>969</v>
      </c>
      <c r="B828">
        <v>45</v>
      </c>
      <c r="C828">
        <v>8</v>
      </c>
    </row>
    <row r="829" spans="1:3" x14ac:dyDescent="0.25">
      <c r="A829" s="1" t="s">
        <v>970</v>
      </c>
      <c r="B829">
        <v>30</v>
      </c>
      <c r="C829">
        <v>15</v>
      </c>
    </row>
    <row r="830" spans="1:3" x14ac:dyDescent="0.25">
      <c r="A830" s="1" t="s">
        <v>971</v>
      </c>
      <c r="B830">
        <v>127</v>
      </c>
      <c r="C830">
        <v>227</v>
      </c>
    </row>
    <row r="831" spans="1:3" x14ac:dyDescent="0.25">
      <c r="A831" s="1" t="s">
        <v>973</v>
      </c>
      <c r="B831">
        <v>613</v>
      </c>
      <c r="C831">
        <v>95</v>
      </c>
    </row>
    <row r="832" spans="1:3" x14ac:dyDescent="0.25">
      <c r="A832" s="1" t="s">
        <v>973</v>
      </c>
      <c r="B832">
        <v>613</v>
      </c>
      <c r="C832">
        <v>155</v>
      </c>
    </row>
    <row r="833" spans="1:3" x14ac:dyDescent="0.25">
      <c r="A833" s="1" t="s">
        <v>974</v>
      </c>
      <c r="B833">
        <v>43</v>
      </c>
    </row>
    <row r="834" spans="1:3" x14ac:dyDescent="0.25">
      <c r="A834" s="1" t="s">
        <v>975</v>
      </c>
      <c r="B834">
        <v>4200</v>
      </c>
      <c r="C834">
        <v>100</v>
      </c>
    </row>
    <row r="835" spans="1:3" x14ac:dyDescent="0.25">
      <c r="A835" s="1" t="s">
        <v>977</v>
      </c>
      <c r="B835">
        <v>61</v>
      </c>
      <c r="C835">
        <v>45</v>
      </c>
    </row>
    <row r="836" spans="1:3" x14ac:dyDescent="0.25">
      <c r="A836" s="1" t="s">
        <v>978</v>
      </c>
      <c r="B836">
        <v>13</v>
      </c>
    </row>
    <row r="837" spans="1:3" x14ac:dyDescent="0.25">
      <c r="A837" s="1" t="s">
        <v>979</v>
      </c>
      <c r="B837">
        <v>153</v>
      </c>
      <c r="C837">
        <v>45</v>
      </c>
    </row>
    <row r="838" spans="1:3" x14ac:dyDescent="0.25">
      <c r="A838" s="1" t="s">
        <v>979</v>
      </c>
      <c r="B838">
        <v>153</v>
      </c>
      <c r="C838">
        <v>115</v>
      </c>
    </row>
    <row r="839" spans="1:3" x14ac:dyDescent="0.25">
      <c r="A839" s="1" t="s">
        <v>980</v>
      </c>
      <c r="B839">
        <v>100</v>
      </c>
      <c r="C839">
        <v>500</v>
      </c>
    </row>
    <row r="840" spans="1:3" x14ac:dyDescent="0.25">
      <c r="A840" s="1" t="s">
        <v>981</v>
      </c>
      <c r="B840">
        <v>37</v>
      </c>
      <c r="C840">
        <v>47</v>
      </c>
    </row>
    <row r="841" spans="1:3" x14ac:dyDescent="0.25">
      <c r="A841" s="1" t="s">
        <v>982</v>
      </c>
      <c r="B841">
        <v>2</v>
      </c>
    </row>
    <row r="842" spans="1:3" x14ac:dyDescent="0.25">
      <c r="A842" s="1" t="s">
        <v>983</v>
      </c>
      <c r="B842">
        <v>4</v>
      </c>
      <c r="C842">
        <v>10</v>
      </c>
    </row>
    <row r="843" spans="1:3" x14ac:dyDescent="0.25">
      <c r="A843" s="1" t="s">
        <v>984</v>
      </c>
      <c r="B843">
        <v>40</v>
      </c>
      <c r="C843">
        <v>26</v>
      </c>
    </row>
    <row r="844" spans="1:3" x14ac:dyDescent="0.25">
      <c r="A844" s="1" t="s">
        <v>985</v>
      </c>
      <c r="B844">
        <v>6</v>
      </c>
      <c r="C844">
        <v>30</v>
      </c>
    </row>
    <row r="845" spans="1:3" x14ac:dyDescent="0.25">
      <c r="A845" s="1" t="s">
        <v>986</v>
      </c>
      <c r="B845">
        <v>2</v>
      </c>
      <c r="C845">
        <v>275</v>
      </c>
    </row>
    <row r="846" spans="1:3" x14ac:dyDescent="0.25">
      <c r="A846" s="1" t="s">
        <v>986</v>
      </c>
      <c r="B846">
        <v>2</v>
      </c>
      <c r="C846">
        <v>300</v>
      </c>
    </row>
    <row r="847" spans="1:3" x14ac:dyDescent="0.25">
      <c r="A847" s="1" t="s">
        <v>988</v>
      </c>
      <c r="B847">
        <v>269</v>
      </c>
    </row>
    <row r="848" spans="1:3" x14ac:dyDescent="0.25">
      <c r="A848" s="1" t="s">
        <v>988</v>
      </c>
      <c r="B848">
        <v>269</v>
      </c>
      <c r="C848">
        <v>30</v>
      </c>
    </row>
    <row r="849" spans="1:3" x14ac:dyDescent="0.25">
      <c r="A849" s="1" t="s">
        <v>989</v>
      </c>
      <c r="B849">
        <v>289</v>
      </c>
      <c r="C849">
        <v>100</v>
      </c>
    </row>
    <row r="850" spans="1:3" x14ac:dyDescent="0.25">
      <c r="A850" s="1" t="s">
        <v>990</v>
      </c>
      <c r="B850">
        <v>21</v>
      </c>
    </row>
    <row r="851" spans="1:3" x14ac:dyDescent="0.25">
      <c r="A851" s="1" t="s">
        <v>992</v>
      </c>
      <c r="B851">
        <v>85</v>
      </c>
      <c r="C851">
        <v>87</v>
      </c>
    </row>
    <row r="852" spans="1:3" x14ac:dyDescent="0.25">
      <c r="A852" s="1" t="s">
        <v>993</v>
      </c>
      <c r="B852">
        <v>521</v>
      </c>
    </row>
    <row r="853" spans="1:3" x14ac:dyDescent="0.25">
      <c r="A853" s="1" t="s">
        <v>994</v>
      </c>
      <c r="B853">
        <v>451</v>
      </c>
    </row>
    <row r="854" spans="1:3" x14ac:dyDescent="0.25">
      <c r="A854" s="1" t="s">
        <v>995</v>
      </c>
      <c r="B854">
        <v>275</v>
      </c>
      <c r="C854">
        <v>130</v>
      </c>
    </row>
    <row r="855" spans="1:3" x14ac:dyDescent="0.25">
      <c r="A855" s="1" t="s">
        <v>996</v>
      </c>
      <c r="B855">
        <v>7</v>
      </c>
      <c r="C855">
        <v>40</v>
      </c>
    </row>
    <row r="856" spans="1:3" x14ac:dyDescent="0.25">
      <c r="A856" s="1" t="s">
        <v>997</v>
      </c>
      <c r="B856">
        <v>200</v>
      </c>
    </row>
    <row r="857" spans="1:3" x14ac:dyDescent="0.25">
      <c r="A857" s="1" t="s">
        <v>997</v>
      </c>
      <c r="B857">
        <v>200</v>
      </c>
    </row>
    <row r="858" spans="1:3" x14ac:dyDescent="0.25">
      <c r="A858" s="1" t="s">
        <v>997</v>
      </c>
      <c r="B858">
        <v>200</v>
      </c>
      <c r="C858">
        <v>300</v>
      </c>
    </row>
    <row r="859" spans="1:3" x14ac:dyDescent="0.25">
      <c r="A859" s="1" t="s">
        <v>999</v>
      </c>
      <c r="B859">
        <v>348</v>
      </c>
      <c r="C859">
        <v>50</v>
      </c>
    </row>
    <row r="860" spans="1:3" x14ac:dyDescent="0.25">
      <c r="A860" s="1" t="s">
        <v>1000</v>
      </c>
      <c r="B860">
        <v>2100</v>
      </c>
      <c r="C860">
        <v>355</v>
      </c>
    </row>
    <row r="861" spans="1:3" x14ac:dyDescent="0.25">
      <c r="A861" s="1" t="s">
        <v>1002</v>
      </c>
      <c r="B861">
        <v>67</v>
      </c>
    </row>
    <row r="862" spans="1:3" x14ac:dyDescent="0.25">
      <c r="A862" s="1" t="s">
        <v>1003</v>
      </c>
      <c r="B862">
        <v>9</v>
      </c>
    </row>
    <row r="863" spans="1:3" x14ac:dyDescent="0.25">
      <c r="A863" s="1" t="s">
        <v>1004</v>
      </c>
      <c r="B863">
        <v>74</v>
      </c>
    </row>
    <row r="864" spans="1:3" x14ac:dyDescent="0.25">
      <c r="A864" s="1" t="s">
        <v>1005</v>
      </c>
      <c r="B864">
        <v>52</v>
      </c>
      <c r="C864">
        <v>10</v>
      </c>
    </row>
    <row r="865" spans="1:3" x14ac:dyDescent="0.25">
      <c r="A865" s="1" t="s">
        <v>1006</v>
      </c>
      <c r="B865">
        <v>28</v>
      </c>
      <c r="C865">
        <v>500</v>
      </c>
    </row>
    <row r="866" spans="1:3" x14ac:dyDescent="0.25">
      <c r="A866" s="1" t="s">
        <v>1007</v>
      </c>
      <c r="B866">
        <v>123</v>
      </c>
      <c r="C866">
        <v>38</v>
      </c>
    </row>
    <row r="867" spans="1:3" x14ac:dyDescent="0.25">
      <c r="A867" s="1" t="s">
        <v>1008</v>
      </c>
      <c r="B867">
        <v>279</v>
      </c>
    </row>
    <row r="868" spans="1:3" x14ac:dyDescent="0.25">
      <c r="A868" s="1" t="s">
        <v>1008</v>
      </c>
      <c r="B868">
        <v>279</v>
      </c>
      <c r="C868">
        <v>20</v>
      </c>
    </row>
    <row r="869" spans="1:3" x14ac:dyDescent="0.25">
      <c r="A869" s="1" t="s">
        <v>1009</v>
      </c>
      <c r="B869">
        <v>361</v>
      </c>
    </row>
    <row r="870" spans="1:3" x14ac:dyDescent="0.25">
      <c r="A870" s="1" t="s">
        <v>1010</v>
      </c>
      <c r="B870">
        <v>32</v>
      </c>
      <c r="C870">
        <v>30</v>
      </c>
    </row>
    <row r="871" spans="1:3" x14ac:dyDescent="0.25">
      <c r="A871" s="1" t="s">
        <v>1011</v>
      </c>
      <c r="B871">
        <v>229</v>
      </c>
    </row>
    <row r="872" spans="1:3" x14ac:dyDescent="0.25">
      <c r="A872" s="1" t="s">
        <v>1011</v>
      </c>
      <c r="B872">
        <v>229</v>
      </c>
      <c r="C872">
        <v>50</v>
      </c>
    </row>
    <row r="873" spans="1:3" x14ac:dyDescent="0.25">
      <c r="A873" s="1" t="s">
        <v>1012</v>
      </c>
      <c r="B873">
        <v>1900</v>
      </c>
      <c r="C873">
        <v>50</v>
      </c>
    </row>
    <row r="874" spans="1:3" x14ac:dyDescent="0.25">
      <c r="A874" s="1" t="s">
        <v>1013</v>
      </c>
      <c r="B874">
        <v>1900</v>
      </c>
      <c r="C874">
        <v>140</v>
      </c>
    </row>
    <row r="875" spans="1:3" x14ac:dyDescent="0.25">
      <c r="A875" s="1" t="s">
        <v>1014</v>
      </c>
      <c r="B875">
        <v>704</v>
      </c>
    </row>
    <row r="876" spans="1:3" x14ac:dyDescent="0.25">
      <c r="A876" s="1" t="s">
        <v>1015</v>
      </c>
      <c r="B876">
        <v>15</v>
      </c>
      <c r="C876">
        <v>9</v>
      </c>
    </row>
    <row r="877" spans="1:3" x14ac:dyDescent="0.25">
      <c r="A877" s="1" t="s">
        <v>1016</v>
      </c>
      <c r="B877">
        <v>41</v>
      </c>
      <c r="C877">
        <v>40</v>
      </c>
    </row>
    <row r="878" spans="1:3" x14ac:dyDescent="0.25">
      <c r="A878" s="1" t="s">
        <v>1017</v>
      </c>
      <c r="B878">
        <v>1200</v>
      </c>
    </row>
    <row r="879" spans="1:3" x14ac:dyDescent="0.25">
      <c r="A879" s="1" t="s">
        <v>1017</v>
      </c>
      <c r="B879">
        <v>1200</v>
      </c>
      <c r="C879">
        <v>80</v>
      </c>
    </row>
    <row r="880" spans="1:3" x14ac:dyDescent="0.25">
      <c r="A880" s="1" t="s">
        <v>1018</v>
      </c>
      <c r="B880">
        <v>222</v>
      </c>
      <c r="C880">
        <v>90</v>
      </c>
    </row>
    <row r="881" spans="1:3" x14ac:dyDescent="0.25">
      <c r="A881" s="1" t="s">
        <v>1019</v>
      </c>
      <c r="B881">
        <v>604</v>
      </c>
      <c r="C881">
        <v>50</v>
      </c>
    </row>
    <row r="882" spans="1:3" x14ac:dyDescent="0.25">
      <c r="A882" s="1" t="s">
        <v>1019</v>
      </c>
      <c r="B882">
        <v>604</v>
      </c>
      <c r="C882">
        <v>500</v>
      </c>
    </row>
    <row r="883" spans="1:3" x14ac:dyDescent="0.25">
      <c r="A883" s="1" t="s">
        <v>1020</v>
      </c>
      <c r="B883">
        <v>59</v>
      </c>
    </row>
    <row r="884" spans="1:3" x14ac:dyDescent="0.25">
      <c r="A884" s="1" t="s">
        <v>1021</v>
      </c>
      <c r="B884">
        <v>119</v>
      </c>
      <c r="C884">
        <v>65</v>
      </c>
    </row>
    <row r="885" spans="1:3" x14ac:dyDescent="0.25">
      <c r="A885" s="1" t="s">
        <v>1022</v>
      </c>
      <c r="B885">
        <v>15</v>
      </c>
    </row>
    <row r="886" spans="1:3" x14ac:dyDescent="0.25">
      <c r="A886" s="1" t="s">
        <v>1024</v>
      </c>
      <c r="B886">
        <v>88</v>
      </c>
      <c r="C886">
        <v>20</v>
      </c>
    </row>
    <row r="887" spans="1:3" x14ac:dyDescent="0.25">
      <c r="A887" s="1" t="s">
        <v>1025</v>
      </c>
      <c r="B887">
        <v>320</v>
      </c>
      <c r="C887">
        <v>50</v>
      </c>
    </row>
    <row r="888" spans="1:3" x14ac:dyDescent="0.25">
      <c r="A888" s="1" t="s">
        <v>1026</v>
      </c>
      <c r="B888">
        <v>379</v>
      </c>
      <c r="C888">
        <v>90</v>
      </c>
    </row>
    <row r="889" spans="1:3" x14ac:dyDescent="0.25">
      <c r="A889" s="1" t="s">
        <v>1026</v>
      </c>
      <c r="B889">
        <v>379</v>
      </c>
      <c r="C889">
        <v>245</v>
      </c>
    </row>
    <row r="890" spans="1:3" x14ac:dyDescent="0.25">
      <c r="A890" s="1" t="s">
        <v>1027</v>
      </c>
      <c r="B890">
        <v>295</v>
      </c>
      <c r="C890">
        <v>40</v>
      </c>
    </row>
    <row r="891" spans="1:3" x14ac:dyDescent="0.25">
      <c r="A891" s="1" t="s">
        <v>1028</v>
      </c>
      <c r="B891">
        <v>459</v>
      </c>
      <c r="C891">
        <v>43</v>
      </c>
    </row>
    <row r="892" spans="1:3" x14ac:dyDescent="0.25">
      <c r="A892" s="1" t="s">
        <v>1029</v>
      </c>
      <c r="B892">
        <v>11</v>
      </c>
    </row>
    <row r="893" spans="1:3" x14ac:dyDescent="0.25">
      <c r="A893" s="1" t="s">
        <v>1030</v>
      </c>
      <c r="B893">
        <v>179</v>
      </c>
      <c r="C893">
        <v>109</v>
      </c>
    </row>
    <row r="894" spans="1:3" x14ac:dyDescent="0.25">
      <c r="A894" s="1" t="s">
        <v>1030</v>
      </c>
      <c r="B894">
        <v>79</v>
      </c>
      <c r="C894">
        <v>130</v>
      </c>
    </row>
    <row r="895" spans="1:3" x14ac:dyDescent="0.25">
      <c r="A895" s="1" t="s">
        <v>1031</v>
      </c>
      <c r="B895">
        <v>2900</v>
      </c>
    </row>
    <row r="896" spans="1:3" x14ac:dyDescent="0.25">
      <c r="A896" s="1" t="s">
        <v>1031</v>
      </c>
      <c r="B896">
        <v>2400</v>
      </c>
      <c r="C896">
        <v>1877</v>
      </c>
    </row>
    <row r="897" spans="1:3" x14ac:dyDescent="0.25">
      <c r="A897" s="1" t="s">
        <v>1032</v>
      </c>
      <c r="B897">
        <v>8</v>
      </c>
      <c r="C897">
        <v>6</v>
      </c>
    </row>
    <row r="898" spans="1:3" x14ac:dyDescent="0.25">
      <c r="A898" s="1" t="s">
        <v>1033</v>
      </c>
      <c r="B898">
        <v>89</v>
      </c>
      <c r="C898">
        <v>150</v>
      </c>
    </row>
    <row r="899" spans="1:3" x14ac:dyDescent="0.25">
      <c r="A899" s="1" t="s">
        <v>1035</v>
      </c>
      <c r="B899">
        <v>116</v>
      </c>
      <c r="C899">
        <v>70</v>
      </c>
    </row>
    <row r="900" spans="1:3" x14ac:dyDescent="0.25">
      <c r="A900" s="1" t="s">
        <v>1035</v>
      </c>
      <c r="B900">
        <v>116</v>
      </c>
      <c r="C900">
        <v>120</v>
      </c>
    </row>
    <row r="901" spans="1:3" x14ac:dyDescent="0.25">
      <c r="A901" s="1" t="s">
        <v>1036</v>
      </c>
      <c r="B901">
        <v>40</v>
      </c>
      <c r="C901">
        <v>26</v>
      </c>
    </row>
    <row r="902" spans="1:3" x14ac:dyDescent="0.25">
      <c r="A902" s="1" t="s">
        <v>1037</v>
      </c>
      <c r="B902">
        <v>12</v>
      </c>
      <c r="C902">
        <v>201</v>
      </c>
    </row>
    <row r="903" spans="1:3" x14ac:dyDescent="0.25">
      <c r="A903" s="1" t="s">
        <v>1037</v>
      </c>
      <c r="B903">
        <v>12</v>
      </c>
      <c r="C903">
        <v>343</v>
      </c>
    </row>
    <row r="904" spans="1:3" x14ac:dyDescent="0.25">
      <c r="A904" s="1" t="s">
        <v>1038</v>
      </c>
      <c r="B904">
        <v>240</v>
      </c>
      <c r="C904">
        <v>39</v>
      </c>
    </row>
    <row r="905" spans="1:3" x14ac:dyDescent="0.25">
      <c r="A905" s="1" t="s">
        <v>1038</v>
      </c>
      <c r="B905">
        <v>240</v>
      </c>
      <c r="C905">
        <v>49</v>
      </c>
    </row>
    <row r="906" spans="1:3" x14ac:dyDescent="0.25">
      <c r="A906" s="1" t="s">
        <v>1038</v>
      </c>
      <c r="B906">
        <v>240</v>
      </c>
      <c r="C906">
        <v>124</v>
      </c>
    </row>
    <row r="907" spans="1:3" x14ac:dyDescent="0.25">
      <c r="A907" s="1" t="s">
        <v>1041</v>
      </c>
      <c r="B907">
        <v>125</v>
      </c>
      <c r="C907">
        <v>57</v>
      </c>
    </row>
    <row r="908" spans="1:3" x14ac:dyDescent="0.25">
      <c r="A908" s="1" t="s">
        <v>1043</v>
      </c>
      <c r="B908">
        <v>18</v>
      </c>
      <c r="C908">
        <v>715</v>
      </c>
    </row>
    <row r="909" spans="1:3" x14ac:dyDescent="0.25">
      <c r="A909" s="1" t="s">
        <v>1044</v>
      </c>
      <c r="B909">
        <v>350</v>
      </c>
    </row>
    <row r="910" spans="1:3" x14ac:dyDescent="0.25">
      <c r="A910" s="1" t="s">
        <v>1044</v>
      </c>
      <c r="B910">
        <v>356</v>
      </c>
    </row>
    <row r="911" spans="1:3" x14ac:dyDescent="0.25">
      <c r="A911" s="1" t="s">
        <v>1044</v>
      </c>
      <c r="B911">
        <v>356</v>
      </c>
      <c r="C911">
        <v>22</v>
      </c>
    </row>
    <row r="912" spans="1:3" x14ac:dyDescent="0.25">
      <c r="A912" s="1" t="s">
        <v>1045</v>
      </c>
      <c r="B912">
        <v>2000</v>
      </c>
      <c r="C912">
        <v>1000</v>
      </c>
    </row>
    <row r="913" spans="1:3" x14ac:dyDescent="0.25">
      <c r="A913" s="1" t="s">
        <v>1046</v>
      </c>
      <c r="B913">
        <v>23</v>
      </c>
      <c r="C913">
        <v>70</v>
      </c>
    </row>
    <row r="914" spans="1:3" x14ac:dyDescent="0.25">
      <c r="A914" s="1" t="s">
        <v>1048</v>
      </c>
      <c r="B914">
        <v>26</v>
      </c>
      <c r="C914">
        <v>50</v>
      </c>
    </row>
    <row r="915" spans="1:3" x14ac:dyDescent="0.25">
      <c r="A915" s="1" t="s">
        <v>1049</v>
      </c>
      <c r="B915">
        <v>15</v>
      </c>
      <c r="C915">
        <v>9</v>
      </c>
    </row>
    <row r="916" spans="1:3" x14ac:dyDescent="0.25">
      <c r="A916" s="1" t="s">
        <v>1050</v>
      </c>
      <c r="B916">
        <v>197</v>
      </c>
      <c r="C916">
        <v>25</v>
      </c>
    </row>
    <row r="917" spans="1:3" x14ac:dyDescent="0.25">
      <c r="A917" s="1" t="s">
        <v>1051</v>
      </c>
      <c r="B917">
        <v>30</v>
      </c>
      <c r="C917">
        <v>85</v>
      </c>
    </row>
    <row r="918" spans="1:3" x14ac:dyDescent="0.25">
      <c r="A918" s="1" t="s">
        <v>1051</v>
      </c>
      <c r="B918">
        <v>30</v>
      </c>
      <c r="C918">
        <v>140</v>
      </c>
    </row>
    <row r="919" spans="1:3" x14ac:dyDescent="0.25">
      <c r="A919" s="1" t="s">
        <v>1052</v>
      </c>
      <c r="B919">
        <v>103</v>
      </c>
      <c r="C919">
        <v>50</v>
      </c>
    </row>
    <row r="920" spans="1:3" x14ac:dyDescent="0.25">
      <c r="A920" s="1" t="s">
        <v>1053</v>
      </c>
      <c r="B920">
        <v>410</v>
      </c>
      <c r="C920">
        <v>55</v>
      </c>
    </row>
    <row r="921" spans="1:3" x14ac:dyDescent="0.25">
      <c r="A921" s="1" t="s">
        <v>1053</v>
      </c>
      <c r="B921">
        <v>410</v>
      </c>
      <c r="C921">
        <v>90</v>
      </c>
    </row>
    <row r="922" spans="1:3" x14ac:dyDescent="0.25">
      <c r="A922" s="1" t="s">
        <v>1054</v>
      </c>
      <c r="B922">
        <v>652</v>
      </c>
      <c r="C922">
        <v>200</v>
      </c>
    </row>
    <row r="923" spans="1:3" x14ac:dyDescent="0.25">
      <c r="A923" s="1" t="s">
        <v>1055</v>
      </c>
      <c r="B923">
        <v>233</v>
      </c>
      <c r="C923">
        <v>12</v>
      </c>
    </row>
    <row r="924" spans="1:3" x14ac:dyDescent="0.25">
      <c r="A924" s="1" t="s">
        <v>1056</v>
      </c>
      <c r="B924">
        <v>5100</v>
      </c>
      <c r="C924">
        <v>200</v>
      </c>
    </row>
    <row r="925" spans="1:3" x14ac:dyDescent="0.25">
      <c r="A925" s="1" t="s">
        <v>1057</v>
      </c>
      <c r="B925">
        <v>114</v>
      </c>
    </row>
    <row r="926" spans="1:3" x14ac:dyDescent="0.25">
      <c r="A926" s="1" t="s">
        <v>1058</v>
      </c>
      <c r="B926">
        <v>22</v>
      </c>
    </row>
    <row r="927" spans="1:3" x14ac:dyDescent="0.25">
      <c r="A927" s="1" t="s">
        <v>1058</v>
      </c>
      <c r="B927">
        <v>22</v>
      </c>
      <c r="C927">
        <v>208</v>
      </c>
    </row>
    <row r="928" spans="1:3" x14ac:dyDescent="0.25">
      <c r="A928" s="1" t="s">
        <v>1059</v>
      </c>
      <c r="B928">
        <v>44</v>
      </c>
    </row>
    <row r="929" spans="1:3" x14ac:dyDescent="0.25">
      <c r="A929" s="1" t="s">
        <v>1059</v>
      </c>
      <c r="B929">
        <v>24</v>
      </c>
      <c r="C929">
        <v>20</v>
      </c>
    </row>
    <row r="930" spans="1:3" x14ac:dyDescent="0.25">
      <c r="A930" s="1" t="s">
        <v>1060</v>
      </c>
      <c r="B930">
        <v>40</v>
      </c>
      <c r="C930">
        <v>35</v>
      </c>
    </row>
    <row r="931" spans="1:3" x14ac:dyDescent="0.25">
      <c r="A931" s="1" t="s">
        <v>1061</v>
      </c>
      <c r="B931">
        <v>28</v>
      </c>
      <c r="C931">
        <v>50</v>
      </c>
    </row>
    <row r="932" spans="1:3" x14ac:dyDescent="0.25">
      <c r="A932" s="1" t="s">
        <v>1062</v>
      </c>
      <c r="B932">
        <v>12</v>
      </c>
      <c r="C932">
        <v>6</v>
      </c>
    </row>
    <row r="933" spans="1:3" x14ac:dyDescent="0.25">
      <c r="A933" s="1" t="s">
        <v>1063</v>
      </c>
      <c r="B933">
        <v>118</v>
      </c>
      <c r="C933">
        <v>39</v>
      </c>
    </row>
    <row r="934" spans="1:3" x14ac:dyDescent="0.25">
      <c r="A934" s="1" t="s">
        <v>1064</v>
      </c>
      <c r="B934">
        <v>430</v>
      </c>
      <c r="C934">
        <v>50</v>
      </c>
    </row>
    <row r="935" spans="1:3" x14ac:dyDescent="0.25">
      <c r="A935" s="1" t="s">
        <v>1065</v>
      </c>
      <c r="B935">
        <v>194</v>
      </c>
    </row>
    <row r="936" spans="1:3" x14ac:dyDescent="0.25">
      <c r="A936" s="1" t="s">
        <v>1066</v>
      </c>
      <c r="B936">
        <v>1200</v>
      </c>
      <c r="C936">
        <v>900</v>
      </c>
    </row>
    <row r="937" spans="1:3" x14ac:dyDescent="0.25">
      <c r="A937" s="1" t="s">
        <v>1067</v>
      </c>
      <c r="B937">
        <v>205</v>
      </c>
      <c r="C937">
        <v>100</v>
      </c>
    </row>
    <row r="938" spans="1:3" x14ac:dyDescent="0.25">
      <c r="A938" s="1" t="s">
        <v>1068</v>
      </c>
      <c r="B938">
        <v>11</v>
      </c>
      <c r="C938">
        <v>500</v>
      </c>
    </row>
    <row r="939" spans="1:3" x14ac:dyDescent="0.25">
      <c r="A939" s="1" t="s">
        <v>1069</v>
      </c>
      <c r="B939">
        <v>416</v>
      </c>
      <c r="C939">
        <v>100</v>
      </c>
    </row>
    <row r="940" spans="1:3" x14ac:dyDescent="0.25">
      <c r="A940" s="1" t="s">
        <v>1070</v>
      </c>
      <c r="B940">
        <v>281</v>
      </c>
      <c r="C940">
        <v>72</v>
      </c>
    </row>
    <row r="941" spans="1:3" x14ac:dyDescent="0.25">
      <c r="A941" s="1" t="s">
        <v>1073</v>
      </c>
      <c r="B941">
        <v>108</v>
      </c>
    </row>
    <row r="942" spans="1:3" x14ac:dyDescent="0.25">
      <c r="A942" s="1" t="s">
        <v>1074</v>
      </c>
      <c r="B942">
        <v>2800</v>
      </c>
      <c r="C942">
        <v>390</v>
      </c>
    </row>
    <row r="943" spans="1:3" x14ac:dyDescent="0.25">
      <c r="A943" s="1" t="s">
        <v>1075</v>
      </c>
      <c r="B943">
        <v>1500</v>
      </c>
      <c r="C943">
        <v>400</v>
      </c>
    </row>
    <row r="944" spans="1:3" x14ac:dyDescent="0.25">
      <c r="A944" s="1" t="s">
        <v>1075</v>
      </c>
      <c r="B944">
        <v>1500</v>
      </c>
      <c r="C944">
        <v>900</v>
      </c>
    </row>
    <row r="945" spans="1:3" x14ac:dyDescent="0.25">
      <c r="A945" s="1" t="s">
        <v>1076</v>
      </c>
      <c r="B945">
        <v>244</v>
      </c>
      <c r="C945">
        <v>35</v>
      </c>
    </row>
    <row r="946" spans="1:3" x14ac:dyDescent="0.25">
      <c r="A946" s="1" t="s">
        <v>1077</v>
      </c>
      <c r="B946">
        <v>166</v>
      </c>
    </row>
    <row r="947" spans="1:3" x14ac:dyDescent="0.25">
      <c r="A947" s="1" t="s">
        <v>1077</v>
      </c>
      <c r="B947">
        <v>166</v>
      </c>
      <c r="C947">
        <v>75</v>
      </c>
    </row>
    <row r="948" spans="1:3" x14ac:dyDescent="0.25">
      <c r="A948" s="1" t="s">
        <v>1079</v>
      </c>
      <c r="B948">
        <v>188</v>
      </c>
    </row>
    <row r="949" spans="1:3" x14ac:dyDescent="0.25">
      <c r="A949" s="1" t="s">
        <v>1080</v>
      </c>
      <c r="B949">
        <v>17</v>
      </c>
    </row>
    <row r="950" spans="1:3" x14ac:dyDescent="0.25">
      <c r="A950" s="1" t="s">
        <v>1082</v>
      </c>
      <c r="B950">
        <v>100</v>
      </c>
    </row>
    <row r="951" spans="1:3" x14ac:dyDescent="0.25">
      <c r="A951" s="1" t="s">
        <v>1083</v>
      </c>
      <c r="B951">
        <v>169</v>
      </c>
      <c r="C951">
        <v>47</v>
      </c>
    </row>
    <row r="952" spans="1:3" x14ac:dyDescent="0.25">
      <c r="A952" s="1" t="s">
        <v>1084</v>
      </c>
      <c r="B952">
        <v>91</v>
      </c>
    </row>
    <row r="953" spans="1:3" x14ac:dyDescent="0.25">
      <c r="A953" s="1" t="s">
        <v>1085</v>
      </c>
      <c r="B953">
        <v>1200</v>
      </c>
      <c r="C953">
        <v>240</v>
      </c>
    </row>
    <row r="954" spans="1:3" x14ac:dyDescent="0.25">
      <c r="A954" s="1" t="s">
        <v>1085</v>
      </c>
      <c r="B954">
        <v>1300</v>
      </c>
      <c r="C954">
        <v>400</v>
      </c>
    </row>
    <row r="955" spans="1:3" x14ac:dyDescent="0.25">
      <c r="A955" s="1" t="s">
        <v>1085</v>
      </c>
      <c r="B955">
        <v>1600</v>
      </c>
      <c r="C955">
        <v>2434</v>
      </c>
    </row>
    <row r="956" spans="1:3" x14ac:dyDescent="0.25">
      <c r="A956" s="1" t="s">
        <v>1086</v>
      </c>
      <c r="B956">
        <v>1600</v>
      </c>
    </row>
    <row r="957" spans="1:3" x14ac:dyDescent="0.25">
      <c r="A957" s="1" t="s">
        <v>1086</v>
      </c>
      <c r="B957">
        <v>1600</v>
      </c>
      <c r="C957">
        <v>150</v>
      </c>
    </row>
    <row r="958" spans="1:3" x14ac:dyDescent="0.25">
      <c r="A958" s="1" t="s">
        <v>1087</v>
      </c>
      <c r="B958">
        <v>229</v>
      </c>
      <c r="C958">
        <v>160</v>
      </c>
    </row>
    <row r="959" spans="1:3" x14ac:dyDescent="0.25">
      <c r="A959" s="1" t="s">
        <v>1088</v>
      </c>
      <c r="B959">
        <v>8</v>
      </c>
    </row>
    <row r="960" spans="1:3" x14ac:dyDescent="0.25">
      <c r="A960" s="1" t="s">
        <v>1089</v>
      </c>
      <c r="B960">
        <v>6</v>
      </c>
    </row>
    <row r="961" spans="1:3" x14ac:dyDescent="0.25">
      <c r="A961" s="1" t="s">
        <v>1090</v>
      </c>
      <c r="B961">
        <v>227</v>
      </c>
      <c r="C961">
        <v>349</v>
      </c>
    </row>
    <row r="962" spans="1:3" x14ac:dyDescent="0.25">
      <c r="A962" s="1" t="s">
        <v>1091</v>
      </c>
      <c r="B962">
        <v>23</v>
      </c>
      <c r="C962">
        <v>18</v>
      </c>
    </row>
    <row r="963" spans="1:3" x14ac:dyDescent="0.25">
      <c r="A963" s="1" t="s">
        <v>1092</v>
      </c>
      <c r="B963">
        <v>138</v>
      </c>
      <c r="C963">
        <v>120</v>
      </c>
    </row>
    <row r="964" spans="1:3" x14ac:dyDescent="0.25">
      <c r="A964" s="1" t="s">
        <v>1093</v>
      </c>
      <c r="B964">
        <v>240</v>
      </c>
      <c r="C964">
        <v>39</v>
      </c>
    </row>
    <row r="965" spans="1:3" x14ac:dyDescent="0.25">
      <c r="A965" s="1" t="s">
        <v>1094</v>
      </c>
      <c r="B965">
        <v>10</v>
      </c>
      <c r="C965">
        <v>25</v>
      </c>
    </row>
    <row r="966" spans="1:3" x14ac:dyDescent="0.25">
      <c r="A966" s="1" t="s">
        <v>1095</v>
      </c>
      <c r="B966">
        <v>10</v>
      </c>
      <c r="C966">
        <v>8</v>
      </c>
    </row>
    <row r="967" spans="1:3" x14ac:dyDescent="0.25">
      <c r="A967" s="1" t="s">
        <v>1096</v>
      </c>
      <c r="B967">
        <v>21</v>
      </c>
    </row>
    <row r="968" spans="1:3" x14ac:dyDescent="0.25">
      <c r="A968" s="1" t="s">
        <v>1097</v>
      </c>
      <c r="B968">
        <v>804</v>
      </c>
      <c r="C968">
        <v>93</v>
      </c>
    </row>
    <row r="969" spans="1:3" x14ac:dyDescent="0.25">
      <c r="A969" s="1" t="s">
        <v>1097</v>
      </c>
      <c r="B969">
        <v>89</v>
      </c>
      <c r="C969">
        <v>124</v>
      </c>
    </row>
    <row r="970" spans="1:3" x14ac:dyDescent="0.25">
      <c r="A970" s="1" t="s">
        <v>1098</v>
      </c>
      <c r="B970">
        <v>1</v>
      </c>
      <c r="C970">
        <v>70</v>
      </c>
    </row>
    <row r="971" spans="1:3" x14ac:dyDescent="0.25">
      <c r="A971" s="1" t="s">
        <v>1098</v>
      </c>
      <c r="B971">
        <v>1</v>
      </c>
      <c r="C971">
        <v>100</v>
      </c>
    </row>
    <row r="972" spans="1:3" x14ac:dyDescent="0.25">
      <c r="A972" s="1" t="s">
        <v>1099</v>
      </c>
      <c r="B972">
        <v>11</v>
      </c>
      <c r="C972">
        <v>40</v>
      </c>
    </row>
    <row r="973" spans="1:3" x14ac:dyDescent="0.25">
      <c r="A973" s="1" t="s">
        <v>1100</v>
      </c>
      <c r="B973">
        <v>3700</v>
      </c>
      <c r="C973">
        <v>100</v>
      </c>
    </row>
    <row r="974" spans="1:3" x14ac:dyDescent="0.25">
      <c r="A974" s="1" t="s">
        <v>1100</v>
      </c>
      <c r="B974">
        <v>3700</v>
      </c>
      <c r="C974">
        <v>700</v>
      </c>
    </row>
    <row r="975" spans="1:3" x14ac:dyDescent="0.25">
      <c r="A975" s="1" t="s">
        <v>1101</v>
      </c>
      <c r="B975">
        <v>521</v>
      </c>
      <c r="C975">
        <v>300</v>
      </c>
    </row>
    <row r="976" spans="1:3" x14ac:dyDescent="0.25">
      <c r="A976" s="1" t="s">
        <v>1102</v>
      </c>
      <c r="B976">
        <v>654</v>
      </c>
      <c r="C976">
        <v>115</v>
      </c>
    </row>
    <row r="977" spans="1:3" x14ac:dyDescent="0.25">
      <c r="A977" s="1" t="s">
        <v>1103</v>
      </c>
      <c r="B977">
        <v>560</v>
      </c>
      <c r="C977">
        <v>20</v>
      </c>
    </row>
    <row r="978" spans="1:3" x14ac:dyDescent="0.25">
      <c r="A978" s="1" t="s">
        <v>1103</v>
      </c>
      <c r="B978">
        <v>560</v>
      </c>
      <c r="C978">
        <v>127</v>
      </c>
    </row>
    <row r="979" spans="1:3" x14ac:dyDescent="0.25">
      <c r="A979" s="1" t="s">
        <v>1104</v>
      </c>
      <c r="B979">
        <v>40</v>
      </c>
      <c r="C979">
        <v>15</v>
      </c>
    </row>
    <row r="980" spans="1:3" x14ac:dyDescent="0.25">
      <c r="A980" s="1" t="s">
        <v>1106</v>
      </c>
      <c r="B980">
        <v>278</v>
      </c>
    </row>
    <row r="981" spans="1:3" x14ac:dyDescent="0.25">
      <c r="A981" s="1" t="s">
        <v>1106</v>
      </c>
      <c r="B981">
        <v>278</v>
      </c>
      <c r="C981">
        <v>15</v>
      </c>
    </row>
    <row r="982" spans="1:3" x14ac:dyDescent="0.25">
      <c r="A982" s="1" t="s">
        <v>1108</v>
      </c>
      <c r="B982">
        <v>180</v>
      </c>
      <c r="C982">
        <v>70</v>
      </c>
    </row>
    <row r="983" spans="1:3" x14ac:dyDescent="0.25">
      <c r="A983" s="1" t="s">
        <v>1109</v>
      </c>
      <c r="B983">
        <v>50</v>
      </c>
      <c r="C983">
        <v>23</v>
      </c>
    </row>
    <row r="984" spans="1:3" x14ac:dyDescent="0.25">
      <c r="A984" s="1" t="s">
        <v>1109</v>
      </c>
      <c r="B984">
        <v>514</v>
      </c>
      <c r="C984">
        <v>78</v>
      </c>
    </row>
    <row r="985" spans="1:3" x14ac:dyDescent="0.25">
      <c r="A985" s="1" t="s">
        <v>1110</v>
      </c>
      <c r="B985">
        <v>706</v>
      </c>
      <c r="C985">
        <v>180</v>
      </c>
    </row>
    <row r="986" spans="1:3" x14ac:dyDescent="0.25">
      <c r="A986" s="1" t="s">
        <v>1111</v>
      </c>
      <c r="B986">
        <v>19</v>
      </c>
      <c r="C986">
        <v>12</v>
      </c>
    </row>
    <row r="987" spans="1:3" x14ac:dyDescent="0.25">
      <c r="A987" s="1" t="s">
        <v>1112</v>
      </c>
      <c r="B987">
        <v>53</v>
      </c>
      <c r="C987">
        <v>50</v>
      </c>
    </row>
    <row r="988" spans="1:3" x14ac:dyDescent="0.25">
      <c r="A988" s="1" t="s">
        <v>1113</v>
      </c>
      <c r="B988">
        <v>44</v>
      </c>
      <c r="C988">
        <v>40</v>
      </c>
    </row>
    <row r="989" spans="1:3" x14ac:dyDescent="0.25">
      <c r="A989" s="1" t="s">
        <v>1114</v>
      </c>
      <c r="B989">
        <v>134</v>
      </c>
      <c r="C989">
        <v>1100</v>
      </c>
    </row>
    <row r="990" spans="1:3" x14ac:dyDescent="0.25">
      <c r="A990" s="1" t="s">
        <v>1115</v>
      </c>
      <c r="B990">
        <v>568</v>
      </c>
      <c r="C990">
        <v>100</v>
      </c>
    </row>
    <row r="991" spans="1:3" x14ac:dyDescent="0.25">
      <c r="A991" s="1" t="s">
        <v>1115</v>
      </c>
      <c r="B991">
        <v>568</v>
      </c>
      <c r="C991">
        <v>300</v>
      </c>
    </row>
    <row r="992" spans="1:3" x14ac:dyDescent="0.25">
      <c r="A992" s="1" t="s">
        <v>1116</v>
      </c>
      <c r="B992">
        <v>91</v>
      </c>
      <c r="C992">
        <v>23</v>
      </c>
    </row>
    <row r="993" spans="1:3" x14ac:dyDescent="0.25">
      <c r="A993" s="1" t="s">
        <v>1117</v>
      </c>
      <c r="B993">
        <v>38</v>
      </c>
      <c r="C993">
        <v>90</v>
      </c>
    </row>
    <row r="994" spans="1:3" x14ac:dyDescent="0.25">
      <c r="A994" s="1" t="s">
        <v>1119</v>
      </c>
      <c r="B994">
        <v>1</v>
      </c>
    </row>
    <row r="995" spans="1:3" x14ac:dyDescent="0.25">
      <c r="A995" s="1" t="s">
        <v>1121</v>
      </c>
      <c r="B995">
        <v>183</v>
      </c>
      <c r="C995">
        <v>70</v>
      </c>
    </row>
    <row r="996" spans="1:3" x14ac:dyDescent="0.25">
      <c r="A996" s="1" t="s">
        <v>1122</v>
      </c>
      <c r="B996">
        <v>188</v>
      </c>
      <c r="C996">
        <v>36</v>
      </c>
    </row>
    <row r="997" spans="1:3" x14ac:dyDescent="0.25">
      <c r="A997" s="1" t="s">
        <v>1123</v>
      </c>
      <c r="B997">
        <v>34</v>
      </c>
      <c r="C997">
        <v>40</v>
      </c>
    </row>
    <row r="998" spans="1:3" x14ac:dyDescent="0.25">
      <c r="A998" s="1" t="s">
        <v>1124</v>
      </c>
      <c r="B998">
        <v>1900</v>
      </c>
      <c r="C998">
        <v>300</v>
      </c>
    </row>
    <row r="999" spans="1:3" x14ac:dyDescent="0.25">
      <c r="A999" s="1" t="s">
        <v>1125</v>
      </c>
      <c r="B999">
        <v>94</v>
      </c>
      <c r="C999">
        <v>13</v>
      </c>
    </row>
    <row r="1000" spans="1:3" x14ac:dyDescent="0.25">
      <c r="A1000" s="1" t="s">
        <v>1127</v>
      </c>
      <c r="B1000">
        <v>48</v>
      </c>
      <c r="C1000">
        <v>19</v>
      </c>
    </row>
    <row r="1001" spans="1:3" x14ac:dyDescent="0.25">
      <c r="A1001" s="1" t="s">
        <v>1127</v>
      </c>
      <c r="B1001">
        <v>122</v>
      </c>
      <c r="C1001">
        <v>65</v>
      </c>
    </row>
    <row r="1002" spans="1:3" x14ac:dyDescent="0.25">
      <c r="A1002" s="1" t="s">
        <v>1128</v>
      </c>
      <c r="B1002">
        <v>347</v>
      </c>
    </row>
    <row r="1003" spans="1:3" x14ac:dyDescent="0.25">
      <c r="A1003" s="1" t="s">
        <v>1128</v>
      </c>
      <c r="B1003">
        <v>347</v>
      </c>
      <c r="C1003">
        <v>110</v>
      </c>
    </row>
    <row r="1004" spans="1:3" x14ac:dyDescent="0.25">
      <c r="A1004" s="1" t="s">
        <v>1130</v>
      </c>
      <c r="B1004">
        <v>40</v>
      </c>
    </row>
    <row r="1005" spans="1:3" x14ac:dyDescent="0.25">
      <c r="A1005" s="1" t="s">
        <v>1131</v>
      </c>
      <c r="B1005">
        <v>52</v>
      </c>
      <c r="C1005">
        <v>50</v>
      </c>
    </row>
    <row r="1006" spans="1:3" x14ac:dyDescent="0.25">
      <c r="A1006" s="1" t="s">
        <v>1132</v>
      </c>
      <c r="B1006">
        <v>342</v>
      </c>
      <c r="C1006">
        <v>30</v>
      </c>
    </row>
    <row r="1007" spans="1:3" x14ac:dyDescent="0.25">
      <c r="A1007" s="1" t="s">
        <v>1132</v>
      </c>
      <c r="B1007">
        <v>152</v>
      </c>
      <c r="C1007">
        <v>60</v>
      </c>
    </row>
    <row r="1008" spans="1:3" x14ac:dyDescent="0.25">
      <c r="A1008" s="1" t="s">
        <v>1132</v>
      </c>
      <c r="B1008">
        <v>342</v>
      </c>
      <c r="C1008">
        <v>115</v>
      </c>
    </row>
    <row r="1009" spans="1:3" x14ac:dyDescent="0.25">
      <c r="A1009" s="1" t="s">
        <v>1132</v>
      </c>
      <c r="B1009">
        <v>342</v>
      </c>
      <c r="C1009">
        <v>130</v>
      </c>
    </row>
    <row r="1010" spans="1:3" x14ac:dyDescent="0.25">
      <c r="A1010" s="1" t="s">
        <v>1133</v>
      </c>
      <c r="B1010">
        <v>328</v>
      </c>
    </row>
    <row r="1011" spans="1:3" x14ac:dyDescent="0.25">
      <c r="A1011" s="1" t="s">
        <v>1133</v>
      </c>
      <c r="B1011">
        <v>328</v>
      </c>
      <c r="C1011">
        <v>13</v>
      </c>
    </row>
    <row r="1012" spans="1:3" x14ac:dyDescent="0.25">
      <c r="A1012" s="1" t="s">
        <v>1133</v>
      </c>
      <c r="B1012">
        <v>49</v>
      </c>
      <c r="C1012">
        <v>16</v>
      </c>
    </row>
    <row r="1013" spans="1:3" x14ac:dyDescent="0.25">
      <c r="A1013" s="1" t="s">
        <v>1134</v>
      </c>
      <c r="B1013">
        <v>41</v>
      </c>
      <c r="C1013">
        <v>30</v>
      </c>
    </row>
    <row r="1014" spans="1:3" x14ac:dyDescent="0.25">
      <c r="A1014" s="1" t="s">
        <v>1135</v>
      </c>
      <c r="B1014">
        <v>130</v>
      </c>
      <c r="C1014">
        <v>45</v>
      </c>
    </row>
    <row r="1015" spans="1:3" x14ac:dyDescent="0.25">
      <c r="A1015" s="1" t="s">
        <v>1137</v>
      </c>
      <c r="B1015">
        <v>62</v>
      </c>
    </row>
    <row r="1016" spans="1:3" x14ac:dyDescent="0.25">
      <c r="A1016" s="1" t="s">
        <v>1138</v>
      </c>
      <c r="B1016">
        <v>190</v>
      </c>
      <c r="C1016">
        <v>60</v>
      </c>
    </row>
    <row r="1017" spans="1:3" x14ac:dyDescent="0.25">
      <c r="A1017" s="1" t="s">
        <v>1138</v>
      </c>
      <c r="B1017">
        <v>166</v>
      </c>
      <c r="C1017">
        <v>80</v>
      </c>
    </row>
    <row r="1018" spans="1:3" x14ac:dyDescent="0.25">
      <c r="A1018" s="1" t="s">
        <v>1139</v>
      </c>
      <c r="B1018">
        <v>379</v>
      </c>
      <c r="C1018">
        <v>80</v>
      </c>
    </row>
    <row r="1019" spans="1:3" x14ac:dyDescent="0.25">
      <c r="A1019" s="1" t="s">
        <v>1140</v>
      </c>
      <c r="B1019">
        <v>71</v>
      </c>
      <c r="C1019">
        <v>56</v>
      </c>
    </row>
    <row r="1020" spans="1:3" x14ac:dyDescent="0.25">
      <c r="A1020" s="1" t="s">
        <v>1140</v>
      </c>
      <c r="B1020">
        <v>2</v>
      </c>
      <c r="C1020">
        <v>91</v>
      </c>
    </row>
    <row r="1021" spans="1:3" x14ac:dyDescent="0.25">
      <c r="A1021" s="1" t="s">
        <v>1141</v>
      </c>
      <c r="B1021">
        <v>76</v>
      </c>
    </row>
    <row r="1022" spans="1:3" x14ac:dyDescent="0.25">
      <c r="A1022" s="1" t="s">
        <v>1142</v>
      </c>
      <c r="B1022">
        <v>56</v>
      </c>
      <c r="C1022">
        <v>27</v>
      </c>
    </row>
    <row r="1023" spans="1:3" x14ac:dyDescent="0.25">
      <c r="A1023" s="1" t="s">
        <v>1143</v>
      </c>
      <c r="B1023">
        <v>103</v>
      </c>
    </row>
    <row r="1024" spans="1:3" x14ac:dyDescent="0.25">
      <c r="A1024" s="1" t="s">
        <v>1144</v>
      </c>
      <c r="B1024">
        <v>3</v>
      </c>
      <c r="C1024">
        <v>23</v>
      </c>
    </row>
    <row r="1025" spans="1:3" x14ac:dyDescent="0.25">
      <c r="A1025" s="1" t="s">
        <v>1145</v>
      </c>
      <c r="B1025">
        <v>17</v>
      </c>
      <c r="C1025">
        <v>100</v>
      </c>
    </row>
    <row r="1026" spans="1:3" x14ac:dyDescent="0.25">
      <c r="A1026" s="1" t="s">
        <v>1146</v>
      </c>
      <c r="B1026">
        <v>481</v>
      </c>
      <c r="C1026">
        <v>52</v>
      </c>
    </row>
    <row r="1027" spans="1:3" x14ac:dyDescent="0.25">
      <c r="A1027" s="1" t="s">
        <v>1147</v>
      </c>
      <c r="B1027">
        <v>59</v>
      </c>
      <c r="C1027">
        <v>100</v>
      </c>
    </row>
    <row r="1028" spans="1:3" x14ac:dyDescent="0.25">
      <c r="A1028" s="1" t="s">
        <v>1148</v>
      </c>
      <c r="B1028">
        <v>392</v>
      </c>
      <c r="C1028">
        <v>225</v>
      </c>
    </row>
    <row r="1029" spans="1:3" x14ac:dyDescent="0.25">
      <c r="A1029" s="1" t="s">
        <v>1148</v>
      </c>
      <c r="B1029">
        <v>392</v>
      </c>
      <c r="C1029">
        <v>460</v>
      </c>
    </row>
    <row r="1030" spans="1:3" x14ac:dyDescent="0.25">
      <c r="A1030" s="1" t="s">
        <v>1149</v>
      </c>
      <c r="B1030">
        <v>200</v>
      </c>
      <c r="C1030">
        <v>500</v>
      </c>
    </row>
    <row r="1031" spans="1:3" x14ac:dyDescent="0.25">
      <c r="A1031" s="1" t="s">
        <v>1153</v>
      </c>
      <c r="B1031">
        <v>90</v>
      </c>
    </row>
    <row r="1032" spans="1:3" x14ac:dyDescent="0.25">
      <c r="A1032" s="1" t="s">
        <v>1153</v>
      </c>
      <c r="B1032">
        <v>90</v>
      </c>
      <c r="C1032">
        <v>18</v>
      </c>
    </row>
    <row r="1033" spans="1:3" x14ac:dyDescent="0.25">
      <c r="A1033" s="1" t="s">
        <v>1154</v>
      </c>
      <c r="B1033">
        <v>850</v>
      </c>
    </row>
    <row r="1034" spans="1:3" x14ac:dyDescent="0.25">
      <c r="A1034" s="1" t="s">
        <v>1155</v>
      </c>
      <c r="B1034">
        <v>263</v>
      </c>
    </row>
    <row r="1035" spans="1:3" x14ac:dyDescent="0.25">
      <c r="A1035" s="1" t="s">
        <v>1156</v>
      </c>
      <c r="B1035">
        <v>114</v>
      </c>
      <c r="C1035">
        <v>30</v>
      </c>
    </row>
    <row r="1036" spans="1:3" x14ac:dyDescent="0.25">
      <c r="A1036" s="1" t="s">
        <v>1157</v>
      </c>
      <c r="B1036">
        <v>46</v>
      </c>
    </row>
    <row r="1037" spans="1:3" x14ac:dyDescent="0.25">
      <c r="A1037" s="1" t="s">
        <v>1159</v>
      </c>
      <c r="B1037">
        <v>72</v>
      </c>
      <c r="C1037">
        <v>86</v>
      </c>
    </row>
    <row r="1038" spans="1:3" x14ac:dyDescent="0.25">
      <c r="A1038" s="1" t="s">
        <v>1160</v>
      </c>
      <c r="B1038">
        <v>24</v>
      </c>
      <c r="C1038">
        <v>150</v>
      </c>
    </row>
    <row r="1039" spans="1:3" x14ac:dyDescent="0.25">
      <c r="A1039" s="1" t="s">
        <v>1161</v>
      </c>
      <c r="B1039">
        <v>20</v>
      </c>
    </row>
    <row r="1040" spans="1:3" x14ac:dyDescent="0.25">
      <c r="A1040" s="1" t="s">
        <v>1162</v>
      </c>
      <c r="B1040">
        <v>158</v>
      </c>
    </row>
    <row r="1041" spans="1:3" x14ac:dyDescent="0.25">
      <c r="A1041" s="1" t="s">
        <v>1163</v>
      </c>
      <c r="B1041">
        <v>6</v>
      </c>
      <c r="C1041">
        <v>130</v>
      </c>
    </row>
    <row r="1042" spans="1:3" x14ac:dyDescent="0.25">
      <c r="A1042" s="1" t="s">
        <v>1164</v>
      </c>
      <c r="B1042">
        <v>15</v>
      </c>
      <c r="C1042">
        <v>18</v>
      </c>
    </row>
    <row r="1043" spans="1:3" x14ac:dyDescent="0.25">
      <c r="A1043" s="1" t="s">
        <v>1164</v>
      </c>
      <c r="B1043">
        <v>15</v>
      </c>
      <c r="C1043">
        <v>22</v>
      </c>
    </row>
    <row r="1044" spans="1:3" x14ac:dyDescent="0.25">
      <c r="A1044" s="1" t="s">
        <v>1166</v>
      </c>
      <c r="B1044">
        <v>42</v>
      </c>
      <c r="C1044">
        <v>20</v>
      </c>
    </row>
    <row r="1045" spans="1:3" x14ac:dyDescent="0.25">
      <c r="A1045" s="1" t="s">
        <v>1166</v>
      </c>
      <c r="B1045">
        <v>42</v>
      </c>
      <c r="C1045">
        <v>20</v>
      </c>
    </row>
    <row r="1046" spans="1:3" x14ac:dyDescent="0.25">
      <c r="A1046" s="1" t="s">
        <v>1167</v>
      </c>
      <c r="B1046">
        <v>335</v>
      </c>
      <c r="C1046">
        <v>80</v>
      </c>
    </row>
    <row r="1047" spans="1:3" x14ac:dyDescent="0.25">
      <c r="A1047" s="1" t="s">
        <v>1169</v>
      </c>
      <c r="B1047">
        <v>1200</v>
      </c>
      <c r="C1047">
        <v>300</v>
      </c>
    </row>
    <row r="1048" spans="1:3" x14ac:dyDescent="0.25">
      <c r="A1048" s="1" t="s">
        <v>1170</v>
      </c>
      <c r="B1048">
        <v>765</v>
      </c>
      <c r="C1048">
        <v>80</v>
      </c>
    </row>
    <row r="1049" spans="1:3" x14ac:dyDescent="0.25">
      <c r="A1049" s="1" t="s">
        <v>1171</v>
      </c>
      <c r="B1049">
        <v>33</v>
      </c>
    </row>
    <row r="1050" spans="1:3" x14ac:dyDescent="0.25">
      <c r="A1050" s="1" t="s">
        <v>1173</v>
      </c>
      <c r="B1050">
        <v>154</v>
      </c>
    </row>
    <row r="1051" spans="1:3" x14ac:dyDescent="0.25">
      <c r="A1051" s="1" t="s">
        <v>1173</v>
      </c>
      <c r="B1051">
        <v>154</v>
      </c>
      <c r="C1051">
        <v>960</v>
      </c>
    </row>
    <row r="1052" spans="1:3" x14ac:dyDescent="0.25">
      <c r="A1052" s="1" t="s">
        <v>1174</v>
      </c>
      <c r="B1052">
        <v>2</v>
      </c>
      <c r="C1052">
        <v>35</v>
      </c>
    </row>
    <row r="1053" spans="1:3" x14ac:dyDescent="0.25">
      <c r="A1053" s="1" t="s">
        <v>1175</v>
      </c>
      <c r="B1053">
        <v>165</v>
      </c>
      <c r="C1053">
        <v>50</v>
      </c>
    </row>
    <row r="1054" spans="1:3" x14ac:dyDescent="0.25">
      <c r="A1054" s="1" t="s">
        <v>1176</v>
      </c>
      <c r="B1054">
        <v>22</v>
      </c>
    </row>
    <row r="1055" spans="1:3" x14ac:dyDescent="0.25">
      <c r="A1055" s="1" t="s">
        <v>1178</v>
      </c>
      <c r="B1055">
        <v>115</v>
      </c>
      <c r="C1055">
        <v>27</v>
      </c>
    </row>
    <row r="1056" spans="1:3" x14ac:dyDescent="0.25">
      <c r="A1056" s="1" t="s">
        <v>1179</v>
      </c>
      <c r="B1056">
        <v>118</v>
      </c>
      <c r="C1056">
        <v>100</v>
      </c>
    </row>
    <row r="1057" spans="1:3" x14ac:dyDescent="0.25">
      <c r="A1057" s="1" t="s">
        <v>1180</v>
      </c>
      <c r="B1057">
        <v>42</v>
      </c>
      <c r="C1057">
        <v>30</v>
      </c>
    </row>
    <row r="1058" spans="1:3" x14ac:dyDescent="0.25">
      <c r="A1058" s="1" t="s">
        <v>1180</v>
      </c>
      <c r="B1058">
        <v>42</v>
      </c>
      <c r="C1058">
        <v>193</v>
      </c>
    </row>
    <row r="1059" spans="1:3" x14ac:dyDescent="0.25">
      <c r="A1059" s="1" t="s">
        <v>1181</v>
      </c>
      <c r="B1059">
        <v>16</v>
      </c>
    </row>
    <row r="1060" spans="1:3" x14ac:dyDescent="0.25">
      <c r="A1060" s="1" t="s">
        <v>1182</v>
      </c>
      <c r="B1060">
        <v>46</v>
      </c>
      <c r="C1060">
        <v>50</v>
      </c>
    </row>
    <row r="1061" spans="1:3" x14ac:dyDescent="0.25">
      <c r="A1061" s="1" t="s">
        <v>1183</v>
      </c>
      <c r="B1061">
        <v>12</v>
      </c>
    </row>
    <row r="1062" spans="1:3" x14ac:dyDescent="0.25">
      <c r="A1062" s="1" t="s">
        <v>1184</v>
      </c>
      <c r="B1062">
        <v>157</v>
      </c>
      <c r="C1062">
        <v>450</v>
      </c>
    </row>
    <row r="1063" spans="1:3" x14ac:dyDescent="0.25">
      <c r="A1063" s="1" t="s">
        <v>1185</v>
      </c>
      <c r="B1063">
        <v>57</v>
      </c>
    </row>
    <row r="1064" spans="1:3" x14ac:dyDescent="0.25">
      <c r="A1064" s="1" t="s">
        <v>1186</v>
      </c>
      <c r="B1064">
        <v>263</v>
      </c>
      <c r="C1064">
        <v>47</v>
      </c>
    </row>
    <row r="1065" spans="1:3" x14ac:dyDescent="0.25">
      <c r="A1065" s="1" t="s">
        <v>1186</v>
      </c>
      <c r="B1065">
        <v>263</v>
      </c>
      <c r="C1065">
        <v>47</v>
      </c>
    </row>
    <row r="1066" spans="1:3" x14ac:dyDescent="0.25">
      <c r="A1066" s="1" t="s">
        <v>1186</v>
      </c>
      <c r="B1066">
        <v>788</v>
      </c>
      <c r="C1066">
        <v>159</v>
      </c>
    </row>
    <row r="1067" spans="1:3" x14ac:dyDescent="0.25">
      <c r="A1067" s="1" t="s">
        <v>1186</v>
      </c>
      <c r="B1067">
        <v>788</v>
      </c>
      <c r="C1067">
        <v>312</v>
      </c>
    </row>
    <row r="1068" spans="1:3" x14ac:dyDescent="0.25">
      <c r="A1068" s="1" t="s">
        <v>1186</v>
      </c>
      <c r="B1068">
        <v>788</v>
      </c>
      <c r="C1068">
        <v>340</v>
      </c>
    </row>
    <row r="1069" spans="1:3" x14ac:dyDescent="0.25">
      <c r="A1069" s="1" t="s">
        <v>1186</v>
      </c>
      <c r="B1069">
        <v>788</v>
      </c>
      <c r="C1069">
        <v>384</v>
      </c>
    </row>
    <row r="1070" spans="1:3" x14ac:dyDescent="0.25">
      <c r="A1070" s="1" t="s">
        <v>1187</v>
      </c>
      <c r="B1070">
        <v>17</v>
      </c>
      <c r="C1070">
        <v>32</v>
      </c>
    </row>
    <row r="1071" spans="1:3" x14ac:dyDescent="0.25">
      <c r="A1071" s="1" t="s">
        <v>1188</v>
      </c>
      <c r="B1071">
        <v>18</v>
      </c>
      <c r="C1071">
        <v>25</v>
      </c>
    </row>
    <row r="1072" spans="1:3" x14ac:dyDescent="0.25">
      <c r="A1072" s="1" t="s">
        <v>1189</v>
      </c>
      <c r="B1072">
        <v>507</v>
      </c>
      <c r="C1072">
        <v>300</v>
      </c>
    </row>
    <row r="1073" spans="1:3" x14ac:dyDescent="0.25">
      <c r="A1073" s="1" t="s">
        <v>1189</v>
      </c>
      <c r="B1073">
        <v>507</v>
      </c>
      <c r="C1073">
        <v>500</v>
      </c>
    </row>
    <row r="1074" spans="1:3" x14ac:dyDescent="0.25">
      <c r="A1074" s="1" t="s">
        <v>1191</v>
      </c>
      <c r="B1074">
        <v>56</v>
      </c>
      <c r="C1074">
        <v>76</v>
      </c>
    </row>
    <row r="1075" spans="1:3" x14ac:dyDescent="0.25">
      <c r="A1075" s="1" t="s">
        <v>1192</v>
      </c>
      <c r="B1075">
        <v>81</v>
      </c>
      <c r="C1075">
        <v>34</v>
      </c>
    </row>
    <row r="1076" spans="1:3" x14ac:dyDescent="0.25">
      <c r="A1076" s="1" t="s">
        <v>1193</v>
      </c>
      <c r="B1076">
        <v>203</v>
      </c>
      <c r="C1076">
        <v>23</v>
      </c>
    </row>
    <row r="1077" spans="1:3" x14ac:dyDescent="0.25">
      <c r="A1077" s="1" t="s">
        <v>1193</v>
      </c>
      <c r="B1077">
        <v>203</v>
      </c>
      <c r="C1077">
        <v>34</v>
      </c>
    </row>
    <row r="1078" spans="1:3" x14ac:dyDescent="0.25">
      <c r="A1078" s="1" t="s">
        <v>1194</v>
      </c>
      <c r="B1078">
        <v>24</v>
      </c>
      <c r="C1078">
        <v>15</v>
      </c>
    </row>
    <row r="1079" spans="1:3" x14ac:dyDescent="0.25">
      <c r="A1079" s="1" t="s">
        <v>1195</v>
      </c>
      <c r="B1079">
        <v>11</v>
      </c>
      <c r="C1079">
        <v>11</v>
      </c>
    </row>
    <row r="1080" spans="1:3" x14ac:dyDescent="0.25">
      <c r="A1080" s="1" t="s">
        <v>1196</v>
      </c>
      <c r="B1080">
        <v>32</v>
      </c>
      <c r="C1080">
        <v>8</v>
      </c>
    </row>
    <row r="1081" spans="1:3" x14ac:dyDescent="0.25">
      <c r="A1081" s="1" t="s">
        <v>1197</v>
      </c>
      <c r="B1081">
        <v>9</v>
      </c>
    </row>
    <row r="1082" spans="1:3" x14ac:dyDescent="0.25">
      <c r="A1082" s="1" t="s">
        <v>1199</v>
      </c>
      <c r="B1082">
        <v>132</v>
      </c>
      <c r="C1082">
        <v>26</v>
      </c>
    </row>
    <row r="1083" spans="1:3" x14ac:dyDescent="0.25">
      <c r="A1083" s="1" t="s">
        <v>1202</v>
      </c>
      <c r="B1083">
        <v>10</v>
      </c>
    </row>
    <row r="1084" spans="1:3" x14ac:dyDescent="0.25">
      <c r="A1084" s="1" t="s">
        <v>1203</v>
      </c>
      <c r="B1084">
        <v>149</v>
      </c>
      <c r="C1084">
        <v>150</v>
      </c>
    </row>
    <row r="1085" spans="1:3" x14ac:dyDescent="0.25">
      <c r="A1085" s="1" t="s">
        <v>1204</v>
      </c>
      <c r="B1085">
        <v>72</v>
      </c>
      <c r="C1085">
        <v>60</v>
      </c>
    </row>
    <row r="1086" spans="1:3" x14ac:dyDescent="0.25">
      <c r="A1086" s="1" t="s">
        <v>1205</v>
      </c>
      <c r="B1086">
        <v>13</v>
      </c>
      <c r="C1086">
        <v>330</v>
      </c>
    </row>
    <row r="1087" spans="1:3" x14ac:dyDescent="0.25">
      <c r="A1087" s="1" t="s">
        <v>1206</v>
      </c>
      <c r="B1087">
        <v>245</v>
      </c>
      <c r="C1087">
        <v>30</v>
      </c>
    </row>
    <row r="1088" spans="1:3" x14ac:dyDescent="0.25">
      <c r="A1088" s="1" t="s">
        <v>1207</v>
      </c>
      <c r="B1088">
        <v>31</v>
      </c>
      <c r="C1088">
        <v>44</v>
      </c>
    </row>
    <row r="1089" spans="1:3" x14ac:dyDescent="0.25">
      <c r="A1089" s="1" t="s">
        <v>1208</v>
      </c>
      <c r="B1089">
        <v>4900</v>
      </c>
      <c r="C1089">
        <v>60</v>
      </c>
    </row>
    <row r="1090" spans="1:3" x14ac:dyDescent="0.25">
      <c r="A1090" s="1" t="s">
        <v>1208</v>
      </c>
      <c r="B1090">
        <v>4900</v>
      </c>
      <c r="C1090">
        <v>700</v>
      </c>
    </row>
    <row r="1091" spans="1:3" x14ac:dyDescent="0.25">
      <c r="A1091" s="1" t="s">
        <v>1208</v>
      </c>
      <c r="B1091">
        <v>4900</v>
      </c>
      <c r="C1091">
        <v>982</v>
      </c>
    </row>
    <row r="1092" spans="1:3" x14ac:dyDescent="0.25">
      <c r="A1092" s="1" t="s">
        <v>1209</v>
      </c>
      <c r="B1092">
        <v>179</v>
      </c>
      <c r="C1092">
        <v>100</v>
      </c>
    </row>
    <row r="1093" spans="1:3" x14ac:dyDescent="0.25">
      <c r="A1093" s="1" t="s">
        <v>1210</v>
      </c>
      <c r="B1093">
        <v>144</v>
      </c>
      <c r="C1093">
        <v>50</v>
      </c>
    </row>
    <row r="1094" spans="1:3" x14ac:dyDescent="0.25">
      <c r="A1094" s="1" t="s">
        <v>1211</v>
      </c>
      <c r="B1094">
        <v>58</v>
      </c>
    </row>
    <row r="1095" spans="1:3" x14ac:dyDescent="0.25">
      <c r="A1095" s="1" t="s">
        <v>1212</v>
      </c>
      <c r="B1095">
        <v>323</v>
      </c>
      <c r="C1095">
        <v>38</v>
      </c>
    </row>
    <row r="1096" spans="1:3" x14ac:dyDescent="0.25">
      <c r="A1096" s="1" t="s">
        <v>1213</v>
      </c>
      <c r="B1096">
        <v>136</v>
      </c>
    </row>
    <row r="1097" spans="1:3" x14ac:dyDescent="0.25">
      <c r="A1097" s="1" t="s">
        <v>1214</v>
      </c>
      <c r="B1097">
        <v>16</v>
      </c>
    </row>
    <row r="1098" spans="1:3" x14ac:dyDescent="0.25">
      <c r="A1098" s="1" t="s">
        <v>1215</v>
      </c>
      <c r="B1098">
        <v>338</v>
      </c>
      <c r="C1098">
        <v>60</v>
      </c>
    </row>
    <row r="1099" spans="1:3" x14ac:dyDescent="0.25">
      <c r="A1099" s="1" t="s">
        <v>1216</v>
      </c>
      <c r="B1099">
        <v>170</v>
      </c>
      <c r="C1099">
        <v>22</v>
      </c>
    </row>
    <row r="1100" spans="1:3" x14ac:dyDescent="0.25">
      <c r="A1100" s="1" t="s">
        <v>1217</v>
      </c>
      <c r="B1100">
        <v>2600</v>
      </c>
      <c r="C1100">
        <v>1000</v>
      </c>
    </row>
    <row r="1101" spans="1:3" x14ac:dyDescent="0.25">
      <c r="A1101" s="1" t="s">
        <v>1218</v>
      </c>
      <c r="B1101">
        <v>300</v>
      </c>
      <c r="C1101">
        <v>250</v>
      </c>
    </row>
    <row r="1102" spans="1:3" x14ac:dyDescent="0.25">
      <c r="A1102" s="1" t="s">
        <v>1220</v>
      </c>
      <c r="B1102">
        <v>400</v>
      </c>
    </row>
    <row r="1103" spans="1:3" x14ac:dyDescent="0.25">
      <c r="A1103" s="1" t="s">
        <v>1221</v>
      </c>
      <c r="B1103">
        <v>64</v>
      </c>
      <c r="C1103">
        <v>45</v>
      </c>
    </row>
    <row r="1104" spans="1:3" x14ac:dyDescent="0.25">
      <c r="A1104" s="1" t="s">
        <v>1223</v>
      </c>
      <c r="B1104">
        <v>548</v>
      </c>
      <c r="C1104">
        <v>350</v>
      </c>
    </row>
    <row r="1105" spans="1:3" x14ac:dyDescent="0.25">
      <c r="A1105" s="1" t="s">
        <v>1223</v>
      </c>
      <c r="B1105">
        <v>548</v>
      </c>
      <c r="C1105">
        <v>350</v>
      </c>
    </row>
    <row r="1106" spans="1:3" x14ac:dyDescent="0.25">
      <c r="A1106" s="1" t="s">
        <v>1224</v>
      </c>
      <c r="B1106">
        <v>10</v>
      </c>
      <c r="C1106">
        <v>12</v>
      </c>
    </row>
    <row r="1107" spans="1:3" x14ac:dyDescent="0.25">
      <c r="A1107" s="1" t="s">
        <v>1225</v>
      </c>
      <c r="B1107">
        <v>80</v>
      </c>
      <c r="C1107">
        <v>125</v>
      </c>
    </row>
    <row r="1108" spans="1:3" x14ac:dyDescent="0.25">
      <c r="A1108" s="1" t="s">
        <v>1226</v>
      </c>
      <c r="B1108">
        <v>227</v>
      </c>
    </row>
    <row r="1109" spans="1:3" x14ac:dyDescent="0.25">
      <c r="A1109" s="1" t="s">
        <v>1226</v>
      </c>
      <c r="B1109">
        <v>334</v>
      </c>
      <c r="C1109">
        <v>64</v>
      </c>
    </row>
    <row r="1110" spans="1:3" x14ac:dyDescent="0.25">
      <c r="A1110" s="1" t="s">
        <v>1227</v>
      </c>
      <c r="B1110">
        <v>1</v>
      </c>
    </row>
    <row r="1111" spans="1:3" x14ac:dyDescent="0.25">
      <c r="A1111" s="1" t="s">
        <v>1228</v>
      </c>
      <c r="B1111">
        <v>245</v>
      </c>
    </row>
    <row r="1112" spans="1:3" x14ac:dyDescent="0.25">
      <c r="A1112" s="1" t="s">
        <v>1229</v>
      </c>
      <c r="B1112">
        <v>229</v>
      </c>
    </row>
    <row r="1113" spans="1:3" x14ac:dyDescent="0.25">
      <c r="A1113" s="1" t="s">
        <v>1230</v>
      </c>
      <c r="B1113">
        <v>42</v>
      </c>
      <c r="C1113">
        <v>54</v>
      </c>
    </row>
    <row r="1114" spans="1:3" x14ac:dyDescent="0.25">
      <c r="A1114" s="1" t="s">
        <v>1231</v>
      </c>
      <c r="B1114">
        <v>3</v>
      </c>
    </row>
    <row r="1115" spans="1:3" x14ac:dyDescent="0.25">
      <c r="A1115" s="1" t="s">
        <v>1232</v>
      </c>
      <c r="B1115">
        <v>461</v>
      </c>
      <c r="C1115">
        <v>79</v>
      </c>
    </row>
    <row r="1116" spans="1:3" x14ac:dyDescent="0.25">
      <c r="A1116" s="1" t="s">
        <v>1232</v>
      </c>
      <c r="B1116">
        <v>461</v>
      </c>
      <c r="C1116">
        <v>120</v>
      </c>
    </row>
    <row r="1117" spans="1:3" x14ac:dyDescent="0.25">
      <c r="A1117" s="1" t="s">
        <v>1234</v>
      </c>
      <c r="B1117">
        <v>100</v>
      </c>
      <c r="C1117">
        <v>29</v>
      </c>
    </row>
    <row r="1118" spans="1:3" x14ac:dyDescent="0.25">
      <c r="A1118" s="1" t="s">
        <v>1235</v>
      </c>
      <c r="B1118">
        <v>114</v>
      </c>
      <c r="C1118">
        <v>90</v>
      </c>
    </row>
    <row r="1119" spans="1:3" x14ac:dyDescent="0.25">
      <c r="A1119" s="1" t="s">
        <v>1236</v>
      </c>
      <c r="B1119">
        <v>77</v>
      </c>
      <c r="C1119">
        <v>31</v>
      </c>
    </row>
    <row r="1120" spans="1:3" x14ac:dyDescent="0.25">
      <c r="A1120" s="1" t="s">
        <v>1237</v>
      </c>
      <c r="B1120">
        <v>854</v>
      </c>
    </row>
    <row r="1121" spans="1:3" x14ac:dyDescent="0.25">
      <c r="A1121" s="1" t="s">
        <v>1239</v>
      </c>
      <c r="B1121">
        <v>214</v>
      </c>
      <c r="C1121">
        <v>90</v>
      </c>
    </row>
    <row r="1122" spans="1:3" x14ac:dyDescent="0.25">
      <c r="A1122" s="1" t="s">
        <v>1239</v>
      </c>
      <c r="B1122">
        <v>214</v>
      </c>
      <c r="C1122">
        <v>100</v>
      </c>
    </row>
    <row r="1123" spans="1:3" x14ac:dyDescent="0.25">
      <c r="A1123" s="1" t="s">
        <v>1241</v>
      </c>
      <c r="B1123">
        <v>325</v>
      </c>
      <c r="C1123">
        <v>59</v>
      </c>
    </row>
    <row r="1124" spans="1:3" x14ac:dyDescent="0.25">
      <c r="A1124" s="1" t="s">
        <v>1242</v>
      </c>
      <c r="B1124">
        <v>607</v>
      </c>
      <c r="C1124">
        <v>53</v>
      </c>
    </row>
    <row r="1125" spans="1:3" x14ac:dyDescent="0.25">
      <c r="A1125" s="1" t="s">
        <v>1243</v>
      </c>
      <c r="B1125">
        <v>192</v>
      </c>
      <c r="C1125">
        <v>200</v>
      </c>
    </row>
    <row r="1126" spans="1:3" x14ac:dyDescent="0.25">
      <c r="A1126" s="1" t="s">
        <v>1244</v>
      </c>
      <c r="B1126">
        <v>132</v>
      </c>
    </row>
    <row r="1127" spans="1:3" x14ac:dyDescent="0.25">
      <c r="A1127" s="1" t="s">
        <v>1244</v>
      </c>
      <c r="B1127">
        <v>163</v>
      </c>
    </row>
    <row r="1128" spans="1:3" x14ac:dyDescent="0.25">
      <c r="A1128" s="1" t="s">
        <v>1245</v>
      </c>
      <c r="B1128">
        <v>100</v>
      </c>
    </row>
    <row r="1129" spans="1:3" x14ac:dyDescent="0.25">
      <c r="A1129" s="1" t="s">
        <v>1245</v>
      </c>
      <c r="B1129">
        <v>100</v>
      </c>
    </row>
    <row r="1130" spans="1:3" x14ac:dyDescent="0.25">
      <c r="A1130" s="1" t="s">
        <v>1245</v>
      </c>
      <c r="B1130">
        <v>100</v>
      </c>
    </row>
    <row r="1131" spans="1:3" x14ac:dyDescent="0.25">
      <c r="A1131" s="1" t="s">
        <v>1246</v>
      </c>
      <c r="B1131">
        <v>293</v>
      </c>
      <c r="C1131">
        <v>350</v>
      </c>
    </row>
    <row r="1132" spans="1:3" x14ac:dyDescent="0.25">
      <c r="A1132" s="1" t="s">
        <v>1247</v>
      </c>
      <c r="B1132">
        <v>1100</v>
      </c>
      <c r="C1132">
        <v>150</v>
      </c>
    </row>
    <row r="1133" spans="1:3" x14ac:dyDescent="0.25">
      <c r="A1133" s="1" t="s">
        <v>1247</v>
      </c>
      <c r="B1133">
        <v>215</v>
      </c>
      <c r="C1133">
        <v>200</v>
      </c>
    </row>
    <row r="1134" spans="1:3" x14ac:dyDescent="0.25">
      <c r="A1134" s="1" t="s">
        <v>1247</v>
      </c>
      <c r="B1134">
        <v>1100</v>
      </c>
      <c r="C1134">
        <v>300</v>
      </c>
    </row>
    <row r="1135" spans="1:3" x14ac:dyDescent="0.25">
      <c r="A1135" s="1" t="s">
        <v>1248</v>
      </c>
      <c r="B1135">
        <v>98</v>
      </c>
    </row>
    <row r="1136" spans="1:3" x14ac:dyDescent="0.25">
      <c r="A1136" s="1" t="s">
        <v>1249</v>
      </c>
      <c r="B1136">
        <v>28</v>
      </c>
      <c r="C1136">
        <v>36</v>
      </c>
    </row>
    <row r="1137" spans="1:3" x14ac:dyDescent="0.25">
      <c r="A1137" s="1" t="s">
        <v>1249</v>
      </c>
      <c r="B1137">
        <v>28</v>
      </c>
      <c r="C1137">
        <v>50</v>
      </c>
    </row>
    <row r="1138" spans="1:3" x14ac:dyDescent="0.25">
      <c r="A1138" s="1" t="s">
        <v>1250</v>
      </c>
      <c r="B1138">
        <v>504</v>
      </c>
      <c r="C1138">
        <v>60</v>
      </c>
    </row>
    <row r="1139" spans="1:3" x14ac:dyDescent="0.25">
      <c r="A1139" s="1" t="s">
        <v>1251</v>
      </c>
      <c r="B1139">
        <v>24</v>
      </c>
    </row>
    <row r="1140" spans="1:3" x14ac:dyDescent="0.25">
      <c r="A1140" s="1" t="s">
        <v>1253</v>
      </c>
      <c r="B1140">
        <v>185</v>
      </c>
      <c r="C1140">
        <v>201</v>
      </c>
    </row>
    <row r="1141" spans="1:3" x14ac:dyDescent="0.25">
      <c r="A1141" s="1" t="s">
        <v>1255</v>
      </c>
      <c r="B1141">
        <v>2</v>
      </c>
      <c r="C1141">
        <v>51</v>
      </c>
    </row>
    <row r="1142" spans="1:3" x14ac:dyDescent="0.25">
      <c r="A1142" s="1" t="s">
        <v>1256</v>
      </c>
      <c r="B1142">
        <v>485</v>
      </c>
    </row>
    <row r="1143" spans="1:3" x14ac:dyDescent="0.25">
      <c r="A1143" s="1" t="s">
        <v>1257</v>
      </c>
      <c r="B1143">
        <v>1100</v>
      </c>
    </row>
    <row r="1144" spans="1:3" x14ac:dyDescent="0.25">
      <c r="A1144" s="1" t="s">
        <v>1258</v>
      </c>
      <c r="B1144">
        <v>61</v>
      </c>
    </row>
    <row r="1145" spans="1:3" x14ac:dyDescent="0.25">
      <c r="A1145" s="1" t="s">
        <v>1259</v>
      </c>
      <c r="B1145">
        <v>26000</v>
      </c>
      <c r="C1145">
        <v>11000</v>
      </c>
    </row>
    <row r="1146" spans="1:3" x14ac:dyDescent="0.25">
      <c r="A1146" s="1" t="s">
        <v>1261</v>
      </c>
      <c r="B1146">
        <v>18</v>
      </c>
      <c r="C1146">
        <v>75</v>
      </c>
    </row>
    <row r="1147" spans="1:3" x14ac:dyDescent="0.25">
      <c r="A1147" s="1" t="s">
        <v>1262</v>
      </c>
      <c r="B1147">
        <v>510</v>
      </c>
      <c r="C1147">
        <v>60</v>
      </c>
    </row>
    <row r="1148" spans="1:3" x14ac:dyDescent="0.25">
      <c r="A1148" s="1" t="s">
        <v>1262</v>
      </c>
      <c r="B1148">
        <v>293</v>
      </c>
      <c r="C1148">
        <v>100</v>
      </c>
    </row>
    <row r="1149" spans="1:3" x14ac:dyDescent="0.25">
      <c r="A1149" s="1" t="s">
        <v>1263</v>
      </c>
      <c r="B1149">
        <v>41</v>
      </c>
    </row>
    <row r="1150" spans="1:3" x14ac:dyDescent="0.25">
      <c r="A1150" s="1" t="s">
        <v>1266</v>
      </c>
      <c r="B1150">
        <v>97</v>
      </c>
      <c r="C1150">
        <v>600</v>
      </c>
    </row>
    <row r="1151" spans="1:3" x14ac:dyDescent="0.25">
      <c r="A1151" s="1" t="s">
        <v>1267</v>
      </c>
      <c r="B1151">
        <v>1</v>
      </c>
    </row>
    <row r="1152" spans="1:3" x14ac:dyDescent="0.25">
      <c r="A1152" s="1" t="s">
        <v>1267</v>
      </c>
      <c r="B1152">
        <v>1</v>
      </c>
    </row>
    <row r="1153" spans="1:3" x14ac:dyDescent="0.25">
      <c r="A1153" s="1" t="s">
        <v>1267</v>
      </c>
      <c r="B1153">
        <v>1</v>
      </c>
      <c r="C1153">
        <v>10000</v>
      </c>
    </row>
    <row r="1154" spans="1:3" x14ac:dyDescent="0.25">
      <c r="A1154" s="1" t="s">
        <v>1268</v>
      </c>
      <c r="B1154">
        <v>37</v>
      </c>
    </row>
    <row r="1155" spans="1:3" x14ac:dyDescent="0.25">
      <c r="A1155" s="1" t="s">
        <v>1269</v>
      </c>
      <c r="B1155">
        <v>86</v>
      </c>
    </row>
    <row r="1156" spans="1:3" x14ac:dyDescent="0.25">
      <c r="A1156" s="1" t="s">
        <v>1270</v>
      </c>
      <c r="B1156">
        <v>114</v>
      </c>
      <c r="C1156">
        <v>400</v>
      </c>
    </row>
    <row r="1157" spans="1:3" x14ac:dyDescent="0.25">
      <c r="A1157" s="1" t="s">
        <v>1270</v>
      </c>
      <c r="B1157">
        <v>114</v>
      </c>
      <c r="C1157">
        <v>700</v>
      </c>
    </row>
    <row r="1158" spans="1:3" x14ac:dyDescent="0.25">
      <c r="A1158" s="1" t="s">
        <v>1274</v>
      </c>
      <c r="B1158">
        <v>160</v>
      </c>
      <c r="C1158">
        <v>127</v>
      </c>
    </row>
    <row r="1159" spans="1:3" x14ac:dyDescent="0.25">
      <c r="A1159" s="1" t="s">
        <v>1275</v>
      </c>
      <c r="B1159">
        <v>297</v>
      </c>
      <c r="C1159">
        <v>147</v>
      </c>
    </row>
    <row r="1160" spans="1:3" x14ac:dyDescent="0.25">
      <c r="A1160" s="1" t="s">
        <v>1276</v>
      </c>
      <c r="B1160">
        <v>160</v>
      </c>
      <c r="C1160">
        <v>50</v>
      </c>
    </row>
    <row r="1161" spans="1:3" x14ac:dyDescent="0.25">
      <c r="A1161" s="1" t="s">
        <v>1277</v>
      </c>
      <c r="B1161">
        <v>476</v>
      </c>
      <c r="C1161">
        <v>119</v>
      </c>
    </row>
    <row r="1162" spans="1:3" x14ac:dyDescent="0.25">
      <c r="A1162" s="1" t="s">
        <v>1278</v>
      </c>
      <c r="B1162">
        <v>526</v>
      </c>
      <c r="C1162">
        <v>649</v>
      </c>
    </row>
    <row r="1163" spans="1:3" x14ac:dyDescent="0.25">
      <c r="A1163" s="1" t="s">
        <v>1279</v>
      </c>
      <c r="B1163">
        <v>1700</v>
      </c>
    </row>
    <row r="1164" spans="1:3" x14ac:dyDescent="0.25">
      <c r="A1164" s="1" t="s">
        <v>1280</v>
      </c>
      <c r="B1164">
        <v>77</v>
      </c>
      <c r="C1164">
        <v>65</v>
      </c>
    </row>
    <row r="1165" spans="1:3" x14ac:dyDescent="0.25">
      <c r="A1165" s="1" t="s">
        <v>1281</v>
      </c>
      <c r="B1165">
        <v>375</v>
      </c>
      <c r="C1165">
        <v>100</v>
      </c>
    </row>
    <row r="1166" spans="1:3" x14ac:dyDescent="0.25">
      <c r="A1166" s="1" t="s">
        <v>1282</v>
      </c>
      <c r="B1166">
        <v>46</v>
      </c>
      <c r="C1166">
        <v>17</v>
      </c>
    </row>
    <row r="1167" spans="1:3" x14ac:dyDescent="0.25">
      <c r="A1167" s="1" t="s">
        <v>1282</v>
      </c>
      <c r="B1167">
        <v>81</v>
      </c>
      <c r="C1167">
        <v>25</v>
      </c>
    </row>
    <row r="1168" spans="1:3" x14ac:dyDescent="0.25">
      <c r="A1168" s="1" t="s">
        <v>1284</v>
      </c>
      <c r="B1168">
        <v>183</v>
      </c>
    </row>
    <row r="1169" spans="1:3" x14ac:dyDescent="0.25">
      <c r="A1169" s="1" t="s">
        <v>1285</v>
      </c>
      <c r="B1169">
        <v>70</v>
      </c>
    </row>
    <row r="1170" spans="1:3" x14ac:dyDescent="0.25">
      <c r="A1170" s="1" t="s">
        <v>1285</v>
      </c>
      <c r="B1170">
        <v>72</v>
      </c>
    </row>
    <row r="1171" spans="1:3" x14ac:dyDescent="0.25">
      <c r="A1171" s="1" t="s">
        <v>1286</v>
      </c>
      <c r="B1171">
        <v>472</v>
      </c>
      <c r="C1171">
        <v>40</v>
      </c>
    </row>
    <row r="1172" spans="1:3" x14ac:dyDescent="0.25">
      <c r="A1172" s="1" t="s">
        <v>1287</v>
      </c>
      <c r="B1172">
        <v>201</v>
      </c>
      <c r="C1172">
        <v>78</v>
      </c>
    </row>
    <row r="1173" spans="1:3" x14ac:dyDescent="0.25">
      <c r="A1173" s="1" t="s">
        <v>1288</v>
      </c>
      <c r="B1173">
        <v>204</v>
      </c>
    </row>
    <row r="1174" spans="1:3" x14ac:dyDescent="0.25">
      <c r="A1174" s="1" t="s">
        <v>1289</v>
      </c>
      <c r="B1174">
        <v>138</v>
      </c>
      <c r="C1174">
        <v>360</v>
      </c>
    </row>
    <row r="1175" spans="1:3" x14ac:dyDescent="0.25">
      <c r="A1175" s="1" t="s">
        <v>1290</v>
      </c>
      <c r="B1175">
        <v>1100</v>
      </c>
    </row>
    <row r="1176" spans="1:3" x14ac:dyDescent="0.25">
      <c r="A1176" s="1" t="s">
        <v>1290</v>
      </c>
      <c r="B1176">
        <v>1100</v>
      </c>
      <c r="C1176">
        <v>180</v>
      </c>
    </row>
    <row r="1177" spans="1:3" x14ac:dyDescent="0.25">
      <c r="A1177" s="1" t="s">
        <v>1291</v>
      </c>
      <c r="B1177">
        <v>80</v>
      </c>
      <c r="C1177">
        <v>35</v>
      </c>
    </row>
    <row r="1178" spans="1:3" x14ac:dyDescent="0.25">
      <c r="A1178" s="1" t="s">
        <v>1293</v>
      </c>
      <c r="B1178">
        <v>324</v>
      </c>
      <c r="C1178">
        <v>165</v>
      </c>
    </row>
    <row r="1179" spans="1:3" x14ac:dyDescent="0.25">
      <c r="A1179" s="1" t="s">
        <v>1293</v>
      </c>
      <c r="B1179">
        <v>324</v>
      </c>
      <c r="C1179">
        <v>120</v>
      </c>
    </row>
    <row r="1180" spans="1:3" x14ac:dyDescent="0.25">
      <c r="A1180" s="1" t="s">
        <v>1295</v>
      </c>
      <c r="B1180">
        <v>630</v>
      </c>
    </row>
    <row r="1181" spans="1:3" x14ac:dyDescent="0.25">
      <c r="A1181" s="1" t="s">
        <v>1298</v>
      </c>
      <c r="B1181">
        <v>91</v>
      </c>
    </row>
    <row r="1182" spans="1:3" x14ac:dyDescent="0.25">
      <c r="A1182" s="1" t="s">
        <v>1299</v>
      </c>
      <c r="B1182">
        <v>150</v>
      </c>
      <c r="C1182">
        <v>70</v>
      </c>
    </row>
    <row r="1183" spans="1:3" x14ac:dyDescent="0.25">
      <c r="A1183" s="1" t="s">
        <v>1300</v>
      </c>
      <c r="B1183">
        <v>344</v>
      </c>
    </row>
    <row r="1184" spans="1:3" x14ac:dyDescent="0.25">
      <c r="A1184" s="1" t="s">
        <v>1301</v>
      </c>
      <c r="B1184">
        <v>126</v>
      </c>
    </row>
    <row r="1185" spans="1:3" x14ac:dyDescent="0.25">
      <c r="A1185" s="1" t="s">
        <v>1303</v>
      </c>
      <c r="B1185">
        <v>567</v>
      </c>
      <c r="C1185">
        <v>237</v>
      </c>
    </row>
    <row r="1186" spans="1:3" x14ac:dyDescent="0.25">
      <c r="A1186" s="1" t="s">
        <v>1304</v>
      </c>
      <c r="B1186">
        <v>1</v>
      </c>
      <c r="C1186">
        <v>33</v>
      </c>
    </row>
    <row r="1187" spans="1:3" x14ac:dyDescent="0.25">
      <c r="A1187" s="1" t="s">
        <v>1305</v>
      </c>
      <c r="B1187">
        <v>2</v>
      </c>
      <c r="C1187">
        <v>250</v>
      </c>
    </row>
    <row r="1188" spans="1:3" x14ac:dyDescent="0.25">
      <c r="A1188" s="1" t="s">
        <v>1306</v>
      </c>
      <c r="B1188">
        <v>73</v>
      </c>
    </row>
    <row r="1189" spans="1:3" x14ac:dyDescent="0.25">
      <c r="A1189" s="1" t="s">
        <v>1307</v>
      </c>
      <c r="B1189">
        <v>13</v>
      </c>
    </row>
    <row r="1190" spans="1:3" x14ac:dyDescent="0.25">
      <c r="A1190" s="1" t="s">
        <v>1308</v>
      </c>
      <c r="B1190">
        <v>192</v>
      </c>
    </row>
    <row r="1191" spans="1:3" x14ac:dyDescent="0.25">
      <c r="A1191" s="1" t="s">
        <v>1308</v>
      </c>
      <c r="B1191">
        <v>192</v>
      </c>
      <c r="C1191">
        <v>90</v>
      </c>
    </row>
    <row r="1192" spans="1:3" x14ac:dyDescent="0.25">
      <c r="A1192" s="1" t="s">
        <v>1309</v>
      </c>
      <c r="B1192">
        <v>173</v>
      </c>
      <c r="C1192">
        <v>40</v>
      </c>
    </row>
    <row r="1193" spans="1:3" x14ac:dyDescent="0.25">
      <c r="A1193" s="1" t="s">
        <v>1310</v>
      </c>
      <c r="B1193">
        <v>450</v>
      </c>
      <c r="C1193">
        <v>200</v>
      </c>
    </row>
    <row r="1194" spans="1:3" x14ac:dyDescent="0.25">
      <c r="A1194" s="1" t="s">
        <v>1312</v>
      </c>
      <c r="B1194">
        <v>79</v>
      </c>
      <c r="C1194">
        <v>200</v>
      </c>
    </row>
    <row r="1195" spans="1:3" x14ac:dyDescent="0.25">
      <c r="A1195" s="1" t="s">
        <v>1313</v>
      </c>
      <c r="B1195">
        <v>260</v>
      </c>
    </row>
    <row r="1196" spans="1:3" x14ac:dyDescent="0.25">
      <c r="A1196" s="1" t="s">
        <v>1314</v>
      </c>
      <c r="B1196">
        <v>225</v>
      </c>
    </row>
    <row r="1197" spans="1:3" x14ac:dyDescent="0.25">
      <c r="A1197" s="1" t="s">
        <v>1315</v>
      </c>
      <c r="B1197">
        <v>782</v>
      </c>
      <c r="C1197">
        <v>9</v>
      </c>
    </row>
    <row r="1198" spans="1:3" x14ac:dyDescent="0.25">
      <c r="A1198" s="1" t="s">
        <v>1316</v>
      </c>
      <c r="B1198">
        <v>217</v>
      </c>
      <c r="C1198">
        <v>110</v>
      </c>
    </row>
    <row r="1199" spans="1:3" x14ac:dyDescent="0.25">
      <c r="A1199" s="1" t="s">
        <v>1317</v>
      </c>
      <c r="B1199">
        <v>69</v>
      </c>
      <c r="C1199">
        <v>20</v>
      </c>
    </row>
    <row r="1200" spans="1:3" x14ac:dyDescent="0.25">
      <c r="A1200" s="1" t="s">
        <v>1317</v>
      </c>
      <c r="B1200">
        <v>69</v>
      </c>
      <c r="C1200">
        <v>25</v>
      </c>
    </row>
    <row r="1201" spans="1:3" x14ac:dyDescent="0.25">
      <c r="A1201" s="1" t="s">
        <v>1318</v>
      </c>
      <c r="B1201">
        <v>731</v>
      </c>
    </row>
    <row r="1202" spans="1:3" x14ac:dyDescent="0.25">
      <c r="A1202" s="1" t="s">
        <v>1319</v>
      </c>
      <c r="B1202">
        <v>47</v>
      </c>
    </row>
    <row r="1203" spans="1:3" x14ac:dyDescent="0.25">
      <c r="A1203" s="1" t="s">
        <v>1319</v>
      </c>
      <c r="B1203">
        <v>47</v>
      </c>
      <c r="C1203">
        <v>30</v>
      </c>
    </row>
    <row r="1204" spans="1:3" x14ac:dyDescent="0.25">
      <c r="A1204" s="1" t="s">
        <v>1319</v>
      </c>
      <c r="B1204">
        <v>47</v>
      </c>
      <c r="C1204">
        <v>30</v>
      </c>
    </row>
    <row r="1205" spans="1:3" x14ac:dyDescent="0.25">
      <c r="A1205" s="1" t="s">
        <v>1320</v>
      </c>
      <c r="B1205">
        <v>809</v>
      </c>
    </row>
    <row r="1206" spans="1:3" x14ac:dyDescent="0.25">
      <c r="A1206" s="1" t="s">
        <v>1322</v>
      </c>
      <c r="B1206">
        <v>35</v>
      </c>
    </row>
    <row r="1207" spans="1:3" x14ac:dyDescent="0.25">
      <c r="A1207" s="1" t="s">
        <v>1323</v>
      </c>
      <c r="B1207">
        <v>99</v>
      </c>
      <c r="C1207">
        <v>30</v>
      </c>
    </row>
    <row r="1208" spans="1:3" x14ac:dyDescent="0.25">
      <c r="A1208" s="1" t="s">
        <v>1324</v>
      </c>
      <c r="B1208">
        <v>582</v>
      </c>
      <c r="C1208">
        <v>40</v>
      </c>
    </row>
    <row r="1209" spans="1:3" x14ac:dyDescent="0.25">
      <c r="A1209" s="1" t="s">
        <v>1327</v>
      </c>
      <c r="B1209">
        <v>1100</v>
      </c>
      <c r="C1209">
        <v>100</v>
      </c>
    </row>
    <row r="1210" spans="1:3" x14ac:dyDescent="0.25">
      <c r="A1210" s="1" t="s">
        <v>1329</v>
      </c>
      <c r="B1210">
        <v>240</v>
      </c>
    </row>
    <row r="1211" spans="1:3" x14ac:dyDescent="0.25">
      <c r="A1211" s="1" t="s">
        <v>1330</v>
      </c>
      <c r="B1211">
        <v>78</v>
      </c>
    </row>
    <row r="1212" spans="1:3" x14ac:dyDescent="0.25">
      <c r="A1212" s="1" t="s">
        <v>1331</v>
      </c>
      <c r="B1212">
        <v>15</v>
      </c>
    </row>
    <row r="1213" spans="1:3" x14ac:dyDescent="0.25">
      <c r="A1213" s="1" t="s">
        <v>1331</v>
      </c>
      <c r="B1213">
        <v>15</v>
      </c>
    </row>
    <row r="1214" spans="1:3" x14ac:dyDescent="0.25">
      <c r="A1214" s="1" t="s">
        <v>1332</v>
      </c>
      <c r="B1214">
        <v>120</v>
      </c>
      <c r="C1214">
        <v>70</v>
      </c>
    </row>
    <row r="1215" spans="1:3" x14ac:dyDescent="0.25">
      <c r="A1215" s="1" t="s">
        <v>1332</v>
      </c>
      <c r="B1215">
        <v>720</v>
      </c>
      <c r="C1215">
        <v>210</v>
      </c>
    </row>
    <row r="1216" spans="1:3" x14ac:dyDescent="0.25">
      <c r="A1216" s="1" t="s">
        <v>1333</v>
      </c>
      <c r="B1216">
        <v>150</v>
      </c>
    </row>
    <row r="1217" spans="1:3" x14ac:dyDescent="0.25">
      <c r="A1217" s="1" t="s">
        <v>1334</v>
      </c>
      <c r="B1217">
        <v>6</v>
      </c>
      <c r="C1217">
        <v>30</v>
      </c>
    </row>
    <row r="1218" spans="1:3" x14ac:dyDescent="0.25">
      <c r="A1218" s="1" t="s">
        <v>1336</v>
      </c>
      <c r="B1218">
        <v>121900</v>
      </c>
      <c r="C1218">
        <v>25</v>
      </c>
    </row>
    <row r="1219" spans="1:3" x14ac:dyDescent="0.25">
      <c r="A1219" s="1" t="s">
        <v>1336</v>
      </c>
      <c r="B1219">
        <v>121900</v>
      </c>
      <c r="C1219">
        <v>30</v>
      </c>
    </row>
    <row r="1220" spans="1:3" x14ac:dyDescent="0.25">
      <c r="A1220" s="1" t="s">
        <v>1336</v>
      </c>
      <c r="B1220">
        <v>121900</v>
      </c>
      <c r="C1220">
        <v>150</v>
      </c>
    </row>
    <row r="1221" spans="1:3" x14ac:dyDescent="0.25">
      <c r="A1221" s="1" t="s">
        <v>1336</v>
      </c>
      <c r="B1221">
        <v>121900</v>
      </c>
      <c r="C1221">
        <v>300</v>
      </c>
    </row>
    <row r="1222" spans="1:3" x14ac:dyDescent="0.25">
      <c r="A1222" s="1" t="s">
        <v>1337</v>
      </c>
      <c r="B1222">
        <v>212</v>
      </c>
      <c r="C1222">
        <v>48</v>
      </c>
    </row>
    <row r="1223" spans="1:3" x14ac:dyDescent="0.25">
      <c r="A1223" s="1" t="s">
        <v>1338</v>
      </c>
      <c r="B1223">
        <v>215</v>
      </c>
      <c r="C1223">
        <v>20</v>
      </c>
    </row>
    <row r="1224" spans="1:3" x14ac:dyDescent="0.25">
      <c r="A1224" s="1" t="s">
        <v>1338</v>
      </c>
      <c r="B1224">
        <v>214</v>
      </c>
      <c r="C1224">
        <v>110</v>
      </c>
    </row>
    <row r="1225" spans="1:3" x14ac:dyDescent="0.25">
      <c r="A1225" s="1" t="s">
        <v>1338</v>
      </c>
      <c r="B1225">
        <v>215</v>
      </c>
      <c r="C1225">
        <v>160</v>
      </c>
    </row>
    <row r="1226" spans="1:3" x14ac:dyDescent="0.25">
      <c r="A1226" s="1" t="s">
        <v>1340</v>
      </c>
      <c r="B1226">
        <v>881</v>
      </c>
      <c r="C1226">
        <v>150</v>
      </c>
    </row>
    <row r="1227" spans="1:3" x14ac:dyDescent="0.25">
      <c r="A1227" s="1" t="s">
        <v>1341</v>
      </c>
      <c r="B1227">
        <v>150</v>
      </c>
    </row>
    <row r="1228" spans="1:3" x14ac:dyDescent="0.25">
      <c r="A1228" s="1" t="s">
        <v>1342</v>
      </c>
      <c r="B1228">
        <v>200</v>
      </c>
    </row>
    <row r="1229" spans="1:3" x14ac:dyDescent="0.25">
      <c r="A1229" s="1" t="s">
        <v>1343</v>
      </c>
      <c r="B1229">
        <v>108</v>
      </c>
    </row>
    <row r="1230" spans="1:3" x14ac:dyDescent="0.25">
      <c r="A1230" s="1" t="s">
        <v>1343</v>
      </c>
      <c r="B1230">
        <v>108</v>
      </c>
    </row>
    <row r="1231" spans="1:3" x14ac:dyDescent="0.25">
      <c r="A1231" s="1" t="s">
        <v>1344</v>
      </c>
      <c r="B1231">
        <v>770</v>
      </c>
      <c r="C1231">
        <v>85</v>
      </c>
    </row>
    <row r="1232" spans="1:3" x14ac:dyDescent="0.25">
      <c r="A1232" s="1" t="s">
        <v>1345</v>
      </c>
      <c r="B1232">
        <v>194</v>
      </c>
      <c r="C1232">
        <v>200</v>
      </c>
    </row>
    <row r="1233" spans="1:3" x14ac:dyDescent="0.25">
      <c r="A1233" s="1" t="s">
        <v>1347</v>
      </c>
      <c r="B1233">
        <v>290</v>
      </c>
    </row>
    <row r="1234" spans="1:3" x14ac:dyDescent="0.25">
      <c r="A1234" s="1" t="s">
        <v>1348</v>
      </c>
      <c r="B1234">
        <v>218</v>
      </c>
      <c r="C1234">
        <v>119</v>
      </c>
    </row>
    <row r="1235" spans="1:3" x14ac:dyDescent="0.25">
      <c r="A1235" s="1" t="s">
        <v>1349</v>
      </c>
      <c r="B1235">
        <v>657</v>
      </c>
    </row>
    <row r="1236" spans="1:3" x14ac:dyDescent="0.25">
      <c r="A1236" s="1" t="s">
        <v>1349</v>
      </c>
      <c r="B1236">
        <v>657</v>
      </c>
      <c r="C1236">
        <v>495</v>
      </c>
    </row>
    <row r="1237" spans="1:3" x14ac:dyDescent="0.25">
      <c r="A1237" s="1" t="s">
        <v>1349</v>
      </c>
      <c r="B1237">
        <v>657</v>
      </c>
      <c r="C1237">
        <v>500</v>
      </c>
    </row>
    <row r="1238" spans="1:3" x14ac:dyDescent="0.25">
      <c r="A1238" s="1" t="s">
        <v>1350</v>
      </c>
      <c r="B1238">
        <v>213</v>
      </c>
      <c r="C1238">
        <v>60</v>
      </c>
    </row>
    <row r="1239" spans="1:3" x14ac:dyDescent="0.25">
      <c r="A1239" s="1" t="s">
        <v>1350</v>
      </c>
      <c r="B1239">
        <v>213</v>
      </c>
      <c r="C1239">
        <v>110</v>
      </c>
    </row>
    <row r="1240" spans="1:3" x14ac:dyDescent="0.25">
      <c r="A1240" s="1" t="s">
        <v>1351</v>
      </c>
      <c r="B1240">
        <v>41</v>
      </c>
    </row>
    <row r="1241" spans="1:3" x14ac:dyDescent="0.25">
      <c r="A1241" s="1" t="s">
        <v>1352</v>
      </c>
      <c r="B1241">
        <v>158</v>
      </c>
      <c r="C1241">
        <v>240</v>
      </c>
    </row>
    <row r="1242" spans="1:3" x14ac:dyDescent="0.25">
      <c r="A1242" s="1" t="s">
        <v>1353</v>
      </c>
      <c r="B1242">
        <v>1</v>
      </c>
      <c r="C1242">
        <v>100</v>
      </c>
    </row>
    <row r="1243" spans="1:3" x14ac:dyDescent="0.25">
      <c r="A1243" s="1" t="s">
        <v>1354</v>
      </c>
      <c r="B1243">
        <v>78</v>
      </c>
      <c r="C1243">
        <v>62</v>
      </c>
    </row>
    <row r="1244" spans="1:3" x14ac:dyDescent="0.25">
      <c r="A1244" s="1" t="s">
        <v>1357</v>
      </c>
      <c r="B1244">
        <v>85</v>
      </c>
      <c r="C1244">
        <v>20</v>
      </c>
    </row>
    <row r="1245" spans="1:3" x14ac:dyDescent="0.25">
      <c r="A1245" s="1" t="s">
        <v>1358</v>
      </c>
      <c r="B1245">
        <v>42</v>
      </c>
    </row>
    <row r="1246" spans="1:3" x14ac:dyDescent="0.25">
      <c r="A1246" s="1" t="s">
        <v>1358</v>
      </c>
      <c r="B1246">
        <v>42</v>
      </c>
      <c r="C1246">
        <v>45</v>
      </c>
    </row>
    <row r="1247" spans="1:3" x14ac:dyDescent="0.25">
      <c r="A1247" s="1" t="s">
        <v>1359</v>
      </c>
      <c r="B1247">
        <v>2100</v>
      </c>
      <c r="C1247">
        <v>7</v>
      </c>
    </row>
    <row r="1248" spans="1:3" x14ac:dyDescent="0.25">
      <c r="A1248" s="1" t="s">
        <v>1359</v>
      </c>
      <c r="B1248">
        <v>2100</v>
      </c>
      <c r="C1248">
        <v>300</v>
      </c>
    </row>
    <row r="1249" spans="1:3" x14ac:dyDescent="0.25">
      <c r="A1249" s="1" t="s">
        <v>1360</v>
      </c>
      <c r="B1249">
        <v>1100</v>
      </c>
      <c r="C1249">
        <v>270</v>
      </c>
    </row>
    <row r="1250" spans="1:3" x14ac:dyDescent="0.25">
      <c r="A1250" s="1" t="s">
        <v>1361</v>
      </c>
      <c r="B1250">
        <v>1400</v>
      </c>
      <c r="C1250">
        <v>110</v>
      </c>
    </row>
    <row r="1251" spans="1:3" x14ac:dyDescent="0.25">
      <c r="A1251" s="1" t="s">
        <v>1362</v>
      </c>
      <c r="B1251">
        <v>175</v>
      </c>
      <c r="C1251">
        <v>80</v>
      </c>
    </row>
    <row r="1252" spans="1:3" x14ac:dyDescent="0.25">
      <c r="A1252" s="1" t="s">
        <v>1363</v>
      </c>
      <c r="B1252">
        <v>58</v>
      </c>
    </row>
    <row r="1253" spans="1:3" x14ac:dyDescent="0.25">
      <c r="A1253" s="1" t="s">
        <v>1365</v>
      </c>
      <c r="B1253">
        <v>441</v>
      </c>
    </row>
    <row r="1254" spans="1:3" x14ac:dyDescent="0.25">
      <c r="A1254" s="1" t="s">
        <v>1367</v>
      </c>
      <c r="B1254">
        <v>214</v>
      </c>
    </row>
    <row r="1255" spans="1:3" x14ac:dyDescent="0.25">
      <c r="A1255" s="1" t="s">
        <v>1368</v>
      </c>
      <c r="B1255">
        <v>11</v>
      </c>
      <c r="C1255">
        <v>20</v>
      </c>
    </row>
    <row r="1256" spans="1:3" x14ac:dyDescent="0.25">
      <c r="A1256" s="1" t="s">
        <v>1369</v>
      </c>
      <c r="B1256">
        <v>8</v>
      </c>
    </row>
    <row r="1257" spans="1:3" x14ac:dyDescent="0.25">
      <c r="A1257" s="1" t="s">
        <v>1371</v>
      </c>
      <c r="B1257">
        <v>479</v>
      </c>
      <c r="C1257">
        <v>70</v>
      </c>
    </row>
    <row r="1258" spans="1:3" x14ac:dyDescent="0.25">
      <c r="A1258" s="1" t="s">
        <v>1371</v>
      </c>
      <c r="B1258">
        <v>477</v>
      </c>
      <c r="C1258">
        <v>70</v>
      </c>
    </row>
    <row r="1259" spans="1:3" x14ac:dyDescent="0.25">
      <c r="A1259" s="1" t="s">
        <v>1371</v>
      </c>
      <c r="B1259">
        <v>377</v>
      </c>
      <c r="C1259">
        <v>70</v>
      </c>
    </row>
    <row r="1260" spans="1:3" x14ac:dyDescent="0.25">
      <c r="A1260" s="1" t="s">
        <v>1374</v>
      </c>
      <c r="B1260">
        <v>355</v>
      </c>
    </row>
    <row r="1261" spans="1:3" x14ac:dyDescent="0.25">
      <c r="A1261" s="1" t="s">
        <v>1375</v>
      </c>
      <c r="B1261">
        <v>381</v>
      </c>
    </row>
    <row r="1262" spans="1:3" x14ac:dyDescent="0.25">
      <c r="A1262" s="1" t="s">
        <v>1376</v>
      </c>
      <c r="B1262">
        <v>14</v>
      </c>
      <c r="C1262">
        <v>16</v>
      </c>
    </row>
    <row r="1263" spans="1:3" x14ac:dyDescent="0.25">
      <c r="A1263" s="1" t="s">
        <v>1377</v>
      </c>
      <c r="B1263">
        <v>20</v>
      </c>
      <c r="C1263">
        <v>40</v>
      </c>
    </row>
    <row r="1264" spans="1:3" x14ac:dyDescent="0.25">
      <c r="A1264" s="1" t="s">
        <v>1378</v>
      </c>
      <c r="B1264">
        <v>85</v>
      </c>
      <c r="C1264">
        <v>30</v>
      </c>
    </row>
    <row r="1265" spans="1:3" x14ac:dyDescent="0.25">
      <c r="A1265" s="1" t="s">
        <v>1379</v>
      </c>
      <c r="B1265">
        <v>1200</v>
      </c>
      <c r="C1265">
        <v>24</v>
      </c>
    </row>
    <row r="1266" spans="1:3" x14ac:dyDescent="0.25">
      <c r="A1266" s="1" t="s">
        <v>1379</v>
      </c>
      <c r="B1266">
        <v>1200</v>
      </c>
      <c r="C1266">
        <v>300</v>
      </c>
    </row>
    <row r="1267" spans="1:3" x14ac:dyDescent="0.25">
      <c r="A1267" s="1" t="s">
        <v>1380</v>
      </c>
      <c r="B1267">
        <v>5000</v>
      </c>
      <c r="C1267">
        <v>200</v>
      </c>
    </row>
    <row r="1268" spans="1:3" x14ac:dyDescent="0.25">
      <c r="A1268" s="1" t="s">
        <v>1380</v>
      </c>
      <c r="B1268">
        <v>5000</v>
      </c>
      <c r="C1268">
        <v>200</v>
      </c>
    </row>
    <row r="1269" spans="1:3" x14ac:dyDescent="0.25">
      <c r="A1269" s="1" t="s">
        <v>1380</v>
      </c>
      <c r="B1269">
        <v>5000</v>
      </c>
      <c r="C1269">
        <v>1000</v>
      </c>
    </row>
    <row r="1270" spans="1:3" x14ac:dyDescent="0.25">
      <c r="A1270" s="1" t="s">
        <v>1380</v>
      </c>
      <c r="B1270">
        <v>3800</v>
      </c>
      <c r="C1270">
        <v>1400</v>
      </c>
    </row>
    <row r="1271" spans="1:3" x14ac:dyDescent="0.25">
      <c r="A1271" s="1" t="s">
        <v>1382</v>
      </c>
      <c r="B1271">
        <v>322</v>
      </c>
    </row>
    <row r="1272" spans="1:3" x14ac:dyDescent="0.25">
      <c r="A1272" s="1" t="s">
        <v>1382</v>
      </c>
      <c r="B1272">
        <v>322</v>
      </c>
    </row>
    <row r="1273" spans="1:3" x14ac:dyDescent="0.25">
      <c r="A1273" s="1" t="s">
        <v>1383</v>
      </c>
      <c r="B1273">
        <v>856</v>
      </c>
      <c r="C1273">
        <v>450</v>
      </c>
    </row>
    <row r="1274" spans="1:3" x14ac:dyDescent="0.25">
      <c r="A1274" s="1" t="s">
        <v>1384</v>
      </c>
      <c r="B1274">
        <v>856</v>
      </c>
      <c r="C1274">
        <v>215</v>
      </c>
    </row>
    <row r="1275" spans="1:3" x14ac:dyDescent="0.25">
      <c r="A1275" s="1" t="s">
        <v>1386</v>
      </c>
      <c r="B1275">
        <v>28</v>
      </c>
      <c r="C1275">
        <v>250</v>
      </c>
    </row>
    <row r="1276" spans="1:3" x14ac:dyDescent="0.25">
      <c r="A1276" s="1" t="s">
        <v>1387</v>
      </c>
      <c r="B1276">
        <v>26</v>
      </c>
      <c r="C1276">
        <v>136</v>
      </c>
    </row>
    <row r="1277" spans="1:3" x14ac:dyDescent="0.25">
      <c r="A1277" s="1" t="s">
        <v>1388</v>
      </c>
      <c r="B1277">
        <v>137</v>
      </c>
    </row>
    <row r="1278" spans="1:3" x14ac:dyDescent="0.25">
      <c r="A1278" s="1" t="s">
        <v>1389</v>
      </c>
      <c r="B1278">
        <v>20</v>
      </c>
      <c r="C1278">
        <v>72</v>
      </c>
    </row>
    <row r="1279" spans="1:3" x14ac:dyDescent="0.25">
      <c r="A1279" s="1" t="s">
        <v>1389</v>
      </c>
      <c r="B1279">
        <v>20</v>
      </c>
      <c r="C1279">
        <v>73</v>
      </c>
    </row>
    <row r="1280" spans="1:3" x14ac:dyDescent="0.25">
      <c r="A1280" s="1" t="s">
        <v>1390</v>
      </c>
      <c r="B1280">
        <v>1200</v>
      </c>
    </row>
    <row r="1281" spans="1:3" x14ac:dyDescent="0.25">
      <c r="A1281" s="1" t="s">
        <v>1391</v>
      </c>
      <c r="B1281">
        <v>442</v>
      </c>
      <c r="C1281">
        <v>62</v>
      </c>
    </row>
    <row r="1282" spans="1:3" x14ac:dyDescent="0.25">
      <c r="A1282" s="1" t="s">
        <v>1391</v>
      </c>
      <c r="B1282">
        <v>442</v>
      </c>
      <c r="C1282">
        <v>150</v>
      </c>
    </row>
    <row r="1283" spans="1:3" x14ac:dyDescent="0.25">
      <c r="A1283" s="1" t="s">
        <v>1392</v>
      </c>
      <c r="B1283">
        <v>479</v>
      </c>
    </row>
    <row r="1284" spans="1:3" x14ac:dyDescent="0.25">
      <c r="A1284" s="1" t="s">
        <v>1393</v>
      </c>
      <c r="B1284">
        <v>410</v>
      </c>
      <c r="C1284">
        <v>150</v>
      </c>
    </row>
    <row r="1285" spans="1:3" x14ac:dyDescent="0.25">
      <c r="A1285" s="1" t="s">
        <v>1393</v>
      </c>
      <c r="B1285">
        <v>926</v>
      </c>
      <c r="C1285">
        <v>950</v>
      </c>
    </row>
    <row r="1286" spans="1:3" x14ac:dyDescent="0.25">
      <c r="A1286" s="1" t="s">
        <v>1394</v>
      </c>
      <c r="B1286">
        <v>3000</v>
      </c>
      <c r="C1286">
        <v>451</v>
      </c>
    </row>
    <row r="1287" spans="1:3" x14ac:dyDescent="0.25">
      <c r="A1287" s="1" t="s">
        <v>1396</v>
      </c>
      <c r="B1287">
        <v>25</v>
      </c>
      <c r="C1287">
        <v>20</v>
      </c>
    </row>
    <row r="1288" spans="1:3" x14ac:dyDescent="0.25">
      <c r="A1288" s="1" t="s">
        <v>1397</v>
      </c>
      <c r="B1288">
        <v>170</v>
      </c>
    </row>
    <row r="1289" spans="1:3" x14ac:dyDescent="0.25">
      <c r="A1289" s="1" t="s">
        <v>1398</v>
      </c>
      <c r="B1289">
        <v>140</v>
      </c>
    </row>
    <row r="1290" spans="1:3" x14ac:dyDescent="0.25">
      <c r="A1290" s="1" t="s">
        <v>1399</v>
      </c>
      <c r="B1290">
        <v>24</v>
      </c>
      <c r="C1290">
        <v>18</v>
      </c>
    </row>
    <row r="1291" spans="1:3" x14ac:dyDescent="0.25">
      <c r="A1291" s="1" t="s">
        <v>1400</v>
      </c>
      <c r="B1291">
        <v>1900</v>
      </c>
      <c r="C1291">
        <v>550</v>
      </c>
    </row>
    <row r="1292" spans="1:3" x14ac:dyDescent="0.25">
      <c r="A1292" s="1" t="s">
        <v>1400</v>
      </c>
      <c r="B1292">
        <v>1500</v>
      </c>
      <c r="C1292">
        <v>600</v>
      </c>
    </row>
    <row r="1293" spans="1:3" x14ac:dyDescent="0.25">
      <c r="A1293" s="1" t="s">
        <v>1401</v>
      </c>
      <c r="B1293">
        <v>299</v>
      </c>
      <c r="C1293">
        <v>83</v>
      </c>
    </row>
    <row r="1294" spans="1:3" x14ac:dyDescent="0.25">
      <c r="A1294" s="1" t="s">
        <v>1402</v>
      </c>
      <c r="B1294">
        <v>427</v>
      </c>
    </row>
    <row r="1295" spans="1:3" x14ac:dyDescent="0.25">
      <c r="A1295" s="1" t="s">
        <v>1403</v>
      </c>
      <c r="B1295">
        <v>1100</v>
      </c>
    </row>
    <row r="1296" spans="1:3" x14ac:dyDescent="0.25">
      <c r="A1296" s="1" t="s">
        <v>1404</v>
      </c>
      <c r="B1296">
        <v>223</v>
      </c>
      <c r="C1296">
        <v>14</v>
      </c>
    </row>
    <row r="1297" spans="1:3" x14ac:dyDescent="0.25">
      <c r="A1297" s="1" t="s">
        <v>1405</v>
      </c>
      <c r="B1297">
        <v>70</v>
      </c>
      <c r="C1297">
        <v>35</v>
      </c>
    </row>
    <row r="1298" spans="1:3" x14ac:dyDescent="0.25">
      <c r="A1298" s="1" t="s">
        <v>1406</v>
      </c>
      <c r="B1298">
        <v>566</v>
      </c>
      <c r="C1298">
        <v>155</v>
      </c>
    </row>
    <row r="1299" spans="1:3" x14ac:dyDescent="0.25">
      <c r="A1299" s="1" t="s">
        <v>1407</v>
      </c>
      <c r="B1299">
        <v>251</v>
      </c>
      <c r="C1299">
        <v>60</v>
      </c>
    </row>
    <row r="1300" spans="1:3" x14ac:dyDescent="0.25">
      <c r="A1300" s="1" t="s">
        <v>1409</v>
      </c>
      <c r="B1300">
        <v>20</v>
      </c>
    </row>
    <row r="1301" spans="1:3" x14ac:dyDescent="0.25">
      <c r="A1301" s="1" t="s">
        <v>1410</v>
      </c>
      <c r="B1301">
        <v>86</v>
      </c>
      <c r="C1301">
        <v>62</v>
      </c>
    </row>
    <row r="1302" spans="1:3" x14ac:dyDescent="0.25">
      <c r="A1302" s="1" t="s">
        <v>1411</v>
      </c>
      <c r="B1302">
        <v>472</v>
      </c>
    </row>
    <row r="1303" spans="1:3" x14ac:dyDescent="0.25">
      <c r="A1303" s="1" t="s">
        <v>1411</v>
      </c>
      <c r="B1303">
        <v>472</v>
      </c>
      <c r="C1303">
        <v>180</v>
      </c>
    </row>
    <row r="1304" spans="1:3" x14ac:dyDescent="0.25">
      <c r="A1304" s="1" t="s">
        <v>1412</v>
      </c>
      <c r="B1304">
        <v>175</v>
      </c>
      <c r="C1304">
        <v>400</v>
      </c>
    </row>
    <row r="1305" spans="1:3" x14ac:dyDescent="0.25">
      <c r="A1305" s="1" t="s">
        <v>1413</v>
      </c>
      <c r="B1305">
        <v>1300</v>
      </c>
      <c r="C1305">
        <v>70</v>
      </c>
    </row>
    <row r="1306" spans="1:3" x14ac:dyDescent="0.25">
      <c r="A1306" s="1" t="s">
        <v>1414</v>
      </c>
      <c r="B1306">
        <v>231</v>
      </c>
    </row>
    <row r="1307" spans="1:3" x14ac:dyDescent="0.25">
      <c r="A1307" s="1" t="s">
        <v>1414</v>
      </c>
      <c r="B1307">
        <v>231</v>
      </c>
      <c r="C1307">
        <v>80</v>
      </c>
    </row>
    <row r="1308" spans="1:3" x14ac:dyDescent="0.25">
      <c r="A1308" s="1" t="s">
        <v>1415</v>
      </c>
      <c r="B1308">
        <v>282</v>
      </c>
    </row>
    <row r="1309" spans="1:3" x14ac:dyDescent="0.25">
      <c r="A1309" s="1" t="s">
        <v>1415</v>
      </c>
      <c r="B1309">
        <v>132</v>
      </c>
    </row>
    <row r="1310" spans="1:3" x14ac:dyDescent="0.25">
      <c r="A1310" s="1" t="s">
        <v>1416</v>
      </c>
      <c r="B1310">
        <v>48</v>
      </c>
      <c r="C1310">
        <v>52</v>
      </c>
    </row>
    <row r="1311" spans="1:3" x14ac:dyDescent="0.25">
      <c r="A1311" s="1" t="s">
        <v>1417</v>
      </c>
      <c r="B1311">
        <v>394</v>
      </c>
      <c r="C1311">
        <v>38</v>
      </c>
    </row>
    <row r="1312" spans="1:3" x14ac:dyDescent="0.25">
      <c r="A1312" s="1" t="s">
        <v>1418</v>
      </c>
      <c r="B1312">
        <v>75</v>
      </c>
    </row>
    <row r="1313" spans="1:3" x14ac:dyDescent="0.25">
      <c r="A1313" s="1" t="s">
        <v>1419</v>
      </c>
      <c r="B1313">
        <v>489</v>
      </c>
      <c r="C1313">
        <v>60</v>
      </c>
    </row>
    <row r="1314" spans="1:3" x14ac:dyDescent="0.25">
      <c r="A1314" s="1" t="s">
        <v>1419</v>
      </c>
      <c r="B1314">
        <v>489</v>
      </c>
      <c r="C1314">
        <v>70</v>
      </c>
    </row>
    <row r="1315" spans="1:3" x14ac:dyDescent="0.25">
      <c r="A1315" s="1" t="s">
        <v>1420</v>
      </c>
      <c r="B1315">
        <v>240</v>
      </c>
      <c r="C1315">
        <v>31</v>
      </c>
    </row>
    <row r="1316" spans="1:3" x14ac:dyDescent="0.25">
      <c r="A1316" s="1" t="s">
        <v>1420</v>
      </c>
      <c r="B1316">
        <v>240</v>
      </c>
      <c r="C1316">
        <v>43</v>
      </c>
    </row>
    <row r="1317" spans="1:3" x14ac:dyDescent="0.25">
      <c r="A1317" s="1" t="s">
        <v>1421</v>
      </c>
      <c r="B1317">
        <v>174</v>
      </c>
    </row>
    <row r="1318" spans="1:3" x14ac:dyDescent="0.25">
      <c r="A1318" s="1" t="s">
        <v>1421</v>
      </c>
      <c r="B1318">
        <v>174</v>
      </c>
      <c r="C1318">
        <v>87</v>
      </c>
    </row>
    <row r="1319" spans="1:3" x14ac:dyDescent="0.25">
      <c r="A1319" s="1" t="s">
        <v>1422</v>
      </c>
      <c r="B1319">
        <v>35</v>
      </c>
      <c r="C1319">
        <v>30</v>
      </c>
    </row>
    <row r="1320" spans="1:3" x14ac:dyDescent="0.25">
      <c r="A1320" s="1" t="s">
        <v>1423</v>
      </c>
      <c r="B1320">
        <v>178</v>
      </c>
    </row>
    <row r="1321" spans="1:3" x14ac:dyDescent="0.25">
      <c r="A1321" s="1" t="s">
        <v>1424</v>
      </c>
      <c r="B1321">
        <v>507</v>
      </c>
      <c r="C1321">
        <v>170</v>
      </c>
    </row>
    <row r="1322" spans="1:3" x14ac:dyDescent="0.25">
      <c r="A1322" s="1" t="s">
        <v>1425</v>
      </c>
      <c r="B1322">
        <v>13</v>
      </c>
      <c r="C1322">
        <v>40</v>
      </c>
    </row>
    <row r="1323" spans="1:3" x14ac:dyDescent="0.25">
      <c r="A1323" s="1" t="s">
        <v>1426</v>
      </c>
      <c r="B1323">
        <v>3200</v>
      </c>
    </row>
    <row r="1324" spans="1:3" x14ac:dyDescent="0.25">
      <c r="A1324" s="1" t="s">
        <v>1426</v>
      </c>
      <c r="B1324">
        <v>4000</v>
      </c>
      <c r="C1324">
        <v>600</v>
      </c>
    </row>
    <row r="1325" spans="1:3" x14ac:dyDescent="0.25">
      <c r="A1325" s="1" t="s">
        <v>1426</v>
      </c>
      <c r="B1325">
        <v>3200</v>
      </c>
      <c r="C1325">
        <v>600</v>
      </c>
    </row>
    <row r="1326" spans="1:3" x14ac:dyDescent="0.25">
      <c r="A1326" s="1" t="s">
        <v>1426</v>
      </c>
      <c r="B1326">
        <v>2400</v>
      </c>
      <c r="C1326">
        <v>150</v>
      </c>
    </row>
    <row r="1327" spans="1:3" x14ac:dyDescent="0.25">
      <c r="A1327" s="1" t="s">
        <v>1426</v>
      </c>
      <c r="B1327">
        <v>2400</v>
      </c>
      <c r="C1327">
        <v>500</v>
      </c>
    </row>
    <row r="1328" spans="1:3" x14ac:dyDescent="0.25">
      <c r="A1328" s="1" t="s">
        <v>1427</v>
      </c>
      <c r="B1328">
        <v>224</v>
      </c>
    </row>
    <row r="1329" spans="1:3" x14ac:dyDescent="0.25">
      <c r="A1329" s="1" t="s">
        <v>1427</v>
      </c>
      <c r="B1329">
        <v>224</v>
      </c>
    </row>
    <row r="1330" spans="1:3" x14ac:dyDescent="0.25">
      <c r="A1330" s="1" t="s">
        <v>1428</v>
      </c>
      <c r="B1330">
        <v>70</v>
      </c>
    </row>
    <row r="1331" spans="1:3" x14ac:dyDescent="0.25">
      <c r="A1331" s="1" t="s">
        <v>1429</v>
      </c>
      <c r="B1331">
        <v>217</v>
      </c>
      <c r="C1331">
        <v>100</v>
      </c>
    </row>
    <row r="1332" spans="1:3" x14ac:dyDescent="0.25">
      <c r="A1332" s="1" t="s">
        <v>1430</v>
      </c>
      <c r="B1332">
        <v>472</v>
      </c>
      <c r="C1332">
        <v>138</v>
      </c>
    </row>
    <row r="1333" spans="1:3" x14ac:dyDescent="0.25">
      <c r="A1333" s="1" t="s">
        <v>1431</v>
      </c>
      <c r="B1333">
        <v>200</v>
      </c>
      <c r="C1333">
        <v>94</v>
      </c>
    </row>
    <row r="1334" spans="1:3" x14ac:dyDescent="0.25">
      <c r="A1334" s="1" t="s">
        <v>1432</v>
      </c>
      <c r="B1334">
        <v>293</v>
      </c>
    </row>
    <row r="1335" spans="1:3" x14ac:dyDescent="0.25">
      <c r="A1335" s="1" t="s">
        <v>1433</v>
      </c>
      <c r="B1335">
        <v>17</v>
      </c>
      <c r="C1335">
        <v>80</v>
      </c>
    </row>
    <row r="1336" spans="1:3" x14ac:dyDescent="0.25">
      <c r="A1336" s="1" t="s">
        <v>1434</v>
      </c>
      <c r="B1336">
        <v>571</v>
      </c>
      <c r="C1336">
        <v>140</v>
      </c>
    </row>
    <row r="1337" spans="1:3" x14ac:dyDescent="0.25">
      <c r="A1337" s="1" t="s">
        <v>1436</v>
      </c>
      <c r="B1337">
        <v>173</v>
      </c>
    </row>
    <row r="1338" spans="1:3" x14ac:dyDescent="0.25">
      <c r="A1338" s="1" t="s">
        <v>1438</v>
      </c>
      <c r="B1338">
        <v>496</v>
      </c>
      <c r="C1338">
        <v>1500</v>
      </c>
    </row>
    <row r="1339" spans="1:3" x14ac:dyDescent="0.25">
      <c r="A1339" s="1" t="s">
        <v>1439</v>
      </c>
      <c r="B1339">
        <v>3000</v>
      </c>
      <c r="C1339">
        <v>75</v>
      </c>
    </row>
    <row r="1340" spans="1:3" x14ac:dyDescent="0.25">
      <c r="A1340" s="1" t="s">
        <v>1440</v>
      </c>
      <c r="B1340">
        <v>11</v>
      </c>
      <c r="C1340">
        <v>18</v>
      </c>
    </row>
    <row r="1341" spans="1:3" x14ac:dyDescent="0.25">
      <c r="A1341" s="1" t="s">
        <v>1441</v>
      </c>
      <c r="B1341">
        <v>1</v>
      </c>
      <c r="C1341">
        <v>6</v>
      </c>
    </row>
    <row r="1342" spans="1:3" x14ac:dyDescent="0.25">
      <c r="A1342" s="1" t="s">
        <v>1442</v>
      </c>
      <c r="B1342">
        <v>241</v>
      </c>
    </row>
    <row r="1343" spans="1:3" x14ac:dyDescent="0.25">
      <c r="A1343" s="1" t="s">
        <v>1443</v>
      </c>
      <c r="B1343">
        <v>8</v>
      </c>
      <c r="C1343">
        <v>60</v>
      </c>
    </row>
    <row r="1344" spans="1:3" x14ac:dyDescent="0.25">
      <c r="A1344" s="1" t="s">
        <v>1445</v>
      </c>
      <c r="B1344">
        <v>13</v>
      </c>
    </row>
    <row r="1345" spans="1:3" x14ac:dyDescent="0.25">
      <c r="A1345" s="1" t="s">
        <v>1446</v>
      </c>
      <c r="B1345">
        <v>36</v>
      </c>
      <c r="C1345">
        <v>60</v>
      </c>
    </row>
    <row r="1346" spans="1:3" x14ac:dyDescent="0.25">
      <c r="A1346" s="1" t="s">
        <v>1447</v>
      </c>
      <c r="B1346">
        <v>72</v>
      </c>
      <c r="C1346">
        <v>40</v>
      </c>
    </row>
    <row r="1347" spans="1:3" x14ac:dyDescent="0.25">
      <c r="A1347" s="1" t="s">
        <v>1448</v>
      </c>
      <c r="B1347">
        <v>36</v>
      </c>
      <c r="C1347">
        <v>40</v>
      </c>
    </row>
    <row r="1348" spans="1:3" x14ac:dyDescent="0.25">
      <c r="A1348" s="1" t="s">
        <v>1449</v>
      </c>
      <c r="B1348">
        <v>123</v>
      </c>
      <c r="C1348">
        <v>44</v>
      </c>
    </row>
    <row r="1349" spans="1:3" x14ac:dyDescent="0.25">
      <c r="A1349" s="1" t="s">
        <v>1451</v>
      </c>
      <c r="B1349">
        <v>75</v>
      </c>
      <c r="C1349">
        <v>100</v>
      </c>
    </row>
    <row r="1350" spans="1:3" x14ac:dyDescent="0.25">
      <c r="A1350" s="1" t="s">
        <v>1452</v>
      </c>
      <c r="B1350">
        <v>413</v>
      </c>
      <c r="C1350">
        <v>5</v>
      </c>
    </row>
    <row r="1351" spans="1:3" x14ac:dyDescent="0.25">
      <c r="A1351" s="1" t="s">
        <v>1452</v>
      </c>
      <c r="B1351">
        <v>165</v>
      </c>
      <c r="C1351">
        <v>30</v>
      </c>
    </row>
    <row r="1352" spans="1:3" x14ac:dyDescent="0.25">
      <c r="A1352" s="1" t="s">
        <v>1452</v>
      </c>
      <c r="B1352">
        <v>165</v>
      </c>
      <c r="C1352">
        <v>36</v>
      </c>
    </row>
    <row r="1353" spans="1:3" x14ac:dyDescent="0.25">
      <c r="A1353" s="1" t="s">
        <v>1452</v>
      </c>
      <c r="B1353">
        <v>413</v>
      </c>
      <c r="C1353">
        <v>80</v>
      </c>
    </row>
    <row r="1354" spans="1:3" x14ac:dyDescent="0.25">
      <c r="A1354" s="1" t="s">
        <v>1453</v>
      </c>
      <c r="B1354">
        <v>103</v>
      </c>
      <c r="C1354">
        <v>96</v>
      </c>
    </row>
    <row r="1355" spans="1:3" x14ac:dyDescent="0.25">
      <c r="A1355" s="1" t="s">
        <v>1455</v>
      </c>
      <c r="B1355">
        <v>495</v>
      </c>
      <c r="C1355">
        <v>200</v>
      </c>
    </row>
    <row r="1356" spans="1:3" x14ac:dyDescent="0.25">
      <c r="A1356" s="1" t="s">
        <v>1456</v>
      </c>
      <c r="B1356">
        <v>71</v>
      </c>
      <c r="C1356">
        <v>27</v>
      </c>
    </row>
    <row r="1357" spans="1:3" x14ac:dyDescent="0.25">
      <c r="A1357" s="1" t="s">
        <v>1457</v>
      </c>
      <c r="B1357">
        <v>216</v>
      </c>
      <c r="C1357">
        <v>83</v>
      </c>
    </row>
    <row r="1358" spans="1:3" x14ac:dyDescent="0.25">
      <c r="A1358" s="1" t="s">
        <v>1457</v>
      </c>
      <c r="B1358">
        <v>216</v>
      </c>
      <c r="C1358">
        <v>2000</v>
      </c>
    </row>
    <row r="1359" spans="1:3" x14ac:dyDescent="0.25">
      <c r="A1359" s="1" t="s">
        <v>1458</v>
      </c>
      <c r="B1359">
        <v>26</v>
      </c>
      <c r="C1359">
        <v>40</v>
      </c>
    </row>
    <row r="1360" spans="1:3" x14ac:dyDescent="0.25">
      <c r="A1360" s="1" t="s">
        <v>1459</v>
      </c>
      <c r="B1360">
        <v>2200</v>
      </c>
      <c r="C1360">
        <v>500</v>
      </c>
    </row>
    <row r="1361" spans="1:3" x14ac:dyDescent="0.25">
      <c r="A1361" s="1" t="s">
        <v>1461</v>
      </c>
      <c r="B1361">
        <v>409</v>
      </c>
      <c r="C1361">
        <v>59</v>
      </c>
    </row>
    <row r="1362" spans="1:3" x14ac:dyDescent="0.25">
      <c r="A1362" s="1" t="s">
        <v>1461</v>
      </c>
      <c r="B1362">
        <v>409</v>
      </c>
      <c r="C1362">
        <v>59</v>
      </c>
    </row>
    <row r="1363" spans="1:3" x14ac:dyDescent="0.25">
      <c r="A1363" s="1" t="s">
        <v>1461</v>
      </c>
      <c r="B1363">
        <v>409</v>
      </c>
      <c r="C1363">
        <v>25</v>
      </c>
    </row>
    <row r="1364" spans="1:3" x14ac:dyDescent="0.25">
      <c r="A1364" s="1" t="s">
        <v>1462</v>
      </c>
      <c r="B1364">
        <v>81</v>
      </c>
    </row>
    <row r="1365" spans="1:3" x14ac:dyDescent="0.25">
      <c r="A1365" s="1" t="s">
        <v>1463</v>
      </c>
      <c r="B1365">
        <v>116</v>
      </c>
      <c r="C1365">
        <v>30</v>
      </c>
    </row>
    <row r="1366" spans="1:3" x14ac:dyDescent="0.25">
      <c r="A1366" s="1" t="s">
        <v>1464</v>
      </c>
      <c r="B1366">
        <v>39</v>
      </c>
      <c r="C1366">
        <v>45</v>
      </c>
    </row>
    <row r="1367" spans="1:3" x14ac:dyDescent="0.25">
      <c r="A1367" s="1" t="s">
        <v>1465</v>
      </c>
      <c r="B1367">
        <v>47</v>
      </c>
    </row>
    <row r="1368" spans="1:3" x14ac:dyDescent="0.25">
      <c r="A1368" s="1" t="s">
        <v>1467</v>
      </c>
      <c r="B1368">
        <v>34</v>
      </c>
      <c r="C1368">
        <v>41</v>
      </c>
    </row>
    <row r="1369" spans="1:3" x14ac:dyDescent="0.25">
      <c r="A1369" s="1" t="s">
        <v>1468</v>
      </c>
      <c r="B1369">
        <v>110</v>
      </c>
      <c r="C1369">
        <v>51</v>
      </c>
    </row>
    <row r="1370" spans="1:3" x14ac:dyDescent="0.25">
      <c r="A1370" s="1" t="s">
        <v>1468</v>
      </c>
      <c r="B1370">
        <v>121</v>
      </c>
      <c r="C1370">
        <v>75</v>
      </c>
    </row>
    <row r="1371" spans="1:3" x14ac:dyDescent="0.25">
      <c r="A1371" s="1" t="s">
        <v>1468</v>
      </c>
      <c r="B1371">
        <v>121</v>
      </c>
    </row>
    <row r="1372" spans="1:3" x14ac:dyDescent="0.25">
      <c r="A1372" s="1" t="s">
        <v>1470</v>
      </c>
      <c r="B1372">
        <v>1900</v>
      </c>
      <c r="C1372">
        <v>500</v>
      </c>
    </row>
    <row r="1373" spans="1:3" x14ac:dyDescent="0.25">
      <c r="A1373" s="1" t="s">
        <v>1470</v>
      </c>
      <c r="B1373">
        <v>1900</v>
      </c>
      <c r="C1373">
        <v>784</v>
      </c>
    </row>
    <row r="1374" spans="1:3" x14ac:dyDescent="0.25">
      <c r="A1374" s="1" t="s">
        <v>1470</v>
      </c>
      <c r="B1374">
        <v>1900</v>
      </c>
      <c r="C1374">
        <v>2800</v>
      </c>
    </row>
    <row r="1375" spans="1:3" x14ac:dyDescent="0.25">
      <c r="A1375" s="1" t="s">
        <v>1471</v>
      </c>
      <c r="B1375">
        <v>469</v>
      </c>
      <c r="C1375">
        <v>45</v>
      </c>
    </row>
    <row r="1376" spans="1:3" x14ac:dyDescent="0.25">
      <c r="A1376" s="1" t="s">
        <v>1472</v>
      </c>
      <c r="B1376">
        <v>100</v>
      </c>
      <c r="C1376">
        <v>30</v>
      </c>
    </row>
    <row r="1377" spans="1:3" x14ac:dyDescent="0.25">
      <c r="A1377" s="1" t="s">
        <v>1472</v>
      </c>
      <c r="B1377">
        <v>200</v>
      </c>
    </row>
    <row r="1378" spans="1:3" x14ac:dyDescent="0.25">
      <c r="A1378" s="1" t="s">
        <v>1473</v>
      </c>
      <c r="B1378">
        <v>7</v>
      </c>
    </row>
    <row r="1379" spans="1:3" x14ac:dyDescent="0.25">
      <c r="A1379" s="1" t="s">
        <v>1474</v>
      </c>
      <c r="B1379">
        <v>20</v>
      </c>
    </row>
    <row r="1380" spans="1:3" x14ac:dyDescent="0.25">
      <c r="A1380" s="1" t="s">
        <v>1475</v>
      </c>
      <c r="B1380">
        <v>165</v>
      </c>
      <c r="C1380">
        <v>20</v>
      </c>
    </row>
    <row r="1381" spans="1:3" x14ac:dyDescent="0.25">
      <c r="A1381" s="1" t="s">
        <v>1476</v>
      </c>
      <c r="B1381">
        <v>76</v>
      </c>
      <c r="C1381">
        <v>20</v>
      </c>
    </row>
    <row r="1382" spans="1:3" x14ac:dyDescent="0.25">
      <c r="A1382" s="1" t="s">
        <v>1477</v>
      </c>
      <c r="B1382">
        <v>30</v>
      </c>
    </row>
    <row r="1383" spans="1:3" x14ac:dyDescent="0.25">
      <c r="A1383" s="1" t="s">
        <v>1478</v>
      </c>
      <c r="B1383">
        <v>50</v>
      </c>
      <c r="C1383">
        <v>10</v>
      </c>
    </row>
    <row r="1384" spans="1:3" x14ac:dyDescent="0.25">
      <c r="A1384" s="1" t="s">
        <v>1479</v>
      </c>
      <c r="B1384">
        <v>105</v>
      </c>
      <c r="C1384">
        <v>30</v>
      </c>
    </row>
    <row r="1385" spans="1:3" x14ac:dyDescent="0.25">
      <c r="A1385" s="1" t="s">
        <v>1480</v>
      </c>
      <c r="B1385">
        <v>225</v>
      </c>
    </row>
    <row r="1386" spans="1:3" x14ac:dyDescent="0.25">
      <c r="A1386" s="1" t="s">
        <v>1481</v>
      </c>
      <c r="B1386">
        <v>178</v>
      </c>
      <c r="C1386">
        <v>30</v>
      </c>
    </row>
    <row r="1387" spans="1:3" x14ac:dyDescent="0.25">
      <c r="A1387" s="1" t="s">
        <v>1482</v>
      </c>
      <c r="B1387">
        <v>2</v>
      </c>
    </row>
    <row r="1388" spans="1:3" x14ac:dyDescent="0.25">
      <c r="A1388" s="1" t="s">
        <v>1483</v>
      </c>
      <c r="B1388">
        <v>6</v>
      </c>
    </row>
    <row r="1389" spans="1:3" x14ac:dyDescent="0.25">
      <c r="A1389" s="1" t="s">
        <v>1484</v>
      </c>
      <c r="B1389">
        <v>47</v>
      </c>
    </row>
    <row r="1390" spans="1:3" x14ac:dyDescent="0.25">
      <c r="A1390" s="1" t="s">
        <v>1484</v>
      </c>
      <c r="B1390">
        <v>704</v>
      </c>
    </row>
    <row r="1391" spans="1:3" x14ac:dyDescent="0.25">
      <c r="A1391" s="1" t="s">
        <v>1485</v>
      </c>
      <c r="B1391">
        <v>225</v>
      </c>
      <c r="C1391">
        <v>94</v>
      </c>
    </row>
    <row r="1392" spans="1:3" x14ac:dyDescent="0.25">
      <c r="A1392" s="1" t="s">
        <v>1486</v>
      </c>
      <c r="B1392">
        <v>40</v>
      </c>
    </row>
    <row r="1393" spans="1:3" x14ac:dyDescent="0.25">
      <c r="A1393" s="1" t="s">
        <v>1487</v>
      </c>
      <c r="B1393">
        <v>1600</v>
      </c>
    </row>
    <row r="1394" spans="1:3" x14ac:dyDescent="0.25">
      <c r="A1394" s="1" t="s">
        <v>1487</v>
      </c>
      <c r="B1394">
        <v>1600</v>
      </c>
      <c r="C1394">
        <v>40</v>
      </c>
    </row>
    <row r="1395" spans="1:3" x14ac:dyDescent="0.25">
      <c r="A1395" s="1" t="s">
        <v>1489</v>
      </c>
      <c r="B1395">
        <v>3</v>
      </c>
      <c r="C1395">
        <v>70</v>
      </c>
    </row>
    <row r="1396" spans="1:3" x14ac:dyDescent="0.25">
      <c r="A1396" s="1" t="s">
        <v>1490</v>
      </c>
      <c r="B1396">
        <v>52</v>
      </c>
    </row>
    <row r="1397" spans="1:3" x14ac:dyDescent="0.25">
      <c r="A1397" s="1" t="s">
        <v>1491</v>
      </c>
      <c r="B1397">
        <v>62</v>
      </c>
      <c r="C1397">
        <v>400</v>
      </c>
    </row>
    <row r="1398" spans="1:3" x14ac:dyDescent="0.25">
      <c r="A1398" s="1" t="s">
        <v>1492</v>
      </c>
      <c r="B1398">
        <v>15</v>
      </c>
    </row>
    <row r="1399" spans="1:3" x14ac:dyDescent="0.25">
      <c r="A1399" s="1" t="s">
        <v>1493</v>
      </c>
      <c r="B1399">
        <v>195</v>
      </c>
      <c r="C1399">
        <v>90</v>
      </c>
    </row>
    <row r="1400" spans="1:3" x14ac:dyDescent="0.25">
      <c r="A1400" s="1" t="s">
        <v>1494</v>
      </c>
      <c r="B1400">
        <v>42</v>
      </c>
      <c r="C1400">
        <v>111</v>
      </c>
    </row>
    <row r="1401" spans="1:3" x14ac:dyDescent="0.25">
      <c r="A1401" s="1" t="s">
        <v>1495</v>
      </c>
      <c r="B1401">
        <v>1500</v>
      </c>
    </row>
    <row r="1402" spans="1:3" x14ac:dyDescent="0.25">
      <c r="A1402" s="1" t="s">
        <v>1495</v>
      </c>
      <c r="B1402">
        <v>1500</v>
      </c>
      <c r="C1402">
        <v>150</v>
      </c>
    </row>
    <row r="1403" spans="1:3" x14ac:dyDescent="0.25">
      <c r="A1403" s="1" t="s">
        <v>1496</v>
      </c>
      <c r="B1403">
        <v>90</v>
      </c>
      <c r="C1403">
        <v>31</v>
      </c>
    </row>
    <row r="1404" spans="1:3" x14ac:dyDescent="0.25">
      <c r="A1404" s="1" t="s">
        <v>1496</v>
      </c>
      <c r="B1404">
        <v>90</v>
      </c>
      <c r="C1404">
        <v>143</v>
      </c>
    </row>
    <row r="1405" spans="1:3" x14ac:dyDescent="0.25">
      <c r="A1405" s="1" t="s">
        <v>1499</v>
      </c>
      <c r="B1405">
        <v>19</v>
      </c>
      <c r="C1405">
        <v>22</v>
      </c>
    </row>
    <row r="1406" spans="1:3" x14ac:dyDescent="0.25">
      <c r="A1406" s="1" t="s">
        <v>1501</v>
      </c>
      <c r="B1406">
        <v>137</v>
      </c>
      <c r="C1406">
        <v>59</v>
      </c>
    </row>
    <row r="1407" spans="1:3" x14ac:dyDescent="0.25">
      <c r="A1407" s="1" t="s">
        <v>1502</v>
      </c>
      <c r="B1407">
        <v>273</v>
      </c>
    </row>
    <row r="1408" spans="1:3" x14ac:dyDescent="0.25">
      <c r="A1408" s="1" t="s">
        <v>1504</v>
      </c>
      <c r="B1408">
        <v>734</v>
      </c>
      <c r="C1408">
        <v>260</v>
      </c>
    </row>
    <row r="1409" spans="1:3" x14ac:dyDescent="0.25">
      <c r="A1409" s="1" t="s">
        <v>1505</v>
      </c>
      <c r="B1409">
        <v>5</v>
      </c>
      <c r="C1409">
        <v>200</v>
      </c>
    </row>
    <row r="1410" spans="1:3" x14ac:dyDescent="0.25">
      <c r="A1410" s="1" t="s">
        <v>1506</v>
      </c>
      <c r="B1410">
        <v>3</v>
      </c>
      <c r="C1410">
        <v>29</v>
      </c>
    </row>
    <row r="1411" spans="1:3" x14ac:dyDescent="0.25">
      <c r="A1411" s="1" t="s">
        <v>1507</v>
      </c>
      <c r="B1411">
        <v>10</v>
      </c>
      <c r="C1411">
        <v>65</v>
      </c>
    </row>
    <row r="1412" spans="1:3" x14ac:dyDescent="0.25">
      <c r="A1412" s="1" t="s">
        <v>1509</v>
      </c>
      <c r="B1412">
        <v>428</v>
      </c>
      <c r="C1412">
        <v>150</v>
      </c>
    </row>
    <row r="1413" spans="1:3" x14ac:dyDescent="0.25">
      <c r="A1413" s="1" t="s">
        <v>1510</v>
      </c>
      <c r="B1413">
        <v>13</v>
      </c>
    </row>
    <row r="1414" spans="1:3" x14ac:dyDescent="0.25">
      <c r="A1414" s="1" t="s">
        <v>1511</v>
      </c>
      <c r="B1414">
        <v>205</v>
      </c>
      <c r="C1414">
        <v>12</v>
      </c>
    </row>
    <row r="1415" spans="1:3" x14ac:dyDescent="0.25">
      <c r="A1415" s="1" t="s">
        <v>1512</v>
      </c>
      <c r="B1415">
        <v>20</v>
      </c>
      <c r="C1415">
        <v>36</v>
      </c>
    </row>
    <row r="1416" spans="1:3" x14ac:dyDescent="0.25">
      <c r="A1416" s="1" t="s">
        <v>1513</v>
      </c>
      <c r="B1416">
        <v>192</v>
      </c>
      <c r="C1416">
        <v>400</v>
      </c>
    </row>
    <row r="1417" spans="1:3" x14ac:dyDescent="0.25">
      <c r="A1417" s="1" t="s">
        <v>1514</v>
      </c>
      <c r="B1417">
        <v>43</v>
      </c>
    </row>
    <row r="1418" spans="1:3" x14ac:dyDescent="0.25">
      <c r="A1418" s="1" t="s">
        <v>1516</v>
      </c>
      <c r="B1418">
        <v>19</v>
      </c>
      <c r="C1418">
        <v>50</v>
      </c>
    </row>
    <row r="1419" spans="1:3" x14ac:dyDescent="0.25">
      <c r="A1419" s="1" t="s">
        <v>1517</v>
      </c>
      <c r="B1419">
        <v>20</v>
      </c>
      <c r="C1419">
        <v>21</v>
      </c>
    </row>
    <row r="1420" spans="1:3" x14ac:dyDescent="0.25">
      <c r="A1420" s="1" t="s">
        <v>1518</v>
      </c>
      <c r="B1420">
        <v>419</v>
      </c>
    </row>
    <row r="1421" spans="1:3" x14ac:dyDescent="0.25">
      <c r="A1421" s="1" t="s">
        <v>1519</v>
      </c>
      <c r="B1421">
        <v>13</v>
      </c>
      <c r="C1421">
        <v>10</v>
      </c>
    </row>
    <row r="1422" spans="1:3" x14ac:dyDescent="0.25">
      <c r="A1422" s="1" t="s">
        <v>1520</v>
      </c>
      <c r="B1422">
        <v>286</v>
      </c>
      <c r="C1422">
        <v>170</v>
      </c>
    </row>
    <row r="1423" spans="1:3" x14ac:dyDescent="0.25">
      <c r="A1423" s="1" t="s">
        <v>1522</v>
      </c>
      <c r="B1423">
        <v>238</v>
      </c>
    </row>
    <row r="1424" spans="1:3" x14ac:dyDescent="0.25">
      <c r="A1424" s="1" t="s">
        <v>1522</v>
      </c>
      <c r="B1424">
        <v>88</v>
      </c>
      <c r="C1424">
        <v>69</v>
      </c>
    </row>
    <row r="1425" spans="1:3" x14ac:dyDescent="0.25">
      <c r="A1425" s="1" t="s">
        <v>1522</v>
      </c>
      <c r="B1425">
        <v>238</v>
      </c>
      <c r="C1425">
        <v>200</v>
      </c>
    </row>
    <row r="1426" spans="1:3" x14ac:dyDescent="0.25">
      <c r="A1426" s="1" t="s">
        <v>1523</v>
      </c>
      <c r="B1426">
        <v>184</v>
      </c>
      <c r="C1426">
        <v>47</v>
      </c>
    </row>
    <row r="1427" spans="1:3" x14ac:dyDescent="0.25">
      <c r="A1427" s="1" t="s">
        <v>1525</v>
      </c>
      <c r="B1427">
        <v>451</v>
      </c>
      <c r="C1427">
        <v>100</v>
      </c>
    </row>
    <row r="1428" spans="1:3" x14ac:dyDescent="0.25">
      <c r="A1428" s="1" t="s">
        <v>1526</v>
      </c>
      <c r="B1428">
        <v>120</v>
      </c>
      <c r="C1428">
        <v>55</v>
      </c>
    </row>
    <row r="1429" spans="1:3" x14ac:dyDescent="0.25">
      <c r="A1429" s="1" t="s">
        <v>1529</v>
      </c>
      <c r="B1429">
        <v>13</v>
      </c>
    </row>
    <row r="1430" spans="1:3" x14ac:dyDescent="0.25">
      <c r="A1430" s="1" t="s">
        <v>1530</v>
      </c>
      <c r="B1430">
        <v>153</v>
      </c>
    </row>
    <row r="1431" spans="1:3" x14ac:dyDescent="0.25">
      <c r="A1431" s="1" t="s">
        <v>1531</v>
      </c>
      <c r="B1431">
        <v>763</v>
      </c>
      <c r="C1431">
        <v>180</v>
      </c>
    </row>
    <row r="1432" spans="1:3" x14ac:dyDescent="0.25">
      <c r="A1432" s="1" t="s">
        <v>1532</v>
      </c>
      <c r="B1432">
        <v>106</v>
      </c>
      <c r="C1432">
        <v>43</v>
      </c>
    </row>
    <row r="1433" spans="1:3" x14ac:dyDescent="0.25">
      <c r="A1433" s="1" t="s">
        <v>1533</v>
      </c>
      <c r="B1433">
        <v>78</v>
      </c>
    </row>
    <row r="1434" spans="1:3" x14ac:dyDescent="0.25">
      <c r="A1434" s="1" t="s">
        <v>1534</v>
      </c>
      <c r="B1434">
        <v>14</v>
      </c>
    </row>
    <row r="1435" spans="1:3" x14ac:dyDescent="0.25">
      <c r="A1435" s="1" t="s">
        <v>1536</v>
      </c>
      <c r="B1435">
        <v>100</v>
      </c>
      <c r="C1435">
        <v>26</v>
      </c>
    </row>
    <row r="1436" spans="1:3" x14ac:dyDescent="0.25">
      <c r="A1436" s="1" t="s">
        <v>1537</v>
      </c>
      <c r="B1436">
        <v>176</v>
      </c>
    </row>
    <row r="1437" spans="1:3" x14ac:dyDescent="0.25">
      <c r="A1437" s="1" t="s">
        <v>1538</v>
      </c>
      <c r="B1437">
        <v>73</v>
      </c>
      <c r="C1437">
        <v>85</v>
      </c>
    </row>
    <row r="1438" spans="1:3" x14ac:dyDescent="0.25">
      <c r="A1438" s="1" t="s">
        <v>1539</v>
      </c>
      <c r="B1438">
        <v>56</v>
      </c>
    </row>
    <row r="1439" spans="1:3" x14ac:dyDescent="0.25">
      <c r="A1439" s="1" t="s">
        <v>1540</v>
      </c>
      <c r="B1439">
        <v>150</v>
      </c>
      <c r="C1439">
        <v>20</v>
      </c>
    </row>
    <row r="1440" spans="1:3" x14ac:dyDescent="0.25">
      <c r="A1440" s="1" t="s">
        <v>1541</v>
      </c>
      <c r="B1440">
        <v>649</v>
      </c>
      <c r="C1440">
        <v>180</v>
      </c>
    </row>
    <row r="1441" spans="1:3" x14ac:dyDescent="0.25">
      <c r="A1441" s="1" t="s">
        <v>1543</v>
      </c>
      <c r="B1441">
        <v>817</v>
      </c>
      <c r="C1441">
        <v>63</v>
      </c>
    </row>
    <row r="1442" spans="1:3" x14ac:dyDescent="0.25">
      <c r="A1442" s="1" t="s">
        <v>1544</v>
      </c>
      <c r="B1442">
        <v>154</v>
      </c>
      <c r="C1442">
        <v>71</v>
      </c>
    </row>
    <row r="1443" spans="1:3" x14ac:dyDescent="0.25">
      <c r="A1443" s="1" t="s">
        <v>1545</v>
      </c>
      <c r="B1443">
        <v>33</v>
      </c>
    </row>
    <row r="1444" spans="1:3" x14ac:dyDescent="0.25">
      <c r="A1444" s="1" t="s">
        <v>1545</v>
      </c>
      <c r="B1444">
        <v>33</v>
      </c>
    </row>
    <row r="1445" spans="1:3" x14ac:dyDescent="0.25">
      <c r="A1445" s="1" t="s">
        <v>1549</v>
      </c>
      <c r="B1445">
        <v>70</v>
      </c>
    </row>
    <row r="1446" spans="1:3" x14ac:dyDescent="0.25">
      <c r="A1446" s="1" t="s">
        <v>1550</v>
      </c>
      <c r="B1446">
        <v>1200</v>
      </c>
      <c r="C1446">
        <v>300</v>
      </c>
    </row>
    <row r="1447" spans="1:3" x14ac:dyDescent="0.25">
      <c r="A1447" s="1" t="s">
        <v>1552</v>
      </c>
      <c r="B1447">
        <v>10</v>
      </c>
      <c r="C1447">
        <v>89</v>
      </c>
    </row>
    <row r="1448" spans="1:3" x14ac:dyDescent="0.25">
      <c r="A1448" s="1" t="s">
        <v>1553</v>
      </c>
      <c r="B1448">
        <v>20</v>
      </c>
    </row>
    <row r="1449" spans="1:3" x14ac:dyDescent="0.25">
      <c r="A1449" s="1" t="s">
        <v>1554</v>
      </c>
      <c r="B1449">
        <v>150</v>
      </c>
    </row>
    <row r="1450" spans="1:3" x14ac:dyDescent="0.25">
      <c r="A1450" s="1" t="s">
        <v>1555</v>
      </c>
      <c r="B1450">
        <v>184</v>
      </c>
      <c r="C1450">
        <v>1500</v>
      </c>
    </row>
    <row r="1451" spans="1:3" x14ac:dyDescent="0.25">
      <c r="A1451" s="1" t="s">
        <v>1557</v>
      </c>
      <c r="B1451">
        <v>189</v>
      </c>
    </row>
    <row r="1452" spans="1:3" x14ac:dyDescent="0.25">
      <c r="A1452" s="1" t="s">
        <v>1557</v>
      </c>
      <c r="B1452">
        <v>149</v>
      </c>
      <c r="C1452">
        <v>50</v>
      </c>
    </row>
    <row r="1453" spans="1:3" x14ac:dyDescent="0.25">
      <c r="A1453" s="1" t="s">
        <v>1558</v>
      </c>
      <c r="B1453">
        <v>1</v>
      </c>
    </row>
    <row r="1454" spans="1:3" x14ac:dyDescent="0.25">
      <c r="A1454" s="1" t="s">
        <v>1559</v>
      </c>
      <c r="B1454">
        <v>91</v>
      </c>
      <c r="C1454">
        <v>50</v>
      </c>
    </row>
    <row r="1455" spans="1:3" x14ac:dyDescent="0.25">
      <c r="A1455" s="1" t="s">
        <v>1562</v>
      </c>
      <c r="B1455">
        <v>400</v>
      </c>
      <c r="C1455">
        <v>270</v>
      </c>
    </row>
    <row r="1456" spans="1:3" x14ac:dyDescent="0.25">
      <c r="A1456" s="1" t="s">
        <v>1563</v>
      </c>
      <c r="B1456">
        <v>39</v>
      </c>
      <c r="C1456">
        <v>87</v>
      </c>
    </row>
    <row r="1457" spans="1:3" x14ac:dyDescent="0.25">
      <c r="A1457" s="1" t="s">
        <v>1564</v>
      </c>
      <c r="B1457">
        <v>175</v>
      </c>
      <c r="C1457">
        <v>72</v>
      </c>
    </row>
    <row r="1458" spans="1:3" x14ac:dyDescent="0.25">
      <c r="A1458" s="1" t="s">
        <v>1565</v>
      </c>
      <c r="B1458">
        <v>65</v>
      </c>
      <c r="C1458">
        <v>30</v>
      </c>
    </row>
    <row r="1459" spans="1:3" x14ac:dyDescent="0.25">
      <c r="A1459" s="1" t="s">
        <v>1565</v>
      </c>
      <c r="B1459">
        <v>65</v>
      </c>
      <c r="C1459">
        <v>40</v>
      </c>
    </row>
    <row r="1460" spans="1:3" x14ac:dyDescent="0.25">
      <c r="A1460" s="1" t="s">
        <v>1566</v>
      </c>
      <c r="B1460">
        <v>533</v>
      </c>
      <c r="C1460">
        <v>130</v>
      </c>
    </row>
    <row r="1461" spans="1:3" x14ac:dyDescent="0.25">
      <c r="A1461" s="1" t="s">
        <v>1567</v>
      </c>
      <c r="B1461">
        <v>15</v>
      </c>
      <c r="C1461">
        <v>28</v>
      </c>
    </row>
    <row r="1462" spans="1:3" x14ac:dyDescent="0.25">
      <c r="A1462" s="1" t="s">
        <v>1568</v>
      </c>
      <c r="B1462">
        <v>425</v>
      </c>
    </row>
    <row r="1463" spans="1:3" x14ac:dyDescent="0.25">
      <c r="A1463" s="1" t="s">
        <v>1570</v>
      </c>
      <c r="B1463">
        <v>1800</v>
      </c>
    </row>
    <row r="1464" spans="1:3" x14ac:dyDescent="0.25">
      <c r="A1464" s="1" t="s">
        <v>1571</v>
      </c>
      <c r="B1464">
        <v>28</v>
      </c>
      <c r="C1464">
        <v>60</v>
      </c>
    </row>
    <row r="1465" spans="1:3" x14ac:dyDescent="0.25">
      <c r="A1465" s="1" t="s">
        <v>1572</v>
      </c>
      <c r="B1465">
        <v>3</v>
      </c>
      <c r="C1465">
        <v>20</v>
      </c>
    </row>
    <row r="1466" spans="1:3" x14ac:dyDescent="0.25">
      <c r="A1466" s="1" t="s">
        <v>1574</v>
      </c>
      <c r="B1466">
        <v>335</v>
      </c>
      <c r="C1466">
        <v>88</v>
      </c>
    </row>
    <row r="1467" spans="1:3" x14ac:dyDescent="0.25">
      <c r="A1467" s="1" t="s">
        <v>1574</v>
      </c>
      <c r="B1467">
        <v>755</v>
      </c>
      <c r="C1467">
        <v>160</v>
      </c>
    </row>
    <row r="1468" spans="1:3" x14ac:dyDescent="0.25">
      <c r="A1468" s="1" t="s">
        <v>1575</v>
      </c>
      <c r="B1468">
        <v>347</v>
      </c>
      <c r="C1468">
        <v>80</v>
      </c>
    </row>
    <row r="1469" spans="1:3" x14ac:dyDescent="0.25">
      <c r="A1469" s="1" t="s">
        <v>1576</v>
      </c>
      <c r="B1469">
        <v>226</v>
      </c>
    </row>
    <row r="1470" spans="1:3" x14ac:dyDescent="0.25">
      <c r="A1470" s="1" t="s">
        <v>1577</v>
      </c>
      <c r="B1470">
        <v>4</v>
      </c>
    </row>
    <row r="1471" spans="1:3" x14ac:dyDescent="0.25">
      <c r="A1471" s="1" t="s">
        <v>1578</v>
      </c>
      <c r="B1471">
        <v>329</v>
      </c>
      <c r="C1471">
        <v>63</v>
      </c>
    </row>
    <row r="1472" spans="1:3" x14ac:dyDescent="0.25">
      <c r="A1472" s="1" t="s">
        <v>1578</v>
      </c>
      <c r="B1472">
        <v>329</v>
      </c>
      <c r="C1472">
        <v>100</v>
      </c>
    </row>
    <row r="1473" spans="1:3" x14ac:dyDescent="0.25">
      <c r="A1473" s="1" t="s">
        <v>1579</v>
      </c>
      <c r="B1473">
        <v>202</v>
      </c>
    </row>
    <row r="1474" spans="1:3" x14ac:dyDescent="0.25">
      <c r="A1474" s="1" t="s">
        <v>1582</v>
      </c>
      <c r="B1474">
        <v>41</v>
      </c>
    </row>
    <row r="1475" spans="1:3" x14ac:dyDescent="0.25">
      <c r="A1475" s="1" t="s">
        <v>1583</v>
      </c>
      <c r="B1475">
        <v>12</v>
      </c>
      <c r="C1475">
        <v>60</v>
      </c>
    </row>
    <row r="1476" spans="1:3" x14ac:dyDescent="0.25">
      <c r="A1476" s="1" t="s">
        <v>1585</v>
      </c>
      <c r="B1476">
        <v>2300</v>
      </c>
    </row>
    <row r="1477" spans="1:3" x14ac:dyDescent="0.25">
      <c r="A1477" s="1" t="s">
        <v>1586</v>
      </c>
      <c r="B1477">
        <v>770</v>
      </c>
    </row>
    <row r="1478" spans="1:3" x14ac:dyDescent="0.25">
      <c r="A1478" s="1" t="s">
        <v>1587</v>
      </c>
      <c r="B1478">
        <v>40</v>
      </c>
      <c r="C1478">
        <v>59</v>
      </c>
    </row>
    <row r="1479" spans="1:3" x14ac:dyDescent="0.25">
      <c r="A1479" s="1" t="s">
        <v>1588</v>
      </c>
      <c r="B1479">
        <v>2</v>
      </c>
    </row>
    <row r="1480" spans="1:3" x14ac:dyDescent="0.25">
      <c r="A1480" s="1" t="s">
        <v>1589</v>
      </c>
      <c r="B1480">
        <v>30</v>
      </c>
    </row>
    <row r="1481" spans="1:3" x14ac:dyDescent="0.25">
      <c r="A1481" s="1" t="s">
        <v>1590</v>
      </c>
      <c r="B1481">
        <v>117</v>
      </c>
      <c r="C1481">
        <v>140</v>
      </c>
    </row>
    <row r="1482" spans="1:3" x14ac:dyDescent="0.25">
      <c r="A1482" s="1" t="s">
        <v>1591</v>
      </c>
      <c r="B1482">
        <v>42</v>
      </c>
      <c r="C1482">
        <v>11</v>
      </c>
    </row>
    <row r="1483" spans="1:3" x14ac:dyDescent="0.25">
      <c r="A1483" s="1" t="s">
        <v>1591</v>
      </c>
      <c r="B1483">
        <v>42</v>
      </c>
      <c r="C1483">
        <v>40</v>
      </c>
    </row>
    <row r="1484" spans="1:3" x14ac:dyDescent="0.25">
      <c r="A1484" s="1" t="s">
        <v>1593</v>
      </c>
      <c r="B1484">
        <v>548</v>
      </c>
    </row>
    <row r="1485" spans="1:3" x14ac:dyDescent="0.25">
      <c r="A1485" s="1" t="s">
        <v>1594</v>
      </c>
      <c r="B1485">
        <v>277</v>
      </c>
      <c r="C1485">
        <v>84</v>
      </c>
    </row>
    <row r="1486" spans="1:3" x14ac:dyDescent="0.25">
      <c r="A1486" s="1" t="s">
        <v>1595</v>
      </c>
      <c r="B1486">
        <v>55</v>
      </c>
      <c r="C1486">
        <v>235</v>
      </c>
    </row>
    <row r="1487" spans="1:3" x14ac:dyDescent="0.25">
      <c r="A1487" s="1" t="s">
        <v>1596</v>
      </c>
      <c r="B1487">
        <v>55</v>
      </c>
    </row>
    <row r="1488" spans="1:3" x14ac:dyDescent="0.25">
      <c r="A1488" s="1" t="s">
        <v>1597</v>
      </c>
      <c r="B1488">
        <v>134</v>
      </c>
    </row>
    <row r="1489" spans="1:3" x14ac:dyDescent="0.25">
      <c r="A1489" s="1" t="s">
        <v>1597</v>
      </c>
      <c r="B1489">
        <v>134</v>
      </c>
    </row>
    <row r="1490" spans="1:3" x14ac:dyDescent="0.25">
      <c r="A1490" s="1" t="s">
        <v>1598</v>
      </c>
      <c r="B1490">
        <v>315</v>
      </c>
      <c r="C1490">
        <v>67</v>
      </c>
    </row>
    <row r="1491" spans="1:3" x14ac:dyDescent="0.25">
      <c r="A1491" s="1" t="s">
        <v>1599</v>
      </c>
      <c r="B1491">
        <v>319</v>
      </c>
      <c r="C1491">
        <v>236</v>
      </c>
    </row>
    <row r="1492" spans="1:3" x14ac:dyDescent="0.25">
      <c r="A1492" s="1" t="s">
        <v>1599</v>
      </c>
      <c r="B1492">
        <v>319</v>
      </c>
      <c r="C1492">
        <v>470</v>
      </c>
    </row>
    <row r="1493" spans="1:3" x14ac:dyDescent="0.25">
      <c r="A1493" s="1" t="s">
        <v>1599</v>
      </c>
      <c r="B1493">
        <v>320</v>
      </c>
      <c r="C1493">
        <v>862</v>
      </c>
    </row>
    <row r="1494" spans="1:3" x14ac:dyDescent="0.25">
      <c r="A1494" s="1" t="s">
        <v>1600</v>
      </c>
      <c r="B1494">
        <v>50</v>
      </c>
      <c r="C1494">
        <v>44</v>
      </c>
    </row>
    <row r="1495" spans="1:3" x14ac:dyDescent="0.25">
      <c r="A1495" s="1" t="s">
        <v>1602</v>
      </c>
      <c r="B1495">
        <v>317</v>
      </c>
      <c r="C1495">
        <v>31</v>
      </c>
    </row>
    <row r="1496" spans="1:3" x14ac:dyDescent="0.25">
      <c r="A1496" s="1" t="s">
        <v>1603</v>
      </c>
      <c r="B1496">
        <v>1500</v>
      </c>
      <c r="C1496">
        <v>750</v>
      </c>
    </row>
    <row r="1497" spans="1:3" x14ac:dyDescent="0.25">
      <c r="A1497" s="1" t="s">
        <v>1604</v>
      </c>
      <c r="B1497">
        <v>81</v>
      </c>
    </row>
    <row r="1498" spans="1:3" x14ac:dyDescent="0.25">
      <c r="A1498" s="1" t="s">
        <v>1605</v>
      </c>
      <c r="B1498">
        <v>125</v>
      </c>
      <c r="C1498">
        <v>150</v>
      </c>
    </row>
    <row r="1499" spans="1:3" x14ac:dyDescent="0.25">
      <c r="A1499" s="1" t="s">
        <v>1607</v>
      </c>
      <c r="B1499">
        <v>63</v>
      </c>
    </row>
    <row r="1500" spans="1:3" x14ac:dyDescent="0.25">
      <c r="A1500" s="1" t="s">
        <v>1608</v>
      </c>
      <c r="B1500">
        <v>13</v>
      </c>
      <c r="C1500">
        <v>82</v>
      </c>
    </row>
    <row r="1501" spans="1:3" x14ac:dyDescent="0.25">
      <c r="A1501" s="1" t="s">
        <v>1609</v>
      </c>
      <c r="B1501">
        <v>38</v>
      </c>
    </row>
    <row r="1502" spans="1:3" x14ac:dyDescent="0.25">
      <c r="A1502" s="1" t="s">
        <v>1610</v>
      </c>
      <c r="B1502">
        <v>496</v>
      </c>
      <c r="C1502">
        <v>100</v>
      </c>
    </row>
    <row r="1503" spans="1:3" x14ac:dyDescent="0.25">
      <c r="A1503" s="1" t="s">
        <v>1611</v>
      </c>
      <c r="B1503">
        <v>17</v>
      </c>
      <c r="C1503">
        <v>50</v>
      </c>
    </row>
    <row r="1504" spans="1:3" x14ac:dyDescent="0.25">
      <c r="A1504" s="1" t="s">
        <v>1613</v>
      </c>
      <c r="B1504">
        <v>163</v>
      </c>
      <c r="C1504">
        <v>70</v>
      </c>
    </row>
    <row r="1505" spans="1:3" x14ac:dyDescent="0.25">
      <c r="A1505" s="1" t="s">
        <v>1613</v>
      </c>
      <c r="B1505">
        <v>163</v>
      </c>
      <c r="C1505">
        <v>210</v>
      </c>
    </row>
    <row r="1506" spans="1:3" x14ac:dyDescent="0.25">
      <c r="A1506" s="1" t="s">
        <v>1614</v>
      </c>
      <c r="B1506">
        <v>541</v>
      </c>
    </row>
    <row r="1507" spans="1:3" x14ac:dyDescent="0.25">
      <c r="A1507" s="1" t="s">
        <v>1614</v>
      </c>
      <c r="B1507">
        <v>526</v>
      </c>
    </row>
    <row r="1508" spans="1:3" x14ac:dyDescent="0.25">
      <c r="A1508" s="1" t="s">
        <v>1615</v>
      </c>
      <c r="B1508">
        <v>257</v>
      </c>
      <c r="C1508">
        <v>65</v>
      </c>
    </row>
    <row r="1509" spans="1:3" x14ac:dyDescent="0.25">
      <c r="A1509" s="1" t="s">
        <v>1616</v>
      </c>
      <c r="B1509">
        <v>85</v>
      </c>
      <c r="C1509">
        <v>50</v>
      </c>
    </row>
    <row r="1510" spans="1:3" x14ac:dyDescent="0.25">
      <c r="A1510" s="1" t="s">
        <v>1617</v>
      </c>
      <c r="B1510">
        <v>87</v>
      </c>
      <c r="C1510">
        <v>25</v>
      </c>
    </row>
    <row r="1511" spans="1:3" x14ac:dyDescent="0.25">
      <c r="A1511" s="1" t="s">
        <v>1619</v>
      </c>
      <c r="B1511">
        <v>127</v>
      </c>
      <c r="C1511">
        <v>175</v>
      </c>
    </row>
    <row r="1512" spans="1:3" x14ac:dyDescent="0.25">
      <c r="A1512" s="1" t="s">
        <v>1620</v>
      </c>
      <c r="B1512">
        <v>30</v>
      </c>
      <c r="C1512">
        <v>85</v>
      </c>
    </row>
    <row r="1513" spans="1:3" x14ac:dyDescent="0.25">
      <c r="A1513" s="1" t="s">
        <v>1621</v>
      </c>
      <c r="B1513">
        <v>26</v>
      </c>
      <c r="C1513">
        <v>24</v>
      </c>
    </row>
    <row r="1514" spans="1:3" x14ac:dyDescent="0.25">
      <c r="A1514" s="1" t="s">
        <v>1622</v>
      </c>
      <c r="B1514">
        <v>837</v>
      </c>
      <c r="C1514">
        <v>60</v>
      </c>
    </row>
    <row r="1515" spans="1:3" x14ac:dyDescent="0.25">
      <c r="A1515" s="1" t="s">
        <v>1623</v>
      </c>
      <c r="B1515">
        <v>133</v>
      </c>
      <c r="C1515">
        <v>57</v>
      </c>
    </row>
    <row r="1516" spans="1:3" x14ac:dyDescent="0.25">
      <c r="A1516" s="1" t="s">
        <v>1624</v>
      </c>
      <c r="B1516">
        <v>35</v>
      </c>
      <c r="C1516">
        <v>16</v>
      </c>
    </row>
    <row r="1517" spans="1:3" x14ac:dyDescent="0.25">
      <c r="A1517" s="1" t="s">
        <v>1625</v>
      </c>
      <c r="B1517">
        <v>405</v>
      </c>
      <c r="C1517">
        <v>136</v>
      </c>
    </row>
    <row r="1518" spans="1:3" x14ac:dyDescent="0.25">
      <c r="A1518" s="1" t="s">
        <v>1625</v>
      </c>
      <c r="B1518">
        <v>405</v>
      </c>
      <c r="C1518">
        <v>170</v>
      </c>
    </row>
    <row r="1519" spans="1:3" x14ac:dyDescent="0.25">
      <c r="A1519" s="1" t="s">
        <v>1626</v>
      </c>
      <c r="B1519">
        <v>73</v>
      </c>
      <c r="C1519">
        <v>35</v>
      </c>
    </row>
    <row r="1520" spans="1:3" x14ac:dyDescent="0.25">
      <c r="A1520" s="1" t="s">
        <v>1627</v>
      </c>
      <c r="B1520">
        <v>298</v>
      </c>
    </row>
    <row r="1521" spans="1:3" x14ac:dyDescent="0.25">
      <c r="A1521" s="1" t="s">
        <v>1628</v>
      </c>
      <c r="B1521">
        <v>423</v>
      </c>
      <c r="C1521">
        <v>120</v>
      </c>
    </row>
    <row r="1522" spans="1:3" x14ac:dyDescent="0.25">
      <c r="A1522" s="1" t="s">
        <v>1629</v>
      </c>
      <c r="B1522">
        <v>44</v>
      </c>
    </row>
    <row r="1523" spans="1:3" x14ac:dyDescent="0.25">
      <c r="A1523" s="1" t="s">
        <v>1629</v>
      </c>
      <c r="B1523">
        <v>44</v>
      </c>
      <c r="C1523">
        <v>30</v>
      </c>
    </row>
    <row r="1524" spans="1:3" x14ac:dyDescent="0.25">
      <c r="A1524" s="1" t="s">
        <v>1629</v>
      </c>
      <c r="B1524">
        <v>44</v>
      </c>
      <c r="C1524">
        <v>50</v>
      </c>
    </row>
    <row r="1525" spans="1:3" x14ac:dyDescent="0.25">
      <c r="A1525" s="1" t="s">
        <v>1630</v>
      </c>
      <c r="B1525">
        <v>21</v>
      </c>
      <c r="C1525">
        <v>46</v>
      </c>
    </row>
    <row r="1526" spans="1:3" x14ac:dyDescent="0.25">
      <c r="A1526" s="1" t="s">
        <v>1631</v>
      </c>
      <c r="B1526">
        <v>134</v>
      </c>
      <c r="C1526">
        <v>23</v>
      </c>
    </row>
    <row r="1527" spans="1:3" x14ac:dyDescent="0.25">
      <c r="A1527" s="1" t="s">
        <v>1631</v>
      </c>
      <c r="B1527">
        <v>112</v>
      </c>
      <c r="C1527">
        <v>196</v>
      </c>
    </row>
    <row r="1528" spans="1:3" x14ac:dyDescent="0.25">
      <c r="A1528" s="1" t="s">
        <v>1632</v>
      </c>
      <c r="B1528">
        <v>10700</v>
      </c>
    </row>
    <row r="1529" spans="1:3" x14ac:dyDescent="0.25">
      <c r="A1529" s="1" t="s">
        <v>1632</v>
      </c>
      <c r="B1529">
        <v>3100</v>
      </c>
      <c r="C1529">
        <v>40</v>
      </c>
    </row>
    <row r="1530" spans="1:3" x14ac:dyDescent="0.25">
      <c r="A1530" s="1" t="s">
        <v>1632</v>
      </c>
      <c r="B1530">
        <v>10700</v>
      </c>
      <c r="C1530">
        <v>840</v>
      </c>
    </row>
    <row r="1531" spans="1:3" x14ac:dyDescent="0.25">
      <c r="A1531" s="1" t="s">
        <v>1633</v>
      </c>
      <c r="B1531">
        <v>1000</v>
      </c>
    </row>
    <row r="1532" spans="1:3" x14ac:dyDescent="0.25">
      <c r="A1532" s="1" t="s">
        <v>1634</v>
      </c>
      <c r="B1532">
        <v>5600</v>
      </c>
      <c r="C1532">
        <v>340</v>
      </c>
    </row>
    <row r="1533" spans="1:3" x14ac:dyDescent="0.25">
      <c r="A1533" s="1" t="s">
        <v>1634</v>
      </c>
      <c r="B1533">
        <v>5600</v>
      </c>
      <c r="C1533">
        <v>713</v>
      </c>
    </row>
    <row r="1534" spans="1:3" x14ac:dyDescent="0.25">
      <c r="A1534" s="1" t="s">
        <v>1635</v>
      </c>
      <c r="B1534">
        <v>1</v>
      </c>
      <c r="C1534">
        <v>100</v>
      </c>
    </row>
    <row r="1535" spans="1:3" x14ac:dyDescent="0.25">
      <c r="A1535" s="1" t="s">
        <v>1635</v>
      </c>
      <c r="B1535">
        <v>34</v>
      </c>
    </row>
    <row r="1536" spans="1:3" x14ac:dyDescent="0.25">
      <c r="A1536" s="1" t="s">
        <v>1636</v>
      </c>
      <c r="B1536">
        <v>208</v>
      </c>
      <c r="C1536">
        <v>200</v>
      </c>
    </row>
    <row r="1537" spans="1:3" x14ac:dyDescent="0.25">
      <c r="A1537" s="1" t="s">
        <v>1637</v>
      </c>
      <c r="B1537">
        <v>365</v>
      </c>
    </row>
    <row r="1538" spans="1:3" x14ac:dyDescent="0.25">
      <c r="A1538" s="1" t="s">
        <v>1638</v>
      </c>
      <c r="B1538">
        <v>527</v>
      </c>
      <c r="C1538">
        <v>137</v>
      </c>
    </row>
    <row r="1539" spans="1:3" x14ac:dyDescent="0.25">
      <c r="A1539" s="1" t="s">
        <v>1638</v>
      </c>
      <c r="B1539">
        <v>527</v>
      </c>
      <c r="C1539">
        <v>330</v>
      </c>
    </row>
    <row r="1540" spans="1:3" x14ac:dyDescent="0.25">
      <c r="A1540" s="1" t="s">
        <v>1639</v>
      </c>
      <c r="B1540">
        <v>481</v>
      </c>
    </row>
    <row r="1541" spans="1:3" x14ac:dyDescent="0.25">
      <c r="A1541" s="1" t="s">
        <v>1640</v>
      </c>
      <c r="B1541">
        <v>310</v>
      </c>
      <c r="C1541">
        <v>194</v>
      </c>
    </row>
    <row r="1542" spans="1:3" x14ac:dyDescent="0.25">
      <c r="A1542" s="1" t="s">
        <v>1641</v>
      </c>
      <c r="B1542">
        <v>25</v>
      </c>
      <c r="C1542">
        <v>18</v>
      </c>
    </row>
    <row r="1543" spans="1:3" x14ac:dyDescent="0.25">
      <c r="A1543" s="1" t="s">
        <v>1642</v>
      </c>
      <c r="B1543">
        <v>205</v>
      </c>
    </row>
    <row r="1544" spans="1:3" x14ac:dyDescent="0.25">
      <c r="A1544" s="1" t="s">
        <v>1643</v>
      </c>
      <c r="B1544">
        <v>14</v>
      </c>
    </row>
    <row r="1545" spans="1:3" x14ac:dyDescent="0.25">
      <c r="A1545" s="1" t="s">
        <v>1644</v>
      </c>
      <c r="B1545">
        <v>60</v>
      </c>
      <c r="C1545">
        <v>50</v>
      </c>
    </row>
    <row r="1546" spans="1:3" x14ac:dyDescent="0.25">
      <c r="A1546" s="1" t="s">
        <v>1645</v>
      </c>
      <c r="B1546">
        <v>382</v>
      </c>
    </row>
    <row r="1547" spans="1:3" x14ac:dyDescent="0.25">
      <c r="A1547" s="1" t="s">
        <v>1647</v>
      </c>
      <c r="B1547">
        <v>445</v>
      </c>
    </row>
    <row r="1548" spans="1:3" x14ac:dyDescent="0.25">
      <c r="A1548" s="1" t="s">
        <v>1647</v>
      </c>
      <c r="B1548">
        <v>445</v>
      </c>
      <c r="C1548">
        <v>160</v>
      </c>
    </row>
    <row r="1549" spans="1:3" x14ac:dyDescent="0.25">
      <c r="A1549" s="1" t="s">
        <v>1648</v>
      </c>
      <c r="B1549">
        <v>553</v>
      </c>
      <c r="C1549">
        <v>57</v>
      </c>
    </row>
    <row r="1550" spans="1:3" x14ac:dyDescent="0.25">
      <c r="A1550" s="1" t="s">
        <v>1650</v>
      </c>
      <c r="B1550">
        <v>172</v>
      </c>
      <c r="C1550">
        <v>50</v>
      </c>
    </row>
    <row r="1551" spans="1:3" x14ac:dyDescent="0.25">
      <c r="A1551" s="1" t="s">
        <v>1650</v>
      </c>
      <c r="B1551">
        <v>172</v>
      </c>
      <c r="C1551">
        <v>180</v>
      </c>
    </row>
    <row r="1552" spans="1:3" x14ac:dyDescent="0.25">
      <c r="A1552" s="1" t="s">
        <v>1652</v>
      </c>
      <c r="B1552">
        <v>61</v>
      </c>
      <c r="C1552">
        <v>27</v>
      </c>
    </row>
    <row r="1553" spans="1:3" x14ac:dyDescent="0.25">
      <c r="A1553" s="1" t="s">
        <v>1653</v>
      </c>
      <c r="B1553">
        <v>438</v>
      </c>
      <c r="C1553">
        <v>340</v>
      </c>
    </row>
    <row r="1554" spans="1:3" x14ac:dyDescent="0.25">
      <c r="A1554" s="1" t="s">
        <v>1654</v>
      </c>
      <c r="B1554">
        <v>965</v>
      </c>
      <c r="C1554">
        <v>100</v>
      </c>
    </row>
    <row r="1555" spans="1:3" x14ac:dyDescent="0.25">
      <c r="A1555" s="1" t="s">
        <v>1655</v>
      </c>
      <c r="B1555">
        <v>5</v>
      </c>
      <c r="C1555">
        <v>20</v>
      </c>
    </row>
    <row r="1556" spans="1:3" x14ac:dyDescent="0.25">
      <c r="A1556" s="1" t="s">
        <v>1656</v>
      </c>
      <c r="B1556">
        <v>65</v>
      </c>
      <c r="C1556">
        <v>90</v>
      </c>
    </row>
    <row r="1557" spans="1:3" x14ac:dyDescent="0.25">
      <c r="A1557" s="1" t="s">
        <v>1656</v>
      </c>
      <c r="B1557">
        <v>65</v>
      </c>
      <c r="C1557">
        <v>1000</v>
      </c>
    </row>
    <row r="1558" spans="1:3" x14ac:dyDescent="0.25">
      <c r="A1558" s="1" t="s">
        <v>1656</v>
      </c>
      <c r="B1558">
        <v>65</v>
      </c>
      <c r="C1558">
        <v>1000</v>
      </c>
    </row>
    <row r="1559" spans="1:3" x14ac:dyDescent="0.25">
      <c r="A1559" s="1" t="s">
        <v>1656</v>
      </c>
      <c r="B1559">
        <v>65</v>
      </c>
      <c r="C1559">
        <v>8000</v>
      </c>
    </row>
    <row r="1560" spans="1:3" x14ac:dyDescent="0.25">
      <c r="A1560" s="1" t="s">
        <v>1657</v>
      </c>
      <c r="B1560">
        <v>145</v>
      </c>
      <c r="C1560">
        <v>55</v>
      </c>
    </row>
    <row r="1561" spans="1:3" x14ac:dyDescent="0.25">
      <c r="A1561" s="1" t="s">
        <v>1658</v>
      </c>
      <c r="B1561">
        <v>245</v>
      </c>
      <c r="C1561">
        <v>100</v>
      </c>
    </row>
    <row r="1562" spans="1:3" x14ac:dyDescent="0.25">
      <c r="A1562" s="1" t="s">
        <v>1659</v>
      </c>
      <c r="B1562">
        <v>97</v>
      </c>
      <c r="C1562">
        <v>60</v>
      </c>
    </row>
    <row r="1563" spans="1:3" x14ac:dyDescent="0.25">
      <c r="A1563" s="1" t="s">
        <v>1659</v>
      </c>
      <c r="B1563">
        <v>452</v>
      </c>
      <c r="C1563">
        <v>90</v>
      </c>
    </row>
    <row r="1564" spans="1:3" x14ac:dyDescent="0.25">
      <c r="A1564" s="1" t="s">
        <v>1660</v>
      </c>
      <c r="B1564">
        <v>84</v>
      </c>
    </row>
    <row r="1565" spans="1:3" x14ac:dyDescent="0.25">
      <c r="A1565" s="1" t="s">
        <v>1661</v>
      </c>
      <c r="B1565">
        <v>36</v>
      </c>
      <c r="C1565">
        <v>75</v>
      </c>
    </row>
    <row r="1566" spans="1:3" x14ac:dyDescent="0.25">
      <c r="A1566" s="1" t="s">
        <v>1662</v>
      </c>
      <c r="B1566">
        <v>530</v>
      </c>
      <c r="C1566">
        <v>300</v>
      </c>
    </row>
    <row r="1567" spans="1:3" x14ac:dyDescent="0.25">
      <c r="A1567" s="1" t="s">
        <v>1663</v>
      </c>
      <c r="B1567">
        <v>700</v>
      </c>
    </row>
    <row r="1568" spans="1:3" x14ac:dyDescent="0.25">
      <c r="A1568" s="1" t="s">
        <v>1664</v>
      </c>
      <c r="B1568">
        <v>106</v>
      </c>
    </row>
    <row r="1569" spans="1:3" x14ac:dyDescent="0.25">
      <c r="A1569" s="1" t="s">
        <v>1665</v>
      </c>
      <c r="B1569">
        <v>11</v>
      </c>
      <c r="C1569">
        <v>60</v>
      </c>
    </row>
    <row r="1570" spans="1:3" x14ac:dyDescent="0.25">
      <c r="A1570" s="1" t="s">
        <v>1666</v>
      </c>
      <c r="B1570">
        <v>82</v>
      </c>
      <c r="C1570">
        <v>80</v>
      </c>
    </row>
    <row r="1571" spans="1:3" x14ac:dyDescent="0.25">
      <c r="A1571" s="1" t="s">
        <v>1667</v>
      </c>
      <c r="B1571">
        <v>1300</v>
      </c>
      <c r="C1571">
        <v>3000</v>
      </c>
    </row>
    <row r="1572" spans="1:3" x14ac:dyDescent="0.25">
      <c r="A1572" s="1" t="s">
        <v>1669</v>
      </c>
      <c r="B1572">
        <v>1300</v>
      </c>
      <c r="C1572">
        <v>300</v>
      </c>
    </row>
    <row r="1573" spans="1:3" x14ac:dyDescent="0.25">
      <c r="A1573" s="1" t="s">
        <v>1670</v>
      </c>
      <c r="B1573">
        <v>151</v>
      </c>
      <c r="C1573">
        <v>30</v>
      </c>
    </row>
    <row r="1574" spans="1:3" x14ac:dyDescent="0.25">
      <c r="A1574" s="1" t="s">
        <v>1671</v>
      </c>
      <c r="B1574">
        <v>139</v>
      </c>
    </row>
    <row r="1575" spans="1:3" x14ac:dyDescent="0.25">
      <c r="A1575" s="1" t="s">
        <v>1672</v>
      </c>
      <c r="B1575">
        <v>602</v>
      </c>
    </row>
    <row r="1576" spans="1:3" x14ac:dyDescent="0.25">
      <c r="A1576" s="1" t="s">
        <v>1673</v>
      </c>
      <c r="B1576">
        <v>103</v>
      </c>
      <c r="C1576">
        <v>90</v>
      </c>
    </row>
    <row r="1577" spans="1:3" x14ac:dyDescent="0.25">
      <c r="A1577" s="1" t="s">
        <v>1677</v>
      </c>
      <c r="B1577">
        <v>347</v>
      </c>
      <c r="C1577">
        <v>90</v>
      </c>
    </row>
    <row r="1578" spans="1:3" x14ac:dyDescent="0.25">
      <c r="A1578" s="1" t="s">
        <v>1678</v>
      </c>
      <c r="B1578">
        <v>95</v>
      </c>
    </row>
    <row r="1579" spans="1:3" x14ac:dyDescent="0.25">
      <c r="A1579" s="1" t="s">
        <v>1678</v>
      </c>
      <c r="B1579">
        <v>95</v>
      </c>
      <c r="C1579">
        <v>92</v>
      </c>
    </row>
    <row r="1580" spans="1:3" x14ac:dyDescent="0.25">
      <c r="A1580" s="1" t="s">
        <v>1679</v>
      </c>
      <c r="B1580">
        <v>23</v>
      </c>
    </row>
    <row r="1581" spans="1:3" x14ac:dyDescent="0.25">
      <c r="A1581" s="1" t="s">
        <v>1680</v>
      </c>
      <c r="B1581">
        <v>8600</v>
      </c>
      <c r="C1581">
        <v>350</v>
      </c>
    </row>
    <row r="1582" spans="1:3" x14ac:dyDescent="0.25">
      <c r="A1582" s="1" t="s">
        <v>1680</v>
      </c>
      <c r="B1582">
        <v>8600</v>
      </c>
    </row>
    <row r="1583" spans="1:3" x14ac:dyDescent="0.25">
      <c r="A1583" s="1" t="s">
        <v>1681</v>
      </c>
      <c r="B1583">
        <v>7</v>
      </c>
    </row>
    <row r="1584" spans="1:3" x14ac:dyDescent="0.25">
      <c r="A1584" s="1" t="s">
        <v>1682</v>
      </c>
      <c r="B1584">
        <v>37</v>
      </c>
      <c r="C1584">
        <v>32</v>
      </c>
    </row>
    <row r="1585" spans="1:3" x14ac:dyDescent="0.25">
      <c r="A1585" s="1" t="s">
        <v>1683</v>
      </c>
      <c r="B1585">
        <v>83</v>
      </c>
      <c r="C1585">
        <v>212</v>
      </c>
    </row>
    <row r="1586" spans="1:3" x14ac:dyDescent="0.25">
      <c r="A1586" s="1" t="s">
        <v>1684</v>
      </c>
      <c r="B1586">
        <v>107</v>
      </c>
      <c r="C1586">
        <v>90</v>
      </c>
    </row>
    <row r="1587" spans="1:3" x14ac:dyDescent="0.25">
      <c r="A1587" s="1" t="s">
        <v>1685</v>
      </c>
      <c r="B1587">
        <v>283</v>
      </c>
      <c r="C1587">
        <v>50</v>
      </c>
    </row>
    <row r="1588" spans="1:3" x14ac:dyDescent="0.25">
      <c r="A1588" s="1" t="s">
        <v>1686</v>
      </c>
      <c r="B1588">
        <v>766</v>
      </c>
      <c r="C1588">
        <v>28</v>
      </c>
    </row>
    <row r="1589" spans="1:3" x14ac:dyDescent="0.25">
      <c r="A1589" s="1" t="s">
        <v>1687</v>
      </c>
      <c r="B1589">
        <v>791</v>
      </c>
      <c r="C1589">
        <v>250</v>
      </c>
    </row>
    <row r="1590" spans="1:3" x14ac:dyDescent="0.25">
      <c r="A1590" s="1" t="s">
        <v>1687</v>
      </c>
      <c r="B1590">
        <v>791</v>
      </c>
      <c r="C1590">
        <v>500</v>
      </c>
    </row>
    <row r="1591" spans="1:3" x14ac:dyDescent="0.25">
      <c r="A1591" s="1" t="s">
        <v>1688</v>
      </c>
      <c r="B1591">
        <v>3</v>
      </c>
      <c r="C1591">
        <v>300</v>
      </c>
    </row>
    <row r="1592" spans="1:3" x14ac:dyDescent="0.25">
      <c r="A1592" s="1" t="s">
        <v>1689</v>
      </c>
      <c r="B1592">
        <v>200</v>
      </c>
    </row>
    <row r="1593" spans="1:3" x14ac:dyDescent="0.25">
      <c r="A1593" s="1" t="s">
        <v>1691</v>
      </c>
      <c r="B1593">
        <v>69</v>
      </c>
      <c r="C1593">
        <v>27</v>
      </c>
    </row>
    <row r="1594" spans="1:3" x14ac:dyDescent="0.25">
      <c r="A1594" s="1" t="s">
        <v>1692</v>
      </c>
      <c r="B1594">
        <v>152</v>
      </c>
    </row>
    <row r="1595" spans="1:3" x14ac:dyDescent="0.25">
      <c r="A1595" s="1" t="s">
        <v>1693</v>
      </c>
      <c r="B1595">
        <v>26</v>
      </c>
      <c r="C1595">
        <v>30</v>
      </c>
    </row>
    <row r="1596" spans="1:3" x14ac:dyDescent="0.25">
      <c r="A1596" s="1" t="s">
        <v>1693</v>
      </c>
      <c r="B1596">
        <v>26</v>
      </c>
      <c r="C1596">
        <v>54</v>
      </c>
    </row>
    <row r="1597" spans="1:3" x14ac:dyDescent="0.25">
      <c r="A1597" s="1" t="s">
        <v>1694</v>
      </c>
      <c r="B1597">
        <v>50</v>
      </c>
      <c r="C1597">
        <v>17</v>
      </c>
    </row>
    <row r="1598" spans="1:3" x14ac:dyDescent="0.25">
      <c r="A1598" s="1" t="s">
        <v>1695</v>
      </c>
      <c r="B1598">
        <v>5</v>
      </c>
    </row>
    <row r="1599" spans="1:3" x14ac:dyDescent="0.25">
      <c r="A1599" s="1" t="s">
        <v>1695</v>
      </c>
      <c r="B1599">
        <v>5</v>
      </c>
    </row>
    <row r="1600" spans="1:3" x14ac:dyDescent="0.25">
      <c r="A1600" s="1" t="s">
        <v>1696</v>
      </c>
      <c r="B1600">
        <v>1100</v>
      </c>
      <c r="C1600">
        <v>221</v>
      </c>
    </row>
    <row r="1601" spans="1:3" x14ac:dyDescent="0.25">
      <c r="A1601" s="1" t="s">
        <v>1697</v>
      </c>
      <c r="B1601">
        <v>301</v>
      </c>
    </row>
    <row r="1602" spans="1:3" x14ac:dyDescent="0.25">
      <c r="A1602" s="1" t="s">
        <v>1698</v>
      </c>
      <c r="B1602">
        <v>45</v>
      </c>
      <c r="C1602">
        <v>21</v>
      </c>
    </row>
    <row r="1603" spans="1:3" x14ac:dyDescent="0.25">
      <c r="A1603" s="1" t="s">
        <v>1700</v>
      </c>
      <c r="B1603">
        <v>1700</v>
      </c>
      <c r="C1603">
        <v>100</v>
      </c>
    </row>
    <row r="1604" spans="1:3" x14ac:dyDescent="0.25">
      <c r="A1604" s="1" t="s">
        <v>1700</v>
      </c>
      <c r="B1604">
        <v>1700</v>
      </c>
      <c r="C1604">
        <v>500</v>
      </c>
    </row>
    <row r="1605" spans="1:3" x14ac:dyDescent="0.25">
      <c r="A1605" s="1" t="s">
        <v>1700</v>
      </c>
      <c r="B1605">
        <v>222</v>
      </c>
      <c r="C1605">
        <v>101</v>
      </c>
    </row>
    <row r="1606" spans="1:3" x14ac:dyDescent="0.25">
      <c r="A1606" s="1" t="s">
        <v>1701</v>
      </c>
      <c r="B1606">
        <v>38</v>
      </c>
      <c r="C1606">
        <v>18</v>
      </c>
    </row>
    <row r="1607" spans="1:3" x14ac:dyDescent="0.25">
      <c r="A1607" s="1" t="s">
        <v>1702</v>
      </c>
      <c r="B1607">
        <v>28</v>
      </c>
      <c r="C1607">
        <v>29</v>
      </c>
    </row>
    <row r="1608" spans="1:3" x14ac:dyDescent="0.25">
      <c r="A1608" s="1" t="s">
        <v>1703</v>
      </c>
      <c r="B1608">
        <v>58</v>
      </c>
      <c r="C1608">
        <v>43</v>
      </c>
    </row>
    <row r="1609" spans="1:3" x14ac:dyDescent="0.25">
      <c r="A1609" s="1" t="s">
        <v>1704</v>
      </c>
      <c r="B1609">
        <v>11</v>
      </c>
      <c r="C1609">
        <v>22</v>
      </c>
    </row>
    <row r="1610" spans="1:3" x14ac:dyDescent="0.25">
      <c r="A1610" s="1" t="s">
        <v>1705</v>
      </c>
      <c r="B1610">
        <v>504</v>
      </c>
    </row>
    <row r="1611" spans="1:3" x14ac:dyDescent="0.25">
      <c r="A1611" s="1" t="s">
        <v>1706</v>
      </c>
      <c r="B1611">
        <v>330</v>
      </c>
    </row>
    <row r="1612" spans="1:3" x14ac:dyDescent="0.25">
      <c r="A1612" s="1" t="s">
        <v>1707</v>
      </c>
      <c r="B1612">
        <v>154</v>
      </c>
      <c r="C1612">
        <v>60</v>
      </c>
    </row>
    <row r="1613" spans="1:3" x14ac:dyDescent="0.25">
      <c r="A1613" s="1" t="s">
        <v>1708</v>
      </c>
      <c r="B1613">
        <v>2</v>
      </c>
      <c r="C1613">
        <v>20</v>
      </c>
    </row>
    <row r="1614" spans="1:3" x14ac:dyDescent="0.25">
      <c r="A1614" s="1" t="s">
        <v>1709</v>
      </c>
      <c r="B1614">
        <v>114</v>
      </c>
      <c r="C1614">
        <v>48</v>
      </c>
    </row>
    <row r="1615" spans="1:3" x14ac:dyDescent="0.25">
      <c r="A1615" s="1" t="s">
        <v>1710</v>
      </c>
      <c r="B1615">
        <v>19</v>
      </c>
      <c r="C1615">
        <v>200</v>
      </c>
    </row>
    <row r="1616" spans="1:3" x14ac:dyDescent="0.25">
      <c r="A1616" s="1" t="s">
        <v>1712</v>
      </c>
      <c r="B1616">
        <v>122</v>
      </c>
      <c r="C1616">
        <v>30</v>
      </c>
    </row>
    <row r="1617" spans="1:3" x14ac:dyDescent="0.25">
      <c r="A1617" s="1" t="s">
        <v>1712</v>
      </c>
      <c r="B1617">
        <v>122</v>
      </c>
      <c r="C1617">
        <v>50</v>
      </c>
    </row>
    <row r="1618" spans="1:3" x14ac:dyDescent="0.25">
      <c r="A1618" s="1" t="s">
        <v>1712</v>
      </c>
      <c r="B1618">
        <v>122</v>
      </c>
      <c r="C1618">
        <v>70</v>
      </c>
    </row>
    <row r="1619" spans="1:3" x14ac:dyDescent="0.25">
      <c r="A1619" s="1" t="s">
        <v>1712</v>
      </c>
      <c r="B1619">
        <v>122</v>
      </c>
      <c r="C1619">
        <v>1000</v>
      </c>
    </row>
    <row r="1620" spans="1:3" x14ac:dyDescent="0.25">
      <c r="A1620" s="1" t="s">
        <v>1714</v>
      </c>
      <c r="B1620">
        <v>56</v>
      </c>
    </row>
    <row r="1621" spans="1:3" x14ac:dyDescent="0.25">
      <c r="A1621" s="1" t="s">
        <v>1715</v>
      </c>
      <c r="B1621">
        <v>159</v>
      </c>
      <c r="C1621">
        <v>52</v>
      </c>
    </row>
    <row r="1622" spans="1:3" x14ac:dyDescent="0.25">
      <c r="A1622" s="1" t="s">
        <v>1716</v>
      </c>
      <c r="B1622">
        <v>50</v>
      </c>
      <c r="C1622">
        <v>360</v>
      </c>
    </row>
    <row r="1623" spans="1:3" x14ac:dyDescent="0.25">
      <c r="A1623" s="1" t="s">
        <v>1716</v>
      </c>
      <c r="B1623">
        <v>50</v>
      </c>
      <c r="C1623">
        <v>800</v>
      </c>
    </row>
    <row r="1624" spans="1:3" x14ac:dyDescent="0.25">
      <c r="A1624" s="1" t="s">
        <v>1717</v>
      </c>
      <c r="B1624">
        <v>122</v>
      </c>
      <c r="C1624">
        <v>40</v>
      </c>
    </row>
    <row r="1625" spans="1:3" x14ac:dyDescent="0.25">
      <c r="A1625" s="1" t="s">
        <v>1718</v>
      </c>
      <c r="B1625">
        <v>313</v>
      </c>
    </row>
    <row r="1626" spans="1:3" x14ac:dyDescent="0.25">
      <c r="A1626" s="1" t="s">
        <v>1718</v>
      </c>
      <c r="B1626">
        <v>313</v>
      </c>
    </row>
    <row r="1627" spans="1:3" x14ac:dyDescent="0.25">
      <c r="A1627" s="1" t="s">
        <v>1719</v>
      </c>
      <c r="B1627">
        <v>163</v>
      </c>
      <c r="C1627">
        <v>110</v>
      </c>
    </row>
    <row r="1628" spans="1:3" x14ac:dyDescent="0.25">
      <c r="A1628" s="1" t="s">
        <v>1720</v>
      </c>
      <c r="B1628">
        <v>106</v>
      </c>
    </row>
    <row r="1629" spans="1:3" x14ac:dyDescent="0.25">
      <c r="A1629" s="1" t="s">
        <v>1721</v>
      </c>
      <c r="B1629">
        <v>277</v>
      </c>
      <c r="C1629">
        <v>64</v>
      </c>
    </row>
    <row r="1630" spans="1:3" x14ac:dyDescent="0.25">
      <c r="A1630" s="1" t="s">
        <v>1723</v>
      </c>
      <c r="B1630">
        <v>8</v>
      </c>
    </row>
    <row r="1631" spans="1:3" x14ac:dyDescent="0.25">
      <c r="A1631" s="1" t="s">
        <v>1725</v>
      </c>
      <c r="B1631">
        <v>235</v>
      </c>
      <c r="C1631">
        <v>120</v>
      </c>
    </row>
    <row r="1632" spans="1:3" x14ac:dyDescent="0.25">
      <c r="A1632" s="1" t="s">
        <v>1726</v>
      </c>
      <c r="B1632">
        <v>68</v>
      </c>
      <c r="C1632">
        <v>6</v>
      </c>
    </row>
    <row r="1633" spans="1:3" x14ac:dyDescent="0.25">
      <c r="A1633" s="1" t="s">
        <v>1727</v>
      </c>
      <c r="B1633">
        <v>15</v>
      </c>
    </row>
    <row r="1634" spans="1:3" x14ac:dyDescent="0.25">
      <c r="A1634" s="1" t="s">
        <v>1728</v>
      </c>
      <c r="B1634">
        <v>173</v>
      </c>
      <c r="C1634">
        <v>150</v>
      </c>
    </row>
    <row r="1635" spans="1:3" x14ac:dyDescent="0.25">
      <c r="A1635" s="1" t="s">
        <v>1729</v>
      </c>
      <c r="B1635">
        <v>1500</v>
      </c>
      <c r="C1635">
        <v>150</v>
      </c>
    </row>
    <row r="1636" spans="1:3" x14ac:dyDescent="0.25">
      <c r="A1636" s="1" t="s">
        <v>1730</v>
      </c>
      <c r="B1636">
        <v>50</v>
      </c>
    </row>
    <row r="1637" spans="1:3" x14ac:dyDescent="0.25">
      <c r="A1637" s="1" t="s">
        <v>1731</v>
      </c>
      <c r="B1637">
        <v>92</v>
      </c>
      <c r="C1637">
        <v>160</v>
      </c>
    </row>
    <row r="1638" spans="1:3" x14ac:dyDescent="0.25">
      <c r="A1638" s="1" t="s">
        <v>1732</v>
      </c>
      <c r="B1638">
        <v>171</v>
      </c>
      <c r="C1638">
        <v>130</v>
      </c>
    </row>
    <row r="1639" spans="1:3" x14ac:dyDescent="0.25">
      <c r="A1639" s="1" t="s">
        <v>1733</v>
      </c>
      <c r="B1639">
        <v>525</v>
      </c>
      <c r="C1639">
        <v>475</v>
      </c>
    </row>
    <row r="1640" spans="1:3" x14ac:dyDescent="0.25">
      <c r="A1640" s="1" t="s">
        <v>1734</v>
      </c>
      <c r="B1640">
        <v>274</v>
      </c>
      <c r="C1640">
        <v>80</v>
      </c>
    </row>
    <row r="1641" spans="1:3" x14ac:dyDescent="0.25">
      <c r="A1641" s="1" t="s">
        <v>1735</v>
      </c>
      <c r="B1641">
        <v>55</v>
      </c>
      <c r="C1641">
        <v>40</v>
      </c>
    </row>
    <row r="1642" spans="1:3" x14ac:dyDescent="0.25">
      <c r="A1642" s="1" t="s">
        <v>1736</v>
      </c>
      <c r="B1642">
        <v>60</v>
      </c>
      <c r="C1642">
        <v>30</v>
      </c>
    </row>
    <row r="1643" spans="1:3" x14ac:dyDescent="0.25">
      <c r="A1643" s="1" t="s">
        <v>1737</v>
      </c>
      <c r="B1643">
        <v>114</v>
      </c>
      <c r="C1643">
        <v>31</v>
      </c>
    </row>
    <row r="1644" spans="1:3" x14ac:dyDescent="0.25">
      <c r="A1644" s="1" t="s">
        <v>1738</v>
      </c>
      <c r="B1644">
        <v>20</v>
      </c>
      <c r="C1644">
        <v>80</v>
      </c>
    </row>
    <row r="1645" spans="1:3" x14ac:dyDescent="0.25">
      <c r="A1645" s="1" t="s">
        <v>1740</v>
      </c>
      <c r="B1645">
        <v>136</v>
      </c>
    </row>
    <row r="1646" spans="1:3" x14ac:dyDescent="0.25">
      <c r="A1646" s="1" t="s">
        <v>1740</v>
      </c>
      <c r="B1646">
        <v>136</v>
      </c>
      <c r="C1646">
        <v>31</v>
      </c>
    </row>
    <row r="1647" spans="1:3" x14ac:dyDescent="0.25">
      <c r="A1647" s="1" t="s">
        <v>1741</v>
      </c>
      <c r="B1647">
        <v>287</v>
      </c>
    </row>
    <row r="1648" spans="1:3" x14ac:dyDescent="0.25">
      <c r="A1648" s="1" t="s">
        <v>1741</v>
      </c>
      <c r="B1648">
        <v>132</v>
      </c>
      <c r="C1648">
        <v>21</v>
      </c>
    </row>
    <row r="1649" spans="1:3" x14ac:dyDescent="0.25">
      <c r="A1649" s="1" t="s">
        <v>1741</v>
      </c>
      <c r="B1649">
        <v>287</v>
      </c>
      <c r="C1649">
        <v>70</v>
      </c>
    </row>
    <row r="1650" spans="1:3" x14ac:dyDescent="0.25">
      <c r="A1650" s="1" t="s">
        <v>1742</v>
      </c>
      <c r="B1650">
        <v>6</v>
      </c>
      <c r="C1650">
        <v>350</v>
      </c>
    </row>
    <row r="1651" spans="1:3" x14ac:dyDescent="0.25">
      <c r="A1651" s="1" t="s">
        <v>1744</v>
      </c>
      <c r="B1651">
        <v>28</v>
      </c>
      <c r="C1651">
        <v>115</v>
      </c>
    </row>
    <row r="1652" spans="1:3" x14ac:dyDescent="0.25">
      <c r="A1652" s="1" t="s">
        <v>1745</v>
      </c>
      <c r="B1652">
        <v>197</v>
      </c>
      <c r="C1652">
        <v>300</v>
      </c>
    </row>
    <row r="1653" spans="1:3" x14ac:dyDescent="0.25">
      <c r="A1653" s="1" t="s">
        <v>1748</v>
      </c>
      <c r="B1653">
        <v>35</v>
      </c>
    </row>
    <row r="1654" spans="1:3" x14ac:dyDescent="0.25">
      <c r="A1654" s="1" t="s">
        <v>1749</v>
      </c>
      <c r="B1654">
        <v>76</v>
      </c>
    </row>
    <row r="1655" spans="1:3" x14ac:dyDescent="0.25">
      <c r="A1655" s="1" t="s">
        <v>1751</v>
      </c>
      <c r="B1655">
        <v>410</v>
      </c>
      <c r="C1655">
        <v>120</v>
      </c>
    </row>
    <row r="1656" spans="1:3" x14ac:dyDescent="0.25">
      <c r="A1656" s="1" t="s">
        <v>1752</v>
      </c>
      <c r="B1656">
        <v>152</v>
      </c>
      <c r="C1656">
        <v>85</v>
      </c>
    </row>
    <row r="1657" spans="1:3" x14ac:dyDescent="0.25">
      <c r="A1657" s="1" t="s">
        <v>1753</v>
      </c>
      <c r="B1657">
        <v>188</v>
      </c>
      <c r="C1657">
        <v>100</v>
      </c>
    </row>
    <row r="1658" spans="1:3" x14ac:dyDescent="0.25">
      <c r="A1658" s="1" t="s">
        <v>1753</v>
      </c>
      <c r="B1658">
        <v>188</v>
      </c>
      <c r="C1658">
        <v>100</v>
      </c>
    </row>
    <row r="1659" spans="1:3" x14ac:dyDescent="0.25">
      <c r="A1659" s="1" t="s">
        <v>1754</v>
      </c>
      <c r="B1659">
        <v>221</v>
      </c>
    </row>
    <row r="1660" spans="1:3" x14ac:dyDescent="0.25">
      <c r="A1660" s="1" t="s">
        <v>1756</v>
      </c>
      <c r="B1660">
        <v>4900</v>
      </c>
      <c r="C1660">
        <v>1280</v>
      </c>
    </row>
    <row r="1661" spans="1:3" x14ac:dyDescent="0.25">
      <c r="A1661" s="1" t="s">
        <v>1758</v>
      </c>
      <c r="B1661">
        <v>253</v>
      </c>
    </row>
    <row r="1662" spans="1:3" x14ac:dyDescent="0.25">
      <c r="A1662" s="1" t="s">
        <v>1758</v>
      </c>
      <c r="B1662">
        <v>253</v>
      </c>
    </row>
    <row r="1663" spans="1:3" x14ac:dyDescent="0.25">
      <c r="A1663" s="1" t="s">
        <v>1759</v>
      </c>
      <c r="B1663">
        <v>104</v>
      </c>
      <c r="C1663">
        <v>100</v>
      </c>
    </row>
    <row r="1664" spans="1:3" x14ac:dyDescent="0.25">
      <c r="A1664" s="1" t="s">
        <v>1760</v>
      </c>
      <c r="B1664">
        <v>22</v>
      </c>
    </row>
    <row r="1665" spans="1:3" x14ac:dyDescent="0.25">
      <c r="A1665" s="1" t="s">
        <v>1761</v>
      </c>
      <c r="B1665">
        <v>55</v>
      </c>
      <c r="C1665">
        <v>40</v>
      </c>
    </row>
    <row r="1666" spans="1:3" x14ac:dyDescent="0.25">
      <c r="A1666" s="1" t="s">
        <v>1762</v>
      </c>
      <c r="B1666">
        <v>849</v>
      </c>
      <c r="C1666">
        <v>30</v>
      </c>
    </row>
    <row r="1667" spans="1:3" x14ac:dyDescent="0.25">
      <c r="A1667" s="1" t="s">
        <v>1762</v>
      </c>
      <c r="B1667">
        <v>849</v>
      </c>
      <c r="C1667">
        <v>198</v>
      </c>
    </row>
    <row r="1668" spans="1:3" x14ac:dyDescent="0.25">
      <c r="A1668" s="1" t="s">
        <v>1763</v>
      </c>
      <c r="B1668">
        <v>646</v>
      </c>
      <c r="C1668">
        <v>69</v>
      </c>
    </row>
    <row r="1669" spans="1:3" x14ac:dyDescent="0.25">
      <c r="A1669" s="1" t="s">
        <v>1763</v>
      </c>
      <c r="B1669">
        <v>646</v>
      </c>
      <c r="C1669">
        <v>104</v>
      </c>
    </row>
    <row r="1670" spans="1:3" x14ac:dyDescent="0.25">
      <c r="A1670" s="1" t="s">
        <v>1764</v>
      </c>
      <c r="B1670">
        <v>3000</v>
      </c>
    </row>
    <row r="1671" spans="1:3" x14ac:dyDescent="0.25">
      <c r="A1671" s="1" t="s">
        <v>1764</v>
      </c>
      <c r="B1671">
        <v>2500</v>
      </c>
      <c r="C1671">
        <v>112</v>
      </c>
    </row>
    <row r="1672" spans="1:3" x14ac:dyDescent="0.25">
      <c r="A1672" s="1" t="s">
        <v>1765</v>
      </c>
      <c r="B1672">
        <v>344</v>
      </c>
      <c r="C1672">
        <v>200</v>
      </c>
    </row>
    <row r="1673" spans="1:3" x14ac:dyDescent="0.25">
      <c r="A1673" s="1" t="s">
        <v>1767</v>
      </c>
      <c r="B1673">
        <v>162</v>
      </c>
      <c r="C1673">
        <v>300</v>
      </c>
    </row>
    <row r="1674" spans="1:3" x14ac:dyDescent="0.25">
      <c r="A1674" s="1" t="s">
        <v>1768</v>
      </c>
      <c r="B1674">
        <v>385</v>
      </c>
    </row>
    <row r="1675" spans="1:3" x14ac:dyDescent="0.25">
      <c r="A1675" s="1" t="s">
        <v>1769</v>
      </c>
      <c r="B1675">
        <v>18</v>
      </c>
      <c r="C1675">
        <v>120</v>
      </c>
    </row>
    <row r="1676" spans="1:3" x14ac:dyDescent="0.25">
      <c r="A1676" s="1" t="s">
        <v>1770</v>
      </c>
      <c r="B1676">
        <v>839</v>
      </c>
      <c r="C1676">
        <v>100</v>
      </c>
    </row>
    <row r="1677" spans="1:3" x14ac:dyDescent="0.25">
      <c r="A1677" s="1" t="s">
        <v>1770</v>
      </c>
      <c r="B1677">
        <v>839</v>
      </c>
      <c r="C1677">
        <v>250</v>
      </c>
    </row>
    <row r="1678" spans="1:3" x14ac:dyDescent="0.25">
      <c r="A1678" s="1" t="s">
        <v>1770</v>
      </c>
      <c r="B1678">
        <v>359</v>
      </c>
      <c r="C1678">
        <v>400</v>
      </c>
    </row>
    <row r="1679" spans="1:3" x14ac:dyDescent="0.25">
      <c r="A1679" s="1" t="s">
        <v>1771</v>
      </c>
      <c r="B1679">
        <v>183</v>
      </c>
    </row>
    <row r="1680" spans="1:3" x14ac:dyDescent="0.25">
      <c r="A1680" s="1" t="s">
        <v>1772</v>
      </c>
      <c r="B1680">
        <v>126</v>
      </c>
      <c r="C1680">
        <v>300</v>
      </c>
    </row>
    <row r="1681" spans="1:3" x14ac:dyDescent="0.25">
      <c r="A1681" s="1" t="s">
        <v>1773</v>
      </c>
      <c r="B1681">
        <v>455</v>
      </c>
      <c r="C1681">
        <v>174</v>
      </c>
    </row>
    <row r="1682" spans="1:3" x14ac:dyDescent="0.25">
      <c r="A1682" s="1" t="s">
        <v>1774</v>
      </c>
      <c r="B1682">
        <v>125</v>
      </c>
      <c r="C1682">
        <v>450</v>
      </c>
    </row>
    <row r="1683" spans="1:3" x14ac:dyDescent="0.25">
      <c r="A1683" s="1" t="s">
        <v>1776</v>
      </c>
      <c r="B1683">
        <v>27</v>
      </c>
    </row>
    <row r="1684" spans="1:3" x14ac:dyDescent="0.25">
      <c r="A1684" s="1" t="s">
        <v>1777</v>
      </c>
      <c r="B1684">
        <v>542</v>
      </c>
    </row>
    <row r="1685" spans="1:3" x14ac:dyDescent="0.25">
      <c r="A1685" s="1" t="s">
        <v>1778</v>
      </c>
      <c r="B1685">
        <v>326</v>
      </c>
      <c r="C1685">
        <v>45</v>
      </c>
    </row>
    <row r="1686" spans="1:3" x14ac:dyDescent="0.25">
      <c r="A1686" s="1" t="s">
        <v>1778</v>
      </c>
      <c r="B1686">
        <v>326</v>
      </c>
      <c r="C1686">
        <v>200</v>
      </c>
    </row>
    <row r="1687" spans="1:3" x14ac:dyDescent="0.25">
      <c r="A1687" s="1" t="s">
        <v>1779</v>
      </c>
      <c r="B1687">
        <v>248</v>
      </c>
      <c r="C1687">
        <v>24</v>
      </c>
    </row>
    <row r="1688" spans="1:3" x14ac:dyDescent="0.25">
      <c r="A1688" s="1" t="s">
        <v>1780</v>
      </c>
      <c r="B1688">
        <v>10</v>
      </c>
    </row>
    <row r="1689" spans="1:3" x14ac:dyDescent="0.25">
      <c r="A1689" s="1" t="s">
        <v>1781</v>
      </c>
      <c r="B1689">
        <v>41</v>
      </c>
    </row>
    <row r="1690" spans="1:3" x14ac:dyDescent="0.25">
      <c r="A1690" s="1" t="s">
        <v>1782</v>
      </c>
      <c r="B1690">
        <v>8</v>
      </c>
    </row>
    <row r="1691" spans="1:3" x14ac:dyDescent="0.25">
      <c r="A1691" s="1" t="s">
        <v>1782</v>
      </c>
      <c r="B1691">
        <v>8</v>
      </c>
      <c r="C1691">
        <v>78</v>
      </c>
    </row>
    <row r="1692" spans="1:3" x14ac:dyDescent="0.25">
      <c r="A1692" s="1" t="s">
        <v>1783</v>
      </c>
      <c r="B1692">
        <v>159</v>
      </c>
      <c r="C1692">
        <v>23</v>
      </c>
    </row>
    <row r="1693" spans="1:3" x14ac:dyDescent="0.25">
      <c r="A1693" s="1" t="s">
        <v>1784</v>
      </c>
      <c r="B1693">
        <v>40</v>
      </c>
      <c r="C1693">
        <v>70</v>
      </c>
    </row>
    <row r="1694" spans="1:3" x14ac:dyDescent="0.25">
      <c r="A1694" s="1" t="s">
        <v>1784</v>
      </c>
      <c r="B1694">
        <v>2400</v>
      </c>
      <c r="C1694">
        <v>325</v>
      </c>
    </row>
    <row r="1695" spans="1:3" x14ac:dyDescent="0.25">
      <c r="A1695" s="1" t="s">
        <v>1785</v>
      </c>
      <c r="B1695">
        <v>34</v>
      </c>
      <c r="C1695">
        <v>57</v>
      </c>
    </row>
    <row r="1696" spans="1:3" x14ac:dyDescent="0.25">
      <c r="A1696" s="1" t="s">
        <v>1786</v>
      </c>
      <c r="B1696">
        <v>117</v>
      </c>
    </row>
    <row r="1697" spans="1:3" x14ac:dyDescent="0.25">
      <c r="A1697" s="1" t="s">
        <v>1786</v>
      </c>
      <c r="B1697">
        <v>117</v>
      </c>
      <c r="C1697">
        <v>40</v>
      </c>
    </row>
    <row r="1698" spans="1:3" x14ac:dyDescent="0.25">
      <c r="A1698" s="1" t="s">
        <v>1787</v>
      </c>
      <c r="B1698">
        <v>2100</v>
      </c>
    </row>
    <row r="1699" spans="1:3" x14ac:dyDescent="0.25">
      <c r="A1699" s="1" t="s">
        <v>1787</v>
      </c>
      <c r="B1699">
        <v>2100</v>
      </c>
    </row>
    <row r="1700" spans="1:3" x14ac:dyDescent="0.25">
      <c r="A1700" s="1" t="s">
        <v>1787</v>
      </c>
      <c r="B1700">
        <v>2100</v>
      </c>
      <c r="C1700">
        <v>600</v>
      </c>
    </row>
    <row r="1701" spans="1:3" x14ac:dyDescent="0.25">
      <c r="A1701" s="1" t="s">
        <v>1789</v>
      </c>
      <c r="B1701">
        <v>61</v>
      </c>
    </row>
    <row r="1702" spans="1:3" x14ac:dyDescent="0.25">
      <c r="A1702" s="1" t="s">
        <v>1790</v>
      </c>
      <c r="B1702">
        <v>32</v>
      </c>
      <c r="C1702">
        <v>37</v>
      </c>
    </row>
    <row r="1703" spans="1:3" x14ac:dyDescent="0.25">
      <c r="A1703" s="1" t="s">
        <v>1791</v>
      </c>
      <c r="B1703">
        <v>11</v>
      </c>
    </row>
    <row r="1704" spans="1:3" x14ac:dyDescent="0.25">
      <c r="A1704" s="1" t="s">
        <v>1793</v>
      </c>
      <c r="B1704">
        <v>228</v>
      </c>
    </row>
    <row r="1705" spans="1:3" x14ac:dyDescent="0.25">
      <c r="A1705" s="1" t="s">
        <v>1793</v>
      </c>
      <c r="B1705">
        <v>429</v>
      </c>
      <c r="C1705">
        <v>50</v>
      </c>
    </row>
    <row r="1706" spans="1:3" x14ac:dyDescent="0.25">
      <c r="A1706" s="1" t="s">
        <v>1793</v>
      </c>
      <c r="B1706">
        <v>429</v>
      </c>
      <c r="C1706">
        <v>100</v>
      </c>
    </row>
    <row r="1707" spans="1:3" x14ac:dyDescent="0.25">
      <c r="A1707" s="1" t="s">
        <v>1794</v>
      </c>
      <c r="B1707">
        <v>26</v>
      </c>
      <c r="C1707">
        <v>4</v>
      </c>
    </row>
    <row r="1708" spans="1:3" x14ac:dyDescent="0.25">
      <c r="A1708" s="1" t="s">
        <v>1795</v>
      </c>
      <c r="B1708">
        <v>77</v>
      </c>
      <c r="C1708">
        <v>30</v>
      </c>
    </row>
    <row r="1709" spans="1:3" x14ac:dyDescent="0.25">
      <c r="A1709" s="1" t="s">
        <v>1796</v>
      </c>
      <c r="B1709">
        <v>2</v>
      </c>
    </row>
    <row r="1710" spans="1:3" x14ac:dyDescent="0.25">
      <c r="A1710" s="1" t="s">
        <v>1797</v>
      </c>
      <c r="B1710">
        <v>229</v>
      </c>
    </row>
    <row r="1711" spans="1:3" x14ac:dyDescent="0.25">
      <c r="A1711" s="1" t="s">
        <v>1799</v>
      </c>
      <c r="B1711">
        <v>68</v>
      </c>
      <c r="C1711">
        <v>40</v>
      </c>
    </row>
    <row r="1712" spans="1:3" x14ac:dyDescent="0.25">
      <c r="A1712" s="1" t="s">
        <v>1800</v>
      </c>
      <c r="B1712">
        <v>260</v>
      </c>
    </row>
    <row r="1713" spans="1:3" x14ac:dyDescent="0.25">
      <c r="A1713" s="1" t="s">
        <v>1800</v>
      </c>
      <c r="B1713">
        <v>260</v>
      </c>
      <c r="C1713">
        <v>100</v>
      </c>
    </row>
    <row r="1714" spans="1:3" x14ac:dyDescent="0.25">
      <c r="A1714" s="1" t="s">
        <v>1801</v>
      </c>
      <c r="B1714">
        <v>197</v>
      </c>
    </row>
    <row r="1715" spans="1:3" x14ac:dyDescent="0.25">
      <c r="A1715" s="1" t="s">
        <v>1802</v>
      </c>
      <c r="B1715">
        <v>82</v>
      </c>
      <c r="C1715">
        <v>30</v>
      </c>
    </row>
    <row r="1716" spans="1:3" x14ac:dyDescent="0.25">
      <c r="A1716" s="1" t="s">
        <v>1803</v>
      </c>
      <c r="B1716">
        <v>480</v>
      </c>
      <c r="C1716">
        <v>32</v>
      </c>
    </row>
    <row r="1717" spans="1:3" x14ac:dyDescent="0.25">
      <c r="A1717" s="1" t="s">
        <v>1804</v>
      </c>
      <c r="B1717">
        <v>480</v>
      </c>
      <c r="C1717">
        <v>40</v>
      </c>
    </row>
    <row r="1718" spans="1:3" x14ac:dyDescent="0.25">
      <c r="A1718" s="1" t="s">
        <v>1805</v>
      </c>
      <c r="B1718">
        <v>61</v>
      </c>
      <c r="C1718">
        <v>31</v>
      </c>
    </row>
    <row r="1719" spans="1:3" x14ac:dyDescent="0.25">
      <c r="A1719" s="1" t="s">
        <v>1806</v>
      </c>
      <c r="B1719">
        <v>263</v>
      </c>
      <c r="C1719">
        <v>24</v>
      </c>
    </row>
    <row r="1720" spans="1:3" x14ac:dyDescent="0.25">
      <c r="A1720" s="1" t="s">
        <v>1808</v>
      </c>
      <c r="B1720">
        <v>62</v>
      </c>
      <c r="C1720">
        <v>221</v>
      </c>
    </row>
    <row r="1721" spans="1:3" x14ac:dyDescent="0.25">
      <c r="A1721" s="1" t="s">
        <v>1809</v>
      </c>
      <c r="B1721">
        <v>75</v>
      </c>
      <c r="C1721">
        <v>23</v>
      </c>
    </row>
    <row r="1722" spans="1:3" x14ac:dyDescent="0.25">
      <c r="A1722" s="1" t="s">
        <v>1811</v>
      </c>
      <c r="B1722">
        <v>79</v>
      </c>
    </row>
    <row r="1723" spans="1:3" x14ac:dyDescent="0.25">
      <c r="A1723" s="1" t="s">
        <v>1811</v>
      </c>
      <c r="B1723">
        <v>79</v>
      </c>
      <c r="C1723">
        <v>330</v>
      </c>
    </row>
    <row r="1724" spans="1:3" x14ac:dyDescent="0.25">
      <c r="A1724" s="1" t="s">
        <v>1811</v>
      </c>
      <c r="B1724">
        <v>79</v>
      </c>
      <c r="C1724">
        <v>1400</v>
      </c>
    </row>
    <row r="1725" spans="1:3" x14ac:dyDescent="0.25">
      <c r="A1725" s="1" t="s">
        <v>1812</v>
      </c>
      <c r="B1725">
        <v>10</v>
      </c>
    </row>
    <row r="1726" spans="1:3" x14ac:dyDescent="0.25">
      <c r="A1726" s="1" t="s">
        <v>1813</v>
      </c>
      <c r="B1726">
        <v>690</v>
      </c>
      <c r="C1726">
        <v>80</v>
      </c>
    </row>
    <row r="1727" spans="1:3" x14ac:dyDescent="0.25">
      <c r="A1727" s="1" t="s">
        <v>1813</v>
      </c>
      <c r="B1727">
        <v>160</v>
      </c>
      <c r="C1727">
        <v>100</v>
      </c>
    </row>
    <row r="1728" spans="1:3" x14ac:dyDescent="0.25">
      <c r="A1728" s="1" t="s">
        <v>1813</v>
      </c>
      <c r="B1728">
        <v>690</v>
      </c>
      <c r="C1728">
        <v>120</v>
      </c>
    </row>
    <row r="1729" spans="1:3" x14ac:dyDescent="0.25">
      <c r="A1729" s="1" t="s">
        <v>1816</v>
      </c>
      <c r="B1729">
        <v>325</v>
      </c>
      <c r="C1729">
        <v>59</v>
      </c>
    </row>
    <row r="1730" spans="1:3" x14ac:dyDescent="0.25">
      <c r="A1730" s="1" t="s">
        <v>1817</v>
      </c>
      <c r="B1730">
        <v>18</v>
      </c>
    </row>
    <row r="1731" spans="1:3" x14ac:dyDescent="0.25">
      <c r="A1731" s="1" t="s">
        <v>1818</v>
      </c>
      <c r="B1731">
        <v>275</v>
      </c>
      <c r="C1731">
        <v>100</v>
      </c>
    </row>
    <row r="1732" spans="1:3" x14ac:dyDescent="0.25">
      <c r="A1732" s="1" t="s">
        <v>1819</v>
      </c>
      <c r="B1732">
        <v>151</v>
      </c>
    </row>
    <row r="1733" spans="1:3" x14ac:dyDescent="0.25">
      <c r="A1733" s="1" t="s">
        <v>1820</v>
      </c>
      <c r="B1733">
        <v>58</v>
      </c>
      <c r="C1733">
        <v>20</v>
      </c>
    </row>
    <row r="1734" spans="1:3" x14ac:dyDescent="0.25">
      <c r="A1734" s="1" t="s">
        <v>1821</v>
      </c>
      <c r="B1734">
        <v>111</v>
      </c>
    </row>
    <row r="1735" spans="1:3" x14ac:dyDescent="0.25">
      <c r="A1735" s="1" t="s">
        <v>1821</v>
      </c>
      <c r="B1735">
        <v>111</v>
      </c>
      <c r="C1735">
        <v>40</v>
      </c>
    </row>
    <row r="1736" spans="1:3" x14ac:dyDescent="0.25">
      <c r="A1736" s="1" t="s">
        <v>1822</v>
      </c>
      <c r="B1736">
        <v>76</v>
      </c>
    </row>
    <row r="1737" spans="1:3" x14ac:dyDescent="0.25">
      <c r="A1737" s="1" t="s">
        <v>1823</v>
      </c>
      <c r="B1737">
        <v>63</v>
      </c>
    </row>
    <row r="1738" spans="1:3" x14ac:dyDescent="0.25">
      <c r="A1738" s="1" t="s">
        <v>1824</v>
      </c>
      <c r="B1738">
        <v>2300</v>
      </c>
      <c r="C1738">
        <v>50</v>
      </c>
    </row>
    <row r="1739" spans="1:3" x14ac:dyDescent="0.25">
      <c r="A1739" s="1" t="s">
        <v>1824</v>
      </c>
      <c r="B1739">
        <v>2300</v>
      </c>
      <c r="C1739">
        <v>1000</v>
      </c>
    </row>
    <row r="1740" spans="1:3" x14ac:dyDescent="0.25">
      <c r="A1740" s="1" t="s">
        <v>1825</v>
      </c>
      <c r="B1740">
        <v>76</v>
      </c>
      <c r="C1740">
        <v>40</v>
      </c>
    </row>
    <row r="1741" spans="1:3" x14ac:dyDescent="0.25">
      <c r="A1741" s="1" t="s">
        <v>1826</v>
      </c>
      <c r="B1741">
        <v>59</v>
      </c>
    </row>
    <row r="1742" spans="1:3" x14ac:dyDescent="0.25">
      <c r="A1742" s="1" t="s">
        <v>1826</v>
      </c>
      <c r="B1742">
        <v>19</v>
      </c>
      <c r="C1742">
        <v>200</v>
      </c>
    </row>
    <row r="1743" spans="1:3" x14ac:dyDescent="0.25">
      <c r="A1743" s="1" t="s">
        <v>1827</v>
      </c>
      <c r="B1743">
        <v>50</v>
      </c>
    </row>
    <row r="1744" spans="1:3" x14ac:dyDescent="0.25">
      <c r="A1744" s="1" t="s">
        <v>1827</v>
      </c>
      <c r="B1744">
        <v>50</v>
      </c>
      <c r="C1744">
        <v>33</v>
      </c>
    </row>
    <row r="1745" spans="1:3" x14ac:dyDescent="0.25">
      <c r="A1745" s="1" t="s">
        <v>1828</v>
      </c>
      <c r="B1745">
        <v>64</v>
      </c>
      <c r="C1745">
        <v>70</v>
      </c>
    </row>
    <row r="1746" spans="1:3" x14ac:dyDescent="0.25">
      <c r="A1746" s="1" t="s">
        <v>1829</v>
      </c>
      <c r="B1746">
        <v>40</v>
      </c>
    </row>
    <row r="1747" spans="1:3" x14ac:dyDescent="0.25">
      <c r="A1747" s="1" t="s">
        <v>1830</v>
      </c>
      <c r="B1747">
        <v>126</v>
      </c>
      <c r="C1747">
        <v>19</v>
      </c>
    </row>
    <row r="1748" spans="1:3" x14ac:dyDescent="0.25">
      <c r="A1748" s="1" t="s">
        <v>1831</v>
      </c>
      <c r="B1748">
        <v>17</v>
      </c>
      <c r="C1748">
        <v>30</v>
      </c>
    </row>
    <row r="1749" spans="1:3" x14ac:dyDescent="0.25">
      <c r="A1749" s="1" t="s">
        <v>1833</v>
      </c>
      <c r="B1749">
        <v>82</v>
      </c>
      <c r="C1749">
        <v>13</v>
      </c>
    </row>
    <row r="1750" spans="1:3" x14ac:dyDescent="0.25">
      <c r="A1750" s="1" t="s">
        <v>1834</v>
      </c>
      <c r="B1750">
        <v>7</v>
      </c>
      <c r="C1750">
        <v>101</v>
      </c>
    </row>
    <row r="1751" spans="1:3" x14ac:dyDescent="0.25">
      <c r="A1751" s="1" t="s">
        <v>1835</v>
      </c>
      <c r="B1751">
        <v>53</v>
      </c>
    </row>
    <row r="1752" spans="1:3" x14ac:dyDescent="0.25">
      <c r="A1752" s="1" t="s">
        <v>1835</v>
      </c>
      <c r="B1752">
        <v>50</v>
      </c>
      <c r="C1752">
        <v>100</v>
      </c>
    </row>
    <row r="1753" spans="1:3" x14ac:dyDescent="0.25">
      <c r="A1753" s="1" t="s">
        <v>1836</v>
      </c>
      <c r="B1753">
        <v>135</v>
      </c>
    </row>
    <row r="1754" spans="1:3" x14ac:dyDescent="0.25">
      <c r="A1754" s="1" t="s">
        <v>1837</v>
      </c>
      <c r="B1754">
        <v>124</v>
      </c>
      <c r="C1754">
        <v>90</v>
      </c>
    </row>
    <row r="1755" spans="1:3" x14ac:dyDescent="0.25">
      <c r="A1755" s="1" t="s">
        <v>1838</v>
      </c>
      <c r="B1755">
        <v>74</v>
      </c>
      <c r="C1755">
        <v>24</v>
      </c>
    </row>
    <row r="1756" spans="1:3" x14ac:dyDescent="0.25">
      <c r="A1756" s="1" t="s">
        <v>1839</v>
      </c>
      <c r="B1756">
        <v>108</v>
      </c>
      <c r="C1756">
        <v>23</v>
      </c>
    </row>
    <row r="1757" spans="1:3" x14ac:dyDescent="0.25">
      <c r="A1757" s="1" t="s">
        <v>1841</v>
      </c>
      <c r="B1757">
        <v>36</v>
      </c>
      <c r="C1757">
        <v>30</v>
      </c>
    </row>
    <row r="1758" spans="1:3" x14ac:dyDescent="0.25">
      <c r="A1758" s="1" t="s">
        <v>1842</v>
      </c>
      <c r="B1758">
        <v>261</v>
      </c>
      <c r="C1758">
        <v>35</v>
      </c>
    </row>
    <row r="1759" spans="1:3" x14ac:dyDescent="0.25">
      <c r="A1759" s="1" t="s">
        <v>1843</v>
      </c>
      <c r="B1759">
        <v>9</v>
      </c>
    </row>
    <row r="1760" spans="1:3" x14ac:dyDescent="0.25">
      <c r="A1760" s="1" t="s">
        <v>1844</v>
      </c>
      <c r="B1760">
        <v>169</v>
      </c>
      <c r="C1760">
        <v>250</v>
      </c>
    </row>
    <row r="1761" spans="1:3" x14ac:dyDescent="0.25">
      <c r="A1761" s="1" t="s">
        <v>1845</v>
      </c>
      <c r="B1761">
        <v>7</v>
      </c>
    </row>
    <row r="1762" spans="1:3" x14ac:dyDescent="0.25">
      <c r="A1762" s="1" t="s">
        <v>1846</v>
      </c>
      <c r="B1762">
        <v>478</v>
      </c>
    </row>
    <row r="1763" spans="1:3" x14ac:dyDescent="0.25">
      <c r="A1763" s="1" t="s">
        <v>1846</v>
      </c>
      <c r="B1763">
        <v>478</v>
      </c>
      <c r="C1763">
        <v>35</v>
      </c>
    </row>
    <row r="1764" spans="1:3" x14ac:dyDescent="0.25">
      <c r="A1764" s="1" t="s">
        <v>1847</v>
      </c>
      <c r="B1764">
        <v>3600</v>
      </c>
      <c r="C1764">
        <v>250</v>
      </c>
    </row>
    <row r="1765" spans="1:3" x14ac:dyDescent="0.25">
      <c r="A1765" s="1" t="s">
        <v>1847</v>
      </c>
      <c r="B1765">
        <v>1600</v>
      </c>
      <c r="C1765">
        <v>350</v>
      </c>
    </row>
    <row r="1766" spans="1:3" x14ac:dyDescent="0.25">
      <c r="A1766" s="1" t="s">
        <v>1847</v>
      </c>
      <c r="B1766">
        <v>3600</v>
      </c>
      <c r="C1766">
        <v>380</v>
      </c>
    </row>
    <row r="1767" spans="1:3" x14ac:dyDescent="0.25">
      <c r="A1767" s="1" t="s">
        <v>1847</v>
      </c>
      <c r="B1767">
        <v>1600</v>
      </c>
      <c r="C1767">
        <v>800</v>
      </c>
    </row>
    <row r="1768" spans="1:3" x14ac:dyDescent="0.25">
      <c r="A1768" s="1" t="s">
        <v>1847</v>
      </c>
      <c r="B1768">
        <v>1600</v>
      </c>
      <c r="C1768">
        <v>1100</v>
      </c>
    </row>
    <row r="1769" spans="1:3" x14ac:dyDescent="0.25">
      <c r="A1769" s="1" t="s">
        <v>1848</v>
      </c>
      <c r="B1769">
        <v>23</v>
      </c>
    </row>
    <row r="1770" spans="1:3" x14ac:dyDescent="0.25">
      <c r="A1770" s="1" t="s">
        <v>1849</v>
      </c>
      <c r="B1770">
        <v>264</v>
      </c>
    </row>
    <row r="1771" spans="1:3" x14ac:dyDescent="0.25">
      <c r="A1771" s="1" t="s">
        <v>1849</v>
      </c>
      <c r="B1771">
        <v>132</v>
      </c>
      <c r="C1771">
        <v>400</v>
      </c>
    </row>
    <row r="1772" spans="1:3" x14ac:dyDescent="0.25">
      <c r="A1772" s="1" t="s">
        <v>1850</v>
      </c>
      <c r="B1772">
        <v>20</v>
      </c>
      <c r="C1772">
        <v>10</v>
      </c>
    </row>
    <row r="1773" spans="1:3" x14ac:dyDescent="0.25">
      <c r="A1773" s="1" t="s">
        <v>1852</v>
      </c>
      <c r="B1773">
        <v>148</v>
      </c>
    </row>
    <row r="1774" spans="1:3" x14ac:dyDescent="0.25">
      <c r="A1774" s="1" t="s">
        <v>1854</v>
      </c>
      <c r="B1774">
        <v>50</v>
      </c>
      <c r="C1774">
        <v>63</v>
      </c>
    </row>
    <row r="1775" spans="1:3" x14ac:dyDescent="0.25">
      <c r="A1775" s="1" t="s">
        <v>1855</v>
      </c>
      <c r="B1775">
        <v>4</v>
      </c>
      <c r="C1775">
        <v>30</v>
      </c>
    </row>
    <row r="1776" spans="1:3" x14ac:dyDescent="0.25">
      <c r="A1776" s="1" t="s">
        <v>1856</v>
      </c>
      <c r="B1776">
        <v>6</v>
      </c>
      <c r="C1776">
        <v>5</v>
      </c>
    </row>
    <row r="1777" spans="1:3" x14ac:dyDescent="0.25">
      <c r="A1777" s="1" t="s">
        <v>1857</v>
      </c>
      <c r="B1777">
        <v>321</v>
      </c>
    </row>
    <row r="1778" spans="1:3" x14ac:dyDescent="0.25">
      <c r="A1778" s="1" t="s">
        <v>1859</v>
      </c>
      <c r="B1778">
        <v>459</v>
      </c>
      <c r="C1778">
        <v>105</v>
      </c>
    </row>
    <row r="1779" spans="1:3" x14ac:dyDescent="0.25">
      <c r="A1779" s="1" t="s">
        <v>1860</v>
      </c>
      <c r="B1779">
        <v>71</v>
      </c>
      <c r="C1779">
        <v>13</v>
      </c>
    </row>
    <row r="1780" spans="1:3" x14ac:dyDescent="0.25">
      <c r="A1780" s="1" t="s">
        <v>1861</v>
      </c>
      <c r="B1780">
        <v>445</v>
      </c>
      <c r="C1780">
        <v>100</v>
      </c>
    </row>
    <row r="1781" spans="1:3" x14ac:dyDescent="0.25">
      <c r="A1781" s="1" t="s">
        <v>1862</v>
      </c>
      <c r="B1781">
        <v>148</v>
      </c>
    </row>
    <row r="1782" spans="1:3" x14ac:dyDescent="0.25">
      <c r="A1782" s="1" t="s">
        <v>1865</v>
      </c>
      <c r="B1782">
        <v>8</v>
      </c>
    </row>
    <row r="1783" spans="1:3" x14ac:dyDescent="0.25">
      <c r="A1783" s="1" t="s">
        <v>1866</v>
      </c>
      <c r="B1783">
        <v>497</v>
      </c>
    </row>
    <row r="1784" spans="1:3" x14ac:dyDescent="0.25">
      <c r="A1784" s="1" t="s">
        <v>1866</v>
      </c>
      <c r="B1784">
        <v>497</v>
      </c>
    </row>
    <row r="1785" spans="1:3" x14ac:dyDescent="0.25">
      <c r="A1785" s="1" t="s">
        <v>1867</v>
      </c>
      <c r="B1785">
        <v>9</v>
      </c>
    </row>
    <row r="1786" spans="1:3" x14ac:dyDescent="0.25">
      <c r="A1786" s="1" t="s">
        <v>1868</v>
      </c>
      <c r="B1786">
        <v>92</v>
      </c>
      <c r="C1786">
        <v>28</v>
      </c>
    </row>
    <row r="1787" spans="1:3" x14ac:dyDescent="0.25">
      <c r="A1787" s="1" t="s">
        <v>1869</v>
      </c>
      <c r="B1787">
        <v>90</v>
      </c>
      <c r="C1787">
        <v>20</v>
      </c>
    </row>
    <row r="1788" spans="1:3" x14ac:dyDescent="0.25">
      <c r="A1788" s="1" t="s">
        <v>1870</v>
      </c>
      <c r="B1788">
        <v>1000</v>
      </c>
      <c r="C1788">
        <v>30</v>
      </c>
    </row>
    <row r="1789" spans="1:3" x14ac:dyDescent="0.25">
      <c r="A1789" s="1" t="s">
        <v>1871</v>
      </c>
      <c r="B1789">
        <v>17</v>
      </c>
    </row>
    <row r="1790" spans="1:3" x14ac:dyDescent="0.25">
      <c r="A1790" s="1" t="s">
        <v>1873</v>
      </c>
      <c r="B1790">
        <v>279</v>
      </c>
      <c r="C1790">
        <v>52</v>
      </c>
    </row>
    <row r="1791" spans="1:3" x14ac:dyDescent="0.25">
      <c r="A1791" s="1" t="s">
        <v>1873</v>
      </c>
      <c r="B1791">
        <v>279</v>
      </c>
      <c r="C1791">
        <v>186</v>
      </c>
    </row>
    <row r="1792" spans="1:3" x14ac:dyDescent="0.25">
      <c r="A1792" s="1" t="s">
        <v>1874</v>
      </c>
      <c r="B1792">
        <v>235</v>
      </c>
    </row>
    <row r="1793" spans="1:3" x14ac:dyDescent="0.25">
      <c r="A1793" s="1" t="s">
        <v>1875</v>
      </c>
      <c r="B1793">
        <v>173</v>
      </c>
    </row>
    <row r="1794" spans="1:3" x14ac:dyDescent="0.25">
      <c r="A1794" s="1" t="s">
        <v>1875</v>
      </c>
      <c r="B1794">
        <v>173</v>
      </c>
      <c r="C1794">
        <v>30</v>
      </c>
    </row>
    <row r="1795" spans="1:3" x14ac:dyDescent="0.25">
      <c r="A1795" s="1" t="s">
        <v>1876</v>
      </c>
      <c r="B1795">
        <v>118</v>
      </c>
      <c r="C1795">
        <v>45</v>
      </c>
    </row>
    <row r="1796" spans="1:3" x14ac:dyDescent="0.25">
      <c r="A1796" s="1" t="s">
        <v>1877</v>
      </c>
      <c r="B1796">
        <v>73</v>
      </c>
      <c r="C1796">
        <v>34</v>
      </c>
    </row>
    <row r="1797" spans="1:3" x14ac:dyDescent="0.25">
      <c r="A1797" s="1" t="s">
        <v>1880</v>
      </c>
      <c r="B1797">
        <v>1</v>
      </c>
    </row>
    <row r="1798" spans="1:3" x14ac:dyDescent="0.25">
      <c r="A1798" s="1" t="s">
        <v>1881</v>
      </c>
      <c r="B1798">
        <v>115</v>
      </c>
      <c r="C1798">
        <v>60</v>
      </c>
    </row>
    <row r="1799" spans="1:3" x14ac:dyDescent="0.25">
      <c r="A1799" s="1" t="s">
        <v>1882</v>
      </c>
      <c r="B1799">
        <v>172</v>
      </c>
      <c r="C1799">
        <v>300</v>
      </c>
    </row>
    <row r="1800" spans="1:3" x14ac:dyDescent="0.25">
      <c r="A1800" s="1" t="s">
        <v>1883</v>
      </c>
      <c r="B1800">
        <v>169</v>
      </c>
      <c r="C1800">
        <v>15</v>
      </c>
    </row>
    <row r="1801" spans="1:3" x14ac:dyDescent="0.25">
      <c r="A1801" s="1" t="s">
        <v>1884</v>
      </c>
      <c r="B1801">
        <v>298</v>
      </c>
    </row>
    <row r="1802" spans="1:3" x14ac:dyDescent="0.25">
      <c r="A1802" s="1" t="s">
        <v>1885</v>
      </c>
      <c r="B1802">
        <v>74</v>
      </c>
      <c r="C1802">
        <v>54</v>
      </c>
    </row>
    <row r="1803" spans="1:3" x14ac:dyDescent="0.25">
      <c r="A1803" s="1" t="s">
        <v>1886</v>
      </c>
      <c r="B1803">
        <v>36</v>
      </c>
    </row>
    <row r="1804" spans="1:3" x14ac:dyDescent="0.25">
      <c r="A1804" s="1" t="s">
        <v>1887</v>
      </c>
      <c r="B1804">
        <v>12600</v>
      </c>
    </row>
    <row r="1805" spans="1:3" x14ac:dyDescent="0.25">
      <c r="A1805" s="1" t="s">
        <v>1887</v>
      </c>
      <c r="B1805">
        <v>12600</v>
      </c>
      <c r="C1805">
        <v>300</v>
      </c>
    </row>
    <row r="1806" spans="1:3" x14ac:dyDescent="0.25">
      <c r="A1806" s="1" t="s">
        <v>1888</v>
      </c>
      <c r="B1806">
        <v>6</v>
      </c>
    </row>
    <row r="1807" spans="1:3" x14ac:dyDescent="0.25">
      <c r="A1807" s="1" t="s">
        <v>1889</v>
      </c>
      <c r="B1807">
        <v>120</v>
      </c>
    </row>
    <row r="1808" spans="1:3" x14ac:dyDescent="0.25">
      <c r="A1808" s="1" t="s">
        <v>1889</v>
      </c>
      <c r="B1808">
        <v>192</v>
      </c>
    </row>
    <row r="1809" spans="1:3" x14ac:dyDescent="0.25">
      <c r="A1809" s="1" t="s">
        <v>1890</v>
      </c>
      <c r="B1809">
        <v>20200</v>
      </c>
    </row>
    <row r="1810" spans="1:3" x14ac:dyDescent="0.25">
      <c r="A1810" s="1" t="s">
        <v>1891</v>
      </c>
      <c r="B1810">
        <v>41</v>
      </c>
      <c r="C1810">
        <v>30</v>
      </c>
    </row>
    <row r="1811" spans="1:3" x14ac:dyDescent="0.25">
      <c r="A1811" s="1" t="s">
        <v>1892</v>
      </c>
      <c r="B1811">
        <v>1</v>
      </c>
      <c r="C1811">
        <v>22</v>
      </c>
    </row>
    <row r="1812" spans="1:3" x14ac:dyDescent="0.25">
      <c r="A1812" s="1" t="s">
        <v>1893</v>
      </c>
      <c r="B1812">
        <v>2</v>
      </c>
    </row>
    <row r="1813" spans="1:3" x14ac:dyDescent="0.25">
      <c r="A1813" s="1" t="s">
        <v>1896</v>
      </c>
      <c r="B1813">
        <v>139</v>
      </c>
      <c r="C1813">
        <v>46</v>
      </c>
    </row>
    <row r="1814" spans="1:3" x14ac:dyDescent="0.25">
      <c r="A1814" s="1" t="s">
        <v>1897</v>
      </c>
      <c r="B1814">
        <v>5</v>
      </c>
      <c r="C1814">
        <v>40</v>
      </c>
    </row>
    <row r="1815" spans="1:3" x14ac:dyDescent="0.25">
      <c r="A1815" s="1" t="s">
        <v>1898</v>
      </c>
      <c r="B1815">
        <v>36</v>
      </c>
      <c r="C1815">
        <v>38</v>
      </c>
    </row>
    <row r="1816" spans="1:3" x14ac:dyDescent="0.25">
      <c r="A1816" s="1" t="s">
        <v>1901</v>
      </c>
      <c r="B1816">
        <v>115</v>
      </c>
      <c r="C1816">
        <v>54</v>
      </c>
    </row>
    <row r="1817" spans="1:3" x14ac:dyDescent="0.25">
      <c r="A1817" s="1" t="s">
        <v>1902</v>
      </c>
      <c r="B1817">
        <v>28</v>
      </c>
    </row>
    <row r="1818" spans="1:3" x14ac:dyDescent="0.25">
      <c r="A1818" s="1" t="s">
        <v>1903</v>
      </c>
      <c r="B1818">
        <v>39</v>
      </c>
      <c r="C1818">
        <v>13</v>
      </c>
    </row>
    <row r="1819" spans="1:3" x14ac:dyDescent="0.25">
      <c r="A1819" s="1" t="s">
        <v>1904</v>
      </c>
      <c r="B1819">
        <v>71</v>
      </c>
      <c r="C1819">
        <v>40</v>
      </c>
    </row>
    <row r="1820" spans="1:3" x14ac:dyDescent="0.25">
      <c r="A1820" s="1" t="s">
        <v>1904</v>
      </c>
      <c r="B1820">
        <v>65</v>
      </c>
      <c r="C1820">
        <v>59</v>
      </c>
    </row>
    <row r="1821" spans="1:3" x14ac:dyDescent="0.25">
      <c r="A1821" s="1" t="s">
        <v>1905</v>
      </c>
      <c r="B1821">
        <v>356</v>
      </c>
      <c r="C1821">
        <v>230</v>
      </c>
    </row>
    <row r="1822" spans="1:3" x14ac:dyDescent="0.25">
      <c r="A1822" s="1" t="s">
        <v>1905</v>
      </c>
      <c r="B1822">
        <v>358</v>
      </c>
      <c r="C1822">
        <v>235</v>
      </c>
    </row>
    <row r="1823" spans="1:3" x14ac:dyDescent="0.25">
      <c r="A1823" s="1" t="s">
        <v>1906</v>
      </c>
      <c r="B1823">
        <v>7</v>
      </c>
      <c r="C1823">
        <v>20</v>
      </c>
    </row>
    <row r="1824" spans="1:3" x14ac:dyDescent="0.25">
      <c r="A1824" s="1" t="s">
        <v>1907</v>
      </c>
      <c r="B1824">
        <v>117</v>
      </c>
    </row>
    <row r="1825" spans="1:3" x14ac:dyDescent="0.25">
      <c r="A1825" s="1" t="s">
        <v>1907</v>
      </c>
      <c r="B1825">
        <v>117</v>
      </c>
    </row>
    <row r="1826" spans="1:3" x14ac:dyDescent="0.25">
      <c r="A1826" s="1" t="s">
        <v>1907</v>
      </c>
      <c r="B1826">
        <v>117</v>
      </c>
      <c r="C1826">
        <v>56</v>
      </c>
    </row>
    <row r="1827" spans="1:3" x14ac:dyDescent="0.25">
      <c r="A1827" s="1" t="s">
        <v>1908</v>
      </c>
      <c r="B1827">
        <v>256</v>
      </c>
      <c r="C1827">
        <v>40</v>
      </c>
    </row>
    <row r="1828" spans="1:3" x14ac:dyDescent="0.25">
      <c r="A1828" s="1" t="s">
        <v>1908</v>
      </c>
      <c r="B1828">
        <v>256</v>
      </c>
      <c r="C1828">
        <v>50</v>
      </c>
    </row>
    <row r="1829" spans="1:3" x14ac:dyDescent="0.25">
      <c r="A1829" s="1" t="s">
        <v>1909</v>
      </c>
      <c r="B1829">
        <v>28</v>
      </c>
      <c r="C1829">
        <v>17</v>
      </c>
    </row>
    <row r="1830" spans="1:3" x14ac:dyDescent="0.25">
      <c r="A1830" s="1" t="s">
        <v>1909</v>
      </c>
      <c r="B1830">
        <v>28</v>
      </c>
      <c r="C1830">
        <v>26</v>
      </c>
    </row>
    <row r="1831" spans="1:3" x14ac:dyDescent="0.25">
      <c r="A1831" s="1" t="s">
        <v>1910</v>
      </c>
      <c r="B1831">
        <v>4</v>
      </c>
    </row>
    <row r="1832" spans="1:3" x14ac:dyDescent="0.25">
      <c r="A1832" s="1" t="s">
        <v>1911</v>
      </c>
      <c r="B1832">
        <v>28</v>
      </c>
      <c r="C1832">
        <v>20</v>
      </c>
    </row>
    <row r="1833" spans="1:3" x14ac:dyDescent="0.25">
      <c r="A1833" s="1" t="s">
        <v>1912</v>
      </c>
      <c r="B1833">
        <v>22</v>
      </c>
    </row>
    <row r="1834" spans="1:3" x14ac:dyDescent="0.25">
      <c r="A1834" s="1" t="s">
        <v>1912</v>
      </c>
      <c r="B1834">
        <v>22</v>
      </c>
      <c r="C1834">
        <v>76</v>
      </c>
    </row>
    <row r="1835" spans="1:3" x14ac:dyDescent="0.25">
      <c r="A1835" s="1" t="s">
        <v>1912</v>
      </c>
      <c r="B1835">
        <v>22</v>
      </c>
      <c r="C1835">
        <v>100</v>
      </c>
    </row>
    <row r="1836" spans="1:3" x14ac:dyDescent="0.25">
      <c r="A1836" s="1" t="s">
        <v>1913</v>
      </c>
      <c r="B1836">
        <v>68</v>
      </c>
      <c r="C1836">
        <v>10</v>
      </c>
    </row>
    <row r="1837" spans="1:3" x14ac:dyDescent="0.25">
      <c r="A1837" s="1" t="s">
        <v>1913</v>
      </c>
      <c r="B1837">
        <v>68</v>
      </c>
      <c r="C1837">
        <v>65</v>
      </c>
    </row>
    <row r="1838" spans="1:3" x14ac:dyDescent="0.25">
      <c r="A1838" s="1" t="s">
        <v>1914</v>
      </c>
      <c r="B1838">
        <v>209</v>
      </c>
    </row>
    <row r="1839" spans="1:3" x14ac:dyDescent="0.25">
      <c r="A1839" s="1" t="s">
        <v>1914</v>
      </c>
      <c r="B1839">
        <v>209</v>
      </c>
      <c r="C1839">
        <v>24</v>
      </c>
    </row>
    <row r="1840" spans="1:3" x14ac:dyDescent="0.25">
      <c r="A1840" s="1" t="s">
        <v>1915</v>
      </c>
      <c r="B1840">
        <v>743</v>
      </c>
    </row>
    <row r="1841" spans="1:3" x14ac:dyDescent="0.25">
      <c r="A1841" s="1" t="s">
        <v>1916</v>
      </c>
      <c r="B1841">
        <v>748</v>
      </c>
      <c r="C1841">
        <v>500</v>
      </c>
    </row>
    <row r="1842" spans="1:3" x14ac:dyDescent="0.25">
      <c r="A1842" s="1" t="s">
        <v>1917</v>
      </c>
      <c r="B1842">
        <v>3400</v>
      </c>
    </row>
    <row r="1843" spans="1:3" x14ac:dyDescent="0.25">
      <c r="A1843" s="1" t="s">
        <v>1918</v>
      </c>
      <c r="B1843">
        <v>40</v>
      </c>
      <c r="C1843">
        <v>30</v>
      </c>
    </row>
    <row r="1844" spans="1:3" x14ac:dyDescent="0.25">
      <c r="A1844" s="1" t="s">
        <v>1919</v>
      </c>
      <c r="B1844">
        <v>305</v>
      </c>
    </row>
    <row r="1845" spans="1:3" x14ac:dyDescent="0.25">
      <c r="A1845" s="1" t="s">
        <v>1919</v>
      </c>
      <c r="B1845">
        <v>305</v>
      </c>
      <c r="C1845">
        <v>243</v>
      </c>
    </row>
    <row r="1846" spans="1:3" x14ac:dyDescent="0.25">
      <c r="A1846" s="1" t="s">
        <v>1920</v>
      </c>
      <c r="B1846">
        <v>53</v>
      </c>
      <c r="C1846">
        <v>75</v>
      </c>
    </row>
    <row r="1847" spans="1:3" x14ac:dyDescent="0.25">
      <c r="A1847" s="1" t="s">
        <v>1921</v>
      </c>
      <c r="B1847">
        <v>698</v>
      </c>
      <c r="C1847">
        <v>160</v>
      </c>
    </row>
    <row r="1848" spans="1:3" x14ac:dyDescent="0.25">
      <c r="A1848" s="1" t="s">
        <v>1921</v>
      </c>
      <c r="B1848">
        <v>423</v>
      </c>
      <c r="C1848">
        <v>250</v>
      </c>
    </row>
    <row r="1849" spans="1:3" x14ac:dyDescent="0.25">
      <c r="A1849" s="1" t="s">
        <v>1924</v>
      </c>
      <c r="B1849">
        <v>646</v>
      </c>
      <c r="C1849">
        <v>80</v>
      </c>
    </row>
    <row r="1850" spans="1:3" x14ac:dyDescent="0.25">
      <c r="A1850" s="1" t="s">
        <v>1924</v>
      </c>
      <c r="B1850">
        <v>646</v>
      </c>
      <c r="C1850">
        <v>180</v>
      </c>
    </row>
    <row r="1851" spans="1:3" x14ac:dyDescent="0.25">
      <c r="A1851" s="1" t="s">
        <v>1925</v>
      </c>
      <c r="B1851">
        <v>204</v>
      </c>
      <c r="C1851">
        <v>24</v>
      </c>
    </row>
    <row r="1852" spans="1:3" x14ac:dyDescent="0.25">
      <c r="A1852" s="1" t="s">
        <v>1927</v>
      </c>
      <c r="B1852">
        <v>9400</v>
      </c>
      <c r="C1852">
        <v>40</v>
      </c>
    </row>
    <row r="1853" spans="1:3" x14ac:dyDescent="0.25">
      <c r="A1853" s="1" t="s">
        <v>1928</v>
      </c>
      <c r="B1853">
        <v>95</v>
      </c>
      <c r="C1853">
        <v>120</v>
      </c>
    </row>
    <row r="1854" spans="1:3" x14ac:dyDescent="0.25">
      <c r="A1854" s="1" t="s">
        <v>1929</v>
      </c>
      <c r="B1854">
        <v>235</v>
      </c>
      <c r="C1854">
        <v>60</v>
      </c>
    </row>
    <row r="1855" spans="1:3" x14ac:dyDescent="0.25">
      <c r="A1855" s="1" t="s">
        <v>1930</v>
      </c>
      <c r="B1855">
        <v>565</v>
      </c>
      <c r="C1855">
        <v>123</v>
      </c>
    </row>
    <row r="1856" spans="1:3" x14ac:dyDescent="0.25">
      <c r="A1856" s="1" t="s">
        <v>1931</v>
      </c>
      <c r="B1856">
        <v>902</v>
      </c>
      <c r="C1856">
        <v>1300</v>
      </c>
    </row>
    <row r="1857" spans="1:3" x14ac:dyDescent="0.25">
      <c r="A1857" s="1" t="s">
        <v>1932</v>
      </c>
      <c r="B1857">
        <v>110</v>
      </c>
      <c r="C1857">
        <v>44</v>
      </c>
    </row>
    <row r="1858" spans="1:3" x14ac:dyDescent="0.25">
      <c r="A1858" s="1" t="s">
        <v>1933</v>
      </c>
      <c r="B1858">
        <v>29</v>
      </c>
      <c r="C1858">
        <v>30</v>
      </c>
    </row>
    <row r="1859" spans="1:3" x14ac:dyDescent="0.25">
      <c r="A1859" s="1" t="s">
        <v>1935</v>
      </c>
      <c r="B1859">
        <v>450</v>
      </c>
      <c r="C1859">
        <v>262</v>
      </c>
    </row>
    <row r="1860" spans="1:3" x14ac:dyDescent="0.25">
      <c r="A1860" s="1" t="s">
        <v>1936</v>
      </c>
      <c r="B1860">
        <v>83</v>
      </c>
      <c r="C1860">
        <v>23</v>
      </c>
    </row>
    <row r="1861" spans="1:3" x14ac:dyDescent="0.25">
      <c r="A1861" s="1" t="s">
        <v>1937</v>
      </c>
      <c r="B1861">
        <v>104</v>
      </c>
      <c r="C1861">
        <v>16</v>
      </c>
    </row>
    <row r="1862" spans="1:3" x14ac:dyDescent="0.25">
      <c r="A1862" s="1" t="s">
        <v>1938</v>
      </c>
      <c r="B1862">
        <v>112</v>
      </c>
      <c r="C1862">
        <v>350</v>
      </c>
    </row>
    <row r="1863" spans="1:3" x14ac:dyDescent="0.25">
      <c r="A1863" s="1" t="s">
        <v>1939</v>
      </c>
      <c r="B1863">
        <v>1</v>
      </c>
      <c r="C1863">
        <v>13</v>
      </c>
    </row>
    <row r="1864" spans="1:3" x14ac:dyDescent="0.25">
      <c r="A1864" s="1" t="s">
        <v>1940</v>
      </c>
      <c r="B1864">
        <v>224</v>
      </c>
      <c r="C1864">
        <v>131</v>
      </c>
    </row>
    <row r="1865" spans="1:3" x14ac:dyDescent="0.25">
      <c r="A1865" s="1" t="s">
        <v>1941</v>
      </c>
      <c r="B1865">
        <v>1200</v>
      </c>
    </row>
    <row r="1866" spans="1:3" x14ac:dyDescent="0.25">
      <c r="A1866" s="1" t="s">
        <v>1942</v>
      </c>
      <c r="B1866">
        <v>128</v>
      </c>
      <c r="C1866">
        <v>24</v>
      </c>
    </row>
    <row r="1867" spans="1:3" x14ac:dyDescent="0.25">
      <c r="A1867" s="1" t="s">
        <v>1943</v>
      </c>
      <c r="B1867">
        <v>583</v>
      </c>
      <c r="C1867">
        <v>27</v>
      </c>
    </row>
    <row r="1868" spans="1:3" x14ac:dyDescent="0.25">
      <c r="A1868" s="1" t="s">
        <v>1944</v>
      </c>
      <c r="B1868">
        <v>35</v>
      </c>
      <c r="C1868">
        <v>20</v>
      </c>
    </row>
    <row r="1869" spans="1:3" x14ac:dyDescent="0.25">
      <c r="A1869" s="1" t="s">
        <v>1946</v>
      </c>
      <c r="B1869">
        <v>47</v>
      </c>
      <c r="C1869">
        <v>250</v>
      </c>
    </row>
    <row r="1870" spans="1:3" x14ac:dyDescent="0.25">
      <c r="A1870" s="1" t="s">
        <v>1947</v>
      </c>
      <c r="B1870">
        <v>1000</v>
      </c>
      <c r="C1870">
        <v>80</v>
      </c>
    </row>
    <row r="1871" spans="1:3" x14ac:dyDescent="0.25">
      <c r="A1871" s="1" t="s">
        <v>1947</v>
      </c>
      <c r="B1871">
        <v>1000</v>
      </c>
      <c r="C1871">
        <v>100</v>
      </c>
    </row>
    <row r="1872" spans="1:3" x14ac:dyDescent="0.25">
      <c r="A1872" s="1" t="s">
        <v>1947</v>
      </c>
      <c r="B1872">
        <v>386</v>
      </c>
      <c r="C1872">
        <v>120</v>
      </c>
    </row>
    <row r="1873" spans="1:3" x14ac:dyDescent="0.25">
      <c r="A1873" s="1" t="s">
        <v>1948</v>
      </c>
      <c r="B1873">
        <v>109</v>
      </c>
    </row>
    <row r="1874" spans="1:3" x14ac:dyDescent="0.25">
      <c r="A1874" s="1" t="s">
        <v>1949</v>
      </c>
      <c r="B1874">
        <v>12</v>
      </c>
      <c r="C1874">
        <v>41</v>
      </c>
    </row>
    <row r="1875" spans="1:3" x14ac:dyDescent="0.25">
      <c r="A1875" s="1" t="s">
        <v>1950</v>
      </c>
      <c r="B1875">
        <v>62</v>
      </c>
      <c r="C1875">
        <v>300</v>
      </c>
    </row>
    <row r="1876" spans="1:3" x14ac:dyDescent="0.25">
      <c r="A1876" s="1" t="s">
        <v>1951</v>
      </c>
      <c r="B1876">
        <v>624</v>
      </c>
    </row>
    <row r="1877" spans="1:3" x14ac:dyDescent="0.25">
      <c r="A1877" s="1" t="s">
        <v>1952</v>
      </c>
      <c r="B1877">
        <v>981</v>
      </c>
      <c r="C1877">
        <v>300</v>
      </c>
    </row>
    <row r="1878" spans="1:3" x14ac:dyDescent="0.25">
      <c r="A1878" s="1" t="s">
        <v>1953</v>
      </c>
      <c r="B1878">
        <v>3</v>
      </c>
      <c r="C1878">
        <v>900</v>
      </c>
    </row>
    <row r="1879" spans="1:3" x14ac:dyDescent="0.25">
      <c r="A1879" s="1" t="s">
        <v>1955</v>
      </c>
      <c r="B1879">
        <v>48</v>
      </c>
      <c r="C1879">
        <v>15</v>
      </c>
    </row>
    <row r="1880" spans="1:3" x14ac:dyDescent="0.25">
      <c r="A1880" s="1" t="s">
        <v>1956</v>
      </c>
      <c r="B1880">
        <v>16</v>
      </c>
      <c r="C1880">
        <v>23</v>
      </c>
    </row>
    <row r="1881" spans="1:3" x14ac:dyDescent="0.25">
      <c r="A1881" s="1" t="s">
        <v>1956</v>
      </c>
      <c r="B1881">
        <v>16</v>
      </c>
      <c r="C1881">
        <v>100</v>
      </c>
    </row>
    <row r="1882" spans="1:3" x14ac:dyDescent="0.25">
      <c r="A1882" s="1" t="s">
        <v>1957</v>
      </c>
      <c r="B1882">
        <v>29</v>
      </c>
    </row>
    <row r="1883" spans="1:3" x14ac:dyDescent="0.25">
      <c r="A1883" s="1" t="s">
        <v>1958</v>
      </c>
      <c r="B1883">
        <v>55</v>
      </c>
    </row>
    <row r="1884" spans="1:3" x14ac:dyDescent="0.25">
      <c r="A1884" s="1" t="s">
        <v>1960</v>
      </c>
      <c r="B1884">
        <v>34</v>
      </c>
      <c r="C1884">
        <v>13</v>
      </c>
    </row>
    <row r="1885" spans="1:3" x14ac:dyDescent="0.25">
      <c r="A1885" s="1" t="s">
        <v>1961</v>
      </c>
      <c r="B1885">
        <v>17</v>
      </c>
    </row>
    <row r="1886" spans="1:3" x14ac:dyDescent="0.25">
      <c r="A1886" s="1" t="s">
        <v>1964</v>
      </c>
      <c r="B1886">
        <v>340</v>
      </c>
      <c r="C1886">
        <v>219</v>
      </c>
    </row>
    <row r="1887" spans="1:3" x14ac:dyDescent="0.25">
      <c r="A1887" s="1" t="s">
        <v>1965</v>
      </c>
      <c r="B1887">
        <v>271</v>
      </c>
      <c r="C1887">
        <v>40</v>
      </c>
    </row>
    <row r="1888" spans="1:3" x14ac:dyDescent="0.25">
      <c r="A1888" s="1" t="s">
        <v>1966</v>
      </c>
      <c r="B1888">
        <v>255</v>
      </c>
    </row>
    <row r="1889" spans="1:3" x14ac:dyDescent="0.25">
      <c r="A1889" s="1" t="s">
        <v>1966</v>
      </c>
      <c r="B1889">
        <v>255</v>
      </c>
    </row>
    <row r="1890" spans="1:3" x14ac:dyDescent="0.25">
      <c r="A1890" s="1" t="s">
        <v>1966</v>
      </c>
      <c r="B1890">
        <v>255</v>
      </c>
      <c r="C1890">
        <v>150</v>
      </c>
    </row>
    <row r="1891" spans="1:3" x14ac:dyDescent="0.25">
      <c r="A1891" s="1" t="s">
        <v>1966</v>
      </c>
      <c r="B1891">
        <v>255</v>
      </c>
      <c r="C1891">
        <v>175</v>
      </c>
    </row>
    <row r="1892" spans="1:3" x14ac:dyDescent="0.25">
      <c r="A1892" s="1" t="s">
        <v>1967</v>
      </c>
      <c r="B1892">
        <v>474</v>
      </c>
      <c r="C1892">
        <v>24</v>
      </c>
    </row>
    <row r="1893" spans="1:3" x14ac:dyDescent="0.25">
      <c r="A1893" s="1" t="s">
        <v>1968</v>
      </c>
      <c r="B1893">
        <v>28</v>
      </c>
      <c r="C1893">
        <v>120</v>
      </c>
    </row>
    <row r="1894" spans="1:3" x14ac:dyDescent="0.25">
      <c r="A1894" s="1" t="s">
        <v>1969</v>
      </c>
      <c r="B1894">
        <v>40</v>
      </c>
      <c r="C1894">
        <v>47</v>
      </c>
    </row>
    <row r="1895" spans="1:3" x14ac:dyDescent="0.25">
      <c r="A1895" s="1" t="s">
        <v>1970</v>
      </c>
      <c r="B1895">
        <v>21</v>
      </c>
      <c r="C1895">
        <v>55</v>
      </c>
    </row>
    <row r="1896" spans="1:3" x14ac:dyDescent="0.25">
      <c r="A1896" s="1" t="s">
        <v>1972</v>
      </c>
      <c r="B1896">
        <v>218</v>
      </c>
      <c r="C1896">
        <v>100</v>
      </c>
    </row>
    <row r="1897" spans="1:3" x14ac:dyDescent="0.25">
      <c r="A1897" s="1" t="s">
        <v>1973</v>
      </c>
      <c r="B1897">
        <v>51</v>
      </c>
      <c r="C1897">
        <v>14</v>
      </c>
    </row>
    <row r="1898" spans="1:3" x14ac:dyDescent="0.25">
      <c r="A1898" s="1" t="s">
        <v>1975</v>
      </c>
      <c r="B1898">
        <v>491</v>
      </c>
    </row>
    <row r="1899" spans="1:3" x14ac:dyDescent="0.25">
      <c r="A1899" s="1" t="s">
        <v>1976</v>
      </c>
      <c r="B1899">
        <v>467</v>
      </c>
      <c r="C1899">
        <v>108</v>
      </c>
    </row>
    <row r="1900" spans="1:3" x14ac:dyDescent="0.25">
      <c r="A1900" s="1" t="s">
        <v>1977</v>
      </c>
      <c r="B1900">
        <v>648</v>
      </c>
      <c r="C1900">
        <v>350</v>
      </c>
    </row>
    <row r="1901" spans="1:3" x14ac:dyDescent="0.25">
      <c r="A1901" s="1" t="s">
        <v>1978</v>
      </c>
      <c r="B1901">
        <v>2</v>
      </c>
      <c r="C1901">
        <v>4</v>
      </c>
    </row>
    <row r="1902" spans="1:3" x14ac:dyDescent="0.25">
      <c r="A1902" s="1" t="s">
        <v>1979</v>
      </c>
      <c r="B1902">
        <v>157</v>
      </c>
      <c r="C1902">
        <v>211</v>
      </c>
    </row>
    <row r="1903" spans="1:3" x14ac:dyDescent="0.25">
      <c r="A1903" s="1" t="s">
        <v>1980</v>
      </c>
      <c r="B1903">
        <v>614</v>
      </c>
      <c r="C1903">
        <v>800</v>
      </c>
    </row>
    <row r="1904" spans="1:3" x14ac:dyDescent="0.25">
      <c r="A1904" s="1" t="s">
        <v>1980</v>
      </c>
      <c r="B1904">
        <v>614</v>
      </c>
      <c r="C1904">
        <v>1500</v>
      </c>
    </row>
    <row r="1905" spans="1:3" x14ac:dyDescent="0.25">
      <c r="A1905" s="1" t="s">
        <v>1981</v>
      </c>
      <c r="B1905">
        <v>50</v>
      </c>
      <c r="C1905">
        <v>30</v>
      </c>
    </row>
    <row r="1906" spans="1:3" x14ac:dyDescent="0.25">
      <c r="A1906" s="1" t="s">
        <v>1982</v>
      </c>
      <c r="B1906">
        <v>73</v>
      </c>
    </row>
    <row r="1907" spans="1:3" x14ac:dyDescent="0.25">
      <c r="A1907" s="1" t="s">
        <v>1983</v>
      </c>
      <c r="B1907">
        <v>5700</v>
      </c>
    </row>
    <row r="1908" spans="1:3" x14ac:dyDescent="0.25">
      <c r="A1908" s="1" t="s">
        <v>1983</v>
      </c>
      <c r="B1908">
        <v>12900</v>
      </c>
      <c r="C1908">
        <v>40</v>
      </c>
    </row>
    <row r="1909" spans="1:3" x14ac:dyDescent="0.25">
      <c r="A1909" s="1" t="s">
        <v>1983</v>
      </c>
      <c r="B1909">
        <v>12900</v>
      </c>
      <c r="C1909">
        <v>200</v>
      </c>
    </row>
    <row r="1910" spans="1:3" x14ac:dyDescent="0.25">
      <c r="A1910" s="1" t="s">
        <v>1983</v>
      </c>
      <c r="B1910">
        <v>12900</v>
      </c>
      <c r="C1910">
        <v>3700</v>
      </c>
    </row>
    <row r="1911" spans="1:3" x14ac:dyDescent="0.25">
      <c r="A1911" s="1" t="s">
        <v>1984</v>
      </c>
      <c r="B1911">
        <v>187</v>
      </c>
    </row>
    <row r="1912" spans="1:3" x14ac:dyDescent="0.25">
      <c r="A1912" s="1" t="s">
        <v>1985</v>
      </c>
      <c r="B1912">
        <v>472</v>
      </c>
    </row>
    <row r="1913" spans="1:3" x14ac:dyDescent="0.25">
      <c r="A1913" s="1" t="s">
        <v>1986</v>
      </c>
      <c r="B1913">
        <v>544</v>
      </c>
      <c r="C1913">
        <v>53</v>
      </c>
    </row>
    <row r="1914" spans="1:3" x14ac:dyDescent="0.25">
      <c r="A1914" s="1" t="s">
        <v>1987</v>
      </c>
      <c r="B1914">
        <v>24700</v>
      </c>
      <c r="C1914">
        <v>225</v>
      </c>
    </row>
    <row r="1915" spans="1:3" x14ac:dyDescent="0.25">
      <c r="A1915" s="1" t="s">
        <v>1987</v>
      </c>
      <c r="B1915">
        <v>24700</v>
      </c>
      <c r="C1915">
        <v>600</v>
      </c>
    </row>
    <row r="1916" spans="1:3" x14ac:dyDescent="0.25">
      <c r="A1916" s="1" t="s">
        <v>1987</v>
      </c>
      <c r="B1916">
        <v>24700</v>
      </c>
      <c r="C1916">
        <v>3000</v>
      </c>
    </row>
    <row r="1917" spans="1:3" x14ac:dyDescent="0.25">
      <c r="A1917" s="1" t="s">
        <v>1987</v>
      </c>
      <c r="B1917">
        <v>24700</v>
      </c>
      <c r="C1917">
        <v>3700</v>
      </c>
    </row>
    <row r="1918" spans="1:3" x14ac:dyDescent="0.25">
      <c r="A1918" s="1" t="s">
        <v>1987</v>
      </c>
      <c r="B1918">
        <v>24700</v>
      </c>
      <c r="C1918">
        <v>60</v>
      </c>
    </row>
    <row r="1919" spans="1:3" x14ac:dyDescent="0.25">
      <c r="A1919" s="1" t="s">
        <v>1990</v>
      </c>
      <c r="B1919">
        <v>2700</v>
      </c>
      <c r="C1919">
        <v>150</v>
      </c>
    </row>
    <row r="1920" spans="1:3" x14ac:dyDescent="0.25">
      <c r="A1920" s="1" t="s">
        <v>1991</v>
      </c>
      <c r="B1920">
        <v>42</v>
      </c>
      <c r="C1920">
        <v>31</v>
      </c>
    </row>
    <row r="1921" spans="1:3" x14ac:dyDescent="0.25">
      <c r="A1921" s="1" t="s">
        <v>1992</v>
      </c>
      <c r="B1921">
        <v>1500</v>
      </c>
      <c r="C1921">
        <v>180</v>
      </c>
    </row>
    <row r="1922" spans="1:3" x14ac:dyDescent="0.25">
      <c r="A1922" s="1" t="s">
        <v>1992</v>
      </c>
      <c r="B1922">
        <v>1500</v>
      </c>
      <c r="C1922">
        <v>350</v>
      </c>
    </row>
    <row r="1923" spans="1:3" x14ac:dyDescent="0.25">
      <c r="A1923" s="1" t="s">
        <v>1993</v>
      </c>
      <c r="B1923">
        <v>235</v>
      </c>
      <c r="C1923">
        <v>55</v>
      </c>
    </row>
    <row r="1924" spans="1:3" x14ac:dyDescent="0.25">
      <c r="A1924" s="1" t="s">
        <v>1994</v>
      </c>
      <c r="B1924">
        <v>2</v>
      </c>
      <c r="C1924">
        <v>100</v>
      </c>
    </row>
    <row r="1925" spans="1:3" x14ac:dyDescent="0.25">
      <c r="A1925" s="1" t="s">
        <v>1995</v>
      </c>
      <c r="B1925">
        <v>311</v>
      </c>
    </row>
    <row r="1926" spans="1:3" x14ac:dyDescent="0.25">
      <c r="A1926" s="1" t="s">
        <v>1996</v>
      </c>
      <c r="B1926">
        <v>2000</v>
      </c>
      <c r="C1926">
        <v>210</v>
      </c>
    </row>
    <row r="1927" spans="1:3" x14ac:dyDescent="0.25">
      <c r="A1927" s="1" t="s">
        <v>1996</v>
      </c>
      <c r="B1927">
        <v>2000</v>
      </c>
      <c r="C1927">
        <v>241</v>
      </c>
    </row>
    <row r="1928" spans="1:3" x14ac:dyDescent="0.25">
      <c r="A1928" s="1" t="s">
        <v>1997</v>
      </c>
      <c r="B1928">
        <v>140</v>
      </c>
      <c r="C1928">
        <v>134</v>
      </c>
    </row>
    <row r="1929" spans="1:3" x14ac:dyDescent="0.25">
      <c r="A1929" s="1" t="s">
        <v>1998</v>
      </c>
      <c r="B1929">
        <v>55</v>
      </c>
    </row>
    <row r="1930" spans="1:3" x14ac:dyDescent="0.25">
      <c r="A1930" s="1" t="s">
        <v>1999</v>
      </c>
      <c r="B1930">
        <v>838</v>
      </c>
      <c r="C1930">
        <v>150</v>
      </c>
    </row>
    <row r="1931" spans="1:3" x14ac:dyDescent="0.25">
      <c r="A1931" s="1" t="s">
        <v>1999</v>
      </c>
      <c r="B1931">
        <v>838</v>
      </c>
      <c r="C1931">
        <v>350</v>
      </c>
    </row>
    <row r="1932" spans="1:3" x14ac:dyDescent="0.25">
      <c r="A1932" s="1" t="s">
        <v>1999</v>
      </c>
      <c r="B1932">
        <v>838</v>
      </c>
      <c r="C1932">
        <v>1000</v>
      </c>
    </row>
    <row r="1933" spans="1:3" x14ac:dyDescent="0.25">
      <c r="A1933" s="1" t="s">
        <v>2000</v>
      </c>
      <c r="B1933">
        <v>91</v>
      </c>
      <c r="C1933">
        <v>80</v>
      </c>
    </row>
    <row r="1934" spans="1:3" x14ac:dyDescent="0.25">
      <c r="A1934" s="1" t="s">
        <v>2001</v>
      </c>
      <c r="B1934">
        <v>39</v>
      </c>
      <c r="C1934">
        <v>47</v>
      </c>
    </row>
    <row r="1935" spans="1:3" x14ac:dyDescent="0.25">
      <c r="A1935" s="1" t="s">
        <v>2002</v>
      </c>
      <c r="B1935">
        <v>118</v>
      </c>
      <c r="C1935">
        <v>29</v>
      </c>
    </row>
    <row r="1936" spans="1:3" x14ac:dyDescent="0.25">
      <c r="A1936" s="1" t="s">
        <v>2003</v>
      </c>
      <c r="B1936">
        <v>33</v>
      </c>
    </row>
    <row r="1937" spans="1:3" x14ac:dyDescent="0.25">
      <c r="A1937" s="1" t="s">
        <v>2004</v>
      </c>
      <c r="B1937">
        <v>336</v>
      </c>
      <c r="C1937">
        <v>50</v>
      </c>
    </row>
    <row r="1938" spans="1:3" x14ac:dyDescent="0.25">
      <c r="A1938" s="1" t="s">
        <v>2004</v>
      </c>
      <c r="B1938">
        <v>336</v>
      </c>
      <c r="C1938">
        <v>110</v>
      </c>
    </row>
    <row r="1939" spans="1:3" x14ac:dyDescent="0.25">
      <c r="A1939" s="1" t="s">
        <v>2005</v>
      </c>
      <c r="B1939">
        <v>620</v>
      </c>
      <c r="C1939">
        <v>76</v>
      </c>
    </row>
    <row r="1940" spans="1:3" x14ac:dyDescent="0.25">
      <c r="A1940" s="1" t="s">
        <v>2006</v>
      </c>
      <c r="B1940">
        <v>40</v>
      </c>
      <c r="C1940">
        <v>89</v>
      </c>
    </row>
    <row r="1941" spans="1:3" x14ac:dyDescent="0.25">
      <c r="A1941" s="1" t="s">
        <v>2007</v>
      </c>
      <c r="B1941">
        <v>1300</v>
      </c>
      <c r="C1941">
        <v>200</v>
      </c>
    </row>
    <row r="1942" spans="1:3" x14ac:dyDescent="0.25">
      <c r="A1942" s="1" t="s">
        <v>2007</v>
      </c>
      <c r="B1942">
        <v>1300</v>
      </c>
      <c r="C1942">
        <v>284</v>
      </c>
    </row>
    <row r="1943" spans="1:3" x14ac:dyDescent="0.25">
      <c r="A1943" s="1" t="s">
        <v>2008</v>
      </c>
      <c r="B1943">
        <v>8</v>
      </c>
    </row>
    <row r="1944" spans="1:3" x14ac:dyDescent="0.25">
      <c r="A1944" s="1" t="s">
        <v>2009</v>
      </c>
      <c r="B1944">
        <v>7</v>
      </c>
      <c r="C1944">
        <v>42</v>
      </c>
    </row>
    <row r="1945" spans="1:3" x14ac:dyDescent="0.25">
      <c r="A1945" s="1" t="s">
        <v>2010</v>
      </c>
      <c r="B1945">
        <v>467</v>
      </c>
    </row>
    <row r="1946" spans="1:3" x14ac:dyDescent="0.25">
      <c r="A1946" s="1" t="s">
        <v>2011</v>
      </c>
      <c r="B1946">
        <v>631</v>
      </c>
      <c r="C1946">
        <v>120</v>
      </c>
    </row>
    <row r="1947" spans="1:3" x14ac:dyDescent="0.25">
      <c r="A1947" s="1" t="s">
        <v>2012</v>
      </c>
      <c r="B1947">
        <v>62</v>
      </c>
      <c r="C1947">
        <v>25</v>
      </c>
    </row>
    <row r="1948" spans="1:3" x14ac:dyDescent="0.25">
      <c r="A1948" s="1" t="s">
        <v>2013</v>
      </c>
      <c r="B1948">
        <v>7</v>
      </c>
      <c r="C1948">
        <v>19</v>
      </c>
    </row>
    <row r="1949" spans="1:3" x14ac:dyDescent="0.25">
      <c r="A1949" s="1" t="s">
        <v>2014</v>
      </c>
      <c r="B1949">
        <v>144</v>
      </c>
      <c r="C1949">
        <v>140</v>
      </c>
    </row>
    <row r="1950" spans="1:3" x14ac:dyDescent="0.25">
      <c r="A1950" s="1" t="s">
        <v>2014</v>
      </c>
      <c r="B1950">
        <v>144</v>
      </c>
      <c r="C1950">
        <v>365</v>
      </c>
    </row>
    <row r="1951" spans="1:3" x14ac:dyDescent="0.25">
      <c r="A1951" s="1" t="s">
        <v>2015</v>
      </c>
      <c r="B1951">
        <v>95</v>
      </c>
      <c r="C1951">
        <v>55</v>
      </c>
    </row>
    <row r="1952" spans="1:3" x14ac:dyDescent="0.25">
      <c r="A1952" s="1" t="s">
        <v>2016</v>
      </c>
      <c r="B1952">
        <v>46</v>
      </c>
      <c r="C1952">
        <v>15</v>
      </c>
    </row>
    <row r="1953" spans="1:3" x14ac:dyDescent="0.25">
      <c r="A1953" s="1" t="s">
        <v>2017</v>
      </c>
      <c r="B1953">
        <v>152</v>
      </c>
      <c r="C1953">
        <v>63</v>
      </c>
    </row>
    <row r="1954" spans="1:3" x14ac:dyDescent="0.25">
      <c r="A1954" s="1" t="s">
        <v>2018</v>
      </c>
      <c r="B1954">
        <v>69</v>
      </c>
      <c r="C1954">
        <v>65</v>
      </c>
    </row>
    <row r="1955" spans="1:3" x14ac:dyDescent="0.25">
      <c r="A1955" s="1" t="s">
        <v>2021</v>
      </c>
      <c r="B1955">
        <v>526</v>
      </c>
    </row>
    <row r="1956" spans="1:3" x14ac:dyDescent="0.25">
      <c r="A1956" s="1" t="s">
        <v>2021</v>
      </c>
      <c r="B1956">
        <v>834</v>
      </c>
      <c r="C1956">
        <v>1300</v>
      </c>
    </row>
    <row r="1957" spans="1:3" x14ac:dyDescent="0.25">
      <c r="A1957" s="1" t="s">
        <v>2024</v>
      </c>
      <c r="B1957">
        <v>203</v>
      </c>
    </row>
    <row r="1958" spans="1:3" x14ac:dyDescent="0.25">
      <c r="A1958" s="1" t="s">
        <v>2025</v>
      </c>
      <c r="B1958">
        <v>992</v>
      </c>
      <c r="C1958">
        <v>75</v>
      </c>
    </row>
    <row r="1959" spans="1:3" x14ac:dyDescent="0.25">
      <c r="A1959" s="1" t="s">
        <v>2026</v>
      </c>
      <c r="B1959">
        <v>30</v>
      </c>
      <c r="C1959">
        <v>110</v>
      </c>
    </row>
    <row r="1960" spans="1:3" x14ac:dyDescent="0.25">
      <c r="A1960" s="1" t="s">
        <v>2027</v>
      </c>
      <c r="B1960">
        <v>301</v>
      </c>
    </row>
    <row r="1961" spans="1:3" x14ac:dyDescent="0.25">
      <c r="A1961" s="1" t="s">
        <v>2028</v>
      </c>
      <c r="B1961">
        <v>292</v>
      </c>
      <c r="C1961">
        <v>100</v>
      </c>
    </row>
    <row r="1962" spans="1:3" x14ac:dyDescent="0.25">
      <c r="A1962" s="1" t="s">
        <v>2028</v>
      </c>
      <c r="B1962">
        <v>292</v>
      </c>
      <c r="C1962">
        <v>200</v>
      </c>
    </row>
    <row r="1963" spans="1:3" x14ac:dyDescent="0.25">
      <c r="A1963" s="1" t="s">
        <v>2028</v>
      </c>
      <c r="B1963">
        <v>292</v>
      </c>
      <c r="C1963">
        <v>385</v>
      </c>
    </row>
    <row r="1964" spans="1:3" x14ac:dyDescent="0.25">
      <c r="A1964" s="1" t="s">
        <v>2028</v>
      </c>
      <c r="B1964">
        <v>292</v>
      </c>
      <c r="C1964">
        <v>424</v>
      </c>
    </row>
    <row r="1965" spans="1:3" x14ac:dyDescent="0.25">
      <c r="A1965" s="1" t="s">
        <v>2029</v>
      </c>
      <c r="B1965">
        <v>15</v>
      </c>
      <c r="C1965">
        <v>16</v>
      </c>
    </row>
    <row r="1966" spans="1:3" x14ac:dyDescent="0.25">
      <c r="A1966" s="1" t="s">
        <v>2029</v>
      </c>
      <c r="B1966">
        <v>15</v>
      </c>
      <c r="C1966">
        <v>17</v>
      </c>
    </row>
    <row r="1967" spans="1:3" x14ac:dyDescent="0.25">
      <c r="A1967" s="1" t="s">
        <v>2030</v>
      </c>
      <c r="B1967">
        <v>69</v>
      </c>
      <c r="C1967">
        <v>30</v>
      </c>
    </row>
    <row r="1968" spans="1:3" x14ac:dyDescent="0.25">
      <c r="A1968" s="1" t="s">
        <v>2031</v>
      </c>
      <c r="B1968">
        <v>597</v>
      </c>
      <c r="C1968">
        <v>100</v>
      </c>
    </row>
    <row r="1969" spans="1:3" x14ac:dyDescent="0.25">
      <c r="A1969" s="1" t="s">
        <v>2032</v>
      </c>
      <c r="B1969">
        <v>225</v>
      </c>
      <c r="C1969">
        <v>140</v>
      </c>
    </row>
    <row r="1970" spans="1:3" x14ac:dyDescent="0.25">
      <c r="A1970" s="1" t="s">
        <v>2032</v>
      </c>
      <c r="B1970">
        <v>575</v>
      </c>
      <c r="C1970">
        <v>220</v>
      </c>
    </row>
    <row r="1971" spans="1:3" x14ac:dyDescent="0.25">
      <c r="A1971" s="1" t="s">
        <v>2033</v>
      </c>
      <c r="B1971">
        <v>167</v>
      </c>
    </row>
    <row r="1972" spans="1:3" x14ac:dyDescent="0.25">
      <c r="A1972" s="1" t="s">
        <v>2034</v>
      </c>
      <c r="B1972">
        <v>178</v>
      </c>
    </row>
    <row r="1973" spans="1:3" x14ac:dyDescent="0.25">
      <c r="A1973" s="1" t="s">
        <v>2036</v>
      </c>
      <c r="B1973">
        <v>43</v>
      </c>
      <c r="C1973">
        <v>27</v>
      </c>
    </row>
    <row r="1974" spans="1:3" x14ac:dyDescent="0.25">
      <c r="A1974" s="1" t="s">
        <v>2038</v>
      </c>
      <c r="B1974">
        <v>569</v>
      </c>
      <c r="C1974">
        <v>80</v>
      </c>
    </row>
    <row r="1975" spans="1:3" x14ac:dyDescent="0.25">
      <c r="A1975" s="1" t="s">
        <v>2039</v>
      </c>
      <c r="B1975">
        <v>7</v>
      </c>
      <c r="C1975">
        <v>63</v>
      </c>
    </row>
    <row r="1976" spans="1:3" x14ac:dyDescent="0.25">
      <c r="A1976" s="1" t="s">
        <v>2039</v>
      </c>
      <c r="B1976">
        <v>192</v>
      </c>
      <c r="C1976">
        <v>66</v>
      </c>
    </row>
    <row r="1977" spans="1:3" x14ac:dyDescent="0.25">
      <c r="A1977" s="1" t="s">
        <v>2040</v>
      </c>
      <c r="B1977">
        <v>3500</v>
      </c>
      <c r="C1977">
        <v>250</v>
      </c>
    </row>
    <row r="1978" spans="1:3" x14ac:dyDescent="0.25">
      <c r="A1978" s="1" t="s">
        <v>2041</v>
      </c>
      <c r="B1978">
        <v>1700</v>
      </c>
      <c r="C1978">
        <v>150</v>
      </c>
    </row>
    <row r="1979" spans="1:3" x14ac:dyDescent="0.25">
      <c r="A1979" s="1" t="s">
        <v>2043</v>
      </c>
      <c r="B1979">
        <v>75</v>
      </c>
      <c r="C1979">
        <v>29</v>
      </c>
    </row>
    <row r="1980" spans="1:3" x14ac:dyDescent="0.25">
      <c r="A1980" s="1" t="s">
        <v>2044</v>
      </c>
      <c r="B1980">
        <v>20</v>
      </c>
      <c r="C1980">
        <v>56</v>
      </c>
    </row>
    <row r="1981" spans="1:3" x14ac:dyDescent="0.25">
      <c r="A1981" s="1" t="s">
        <v>2045</v>
      </c>
      <c r="B1981">
        <v>71</v>
      </c>
      <c r="C1981">
        <v>50</v>
      </c>
    </row>
    <row r="1982" spans="1:3" x14ac:dyDescent="0.25">
      <c r="A1982" s="1" t="s">
        <v>2046</v>
      </c>
      <c r="B1982">
        <v>101</v>
      </c>
      <c r="C1982">
        <v>40</v>
      </c>
    </row>
    <row r="1983" spans="1:3" x14ac:dyDescent="0.25">
      <c r="A1983" s="1" t="s">
        <v>2053</v>
      </c>
      <c r="B1983">
        <v>185</v>
      </c>
    </row>
    <row r="1984" spans="1:3" x14ac:dyDescent="0.25">
      <c r="A1984" s="1" t="s">
        <v>2054</v>
      </c>
      <c r="B1984">
        <v>456</v>
      </c>
    </row>
    <row r="1985" spans="1:3" x14ac:dyDescent="0.25">
      <c r="A1985" s="1" t="s">
        <v>2054</v>
      </c>
      <c r="B1985">
        <v>106</v>
      </c>
      <c r="C1985">
        <v>21</v>
      </c>
    </row>
    <row r="1986" spans="1:3" x14ac:dyDescent="0.25">
      <c r="A1986" s="1" t="s">
        <v>2055</v>
      </c>
      <c r="B1986">
        <v>1800</v>
      </c>
    </row>
    <row r="1987" spans="1:3" x14ac:dyDescent="0.25">
      <c r="A1987" s="1" t="s">
        <v>2056</v>
      </c>
      <c r="B1987">
        <v>450</v>
      </c>
    </row>
    <row r="1988" spans="1:3" x14ac:dyDescent="0.25">
      <c r="A1988" s="1" t="s">
        <v>2056</v>
      </c>
      <c r="B1988">
        <v>450</v>
      </c>
    </row>
    <row r="1989" spans="1:3" x14ac:dyDescent="0.25">
      <c r="A1989" s="1" t="s">
        <v>2058</v>
      </c>
      <c r="B1989">
        <v>368</v>
      </c>
      <c r="C1989">
        <v>111</v>
      </c>
    </row>
    <row r="1990" spans="1:3" x14ac:dyDescent="0.25">
      <c r="A1990" s="1" t="s">
        <v>2059</v>
      </c>
      <c r="B1990">
        <v>175</v>
      </c>
      <c r="C1990">
        <v>65</v>
      </c>
    </row>
    <row r="1991" spans="1:3" x14ac:dyDescent="0.25">
      <c r="A1991" s="1" t="s">
        <v>2060</v>
      </c>
      <c r="B1991">
        <v>10</v>
      </c>
      <c r="C1991">
        <v>70</v>
      </c>
    </row>
    <row r="1992" spans="1:3" x14ac:dyDescent="0.25">
      <c r="A1992" s="1" t="s">
        <v>2061</v>
      </c>
      <c r="B1992">
        <v>128</v>
      </c>
      <c r="C1992">
        <v>25</v>
      </c>
    </row>
    <row r="1993" spans="1:3" x14ac:dyDescent="0.25">
      <c r="A1993" s="1" t="s">
        <v>2062</v>
      </c>
      <c r="B1993">
        <v>515</v>
      </c>
      <c r="C1993">
        <v>35</v>
      </c>
    </row>
    <row r="1994" spans="1:3" x14ac:dyDescent="0.25">
      <c r="A1994" s="1" t="s">
        <v>2062</v>
      </c>
      <c r="B1994">
        <v>167</v>
      </c>
      <c r="C1994">
        <v>100</v>
      </c>
    </row>
    <row r="1995" spans="1:3" x14ac:dyDescent="0.25">
      <c r="A1995" s="1" t="s">
        <v>2062</v>
      </c>
      <c r="B1995">
        <v>515</v>
      </c>
      <c r="C1995">
        <v>130</v>
      </c>
    </row>
    <row r="1996" spans="1:3" x14ac:dyDescent="0.25">
      <c r="A1996" s="1" t="s">
        <v>2063</v>
      </c>
      <c r="B1996">
        <v>90</v>
      </c>
    </row>
    <row r="1997" spans="1:3" x14ac:dyDescent="0.25">
      <c r="A1997" s="1" t="s">
        <v>2064</v>
      </c>
      <c r="B1997">
        <v>575</v>
      </c>
    </row>
    <row r="1998" spans="1:3" x14ac:dyDescent="0.25">
      <c r="A1998" s="1" t="s">
        <v>2064</v>
      </c>
      <c r="B1998">
        <v>575</v>
      </c>
    </row>
    <row r="1999" spans="1:3" x14ac:dyDescent="0.25">
      <c r="A1999" s="1" t="s">
        <v>2065</v>
      </c>
      <c r="B1999">
        <v>13</v>
      </c>
    </row>
    <row r="2000" spans="1:3" x14ac:dyDescent="0.25">
      <c r="A2000" s="1" t="s">
        <v>2065</v>
      </c>
      <c r="B2000">
        <v>13</v>
      </c>
    </row>
    <row r="2001" spans="1:3" x14ac:dyDescent="0.25">
      <c r="A2001" s="1" t="s">
        <v>2066</v>
      </c>
      <c r="B2001">
        <v>159</v>
      </c>
      <c r="C2001">
        <v>15</v>
      </c>
    </row>
    <row r="2002" spans="1:3" x14ac:dyDescent="0.25">
      <c r="A2002" s="1" t="s">
        <v>2067</v>
      </c>
      <c r="B2002">
        <v>308</v>
      </c>
    </row>
    <row r="2003" spans="1:3" x14ac:dyDescent="0.25">
      <c r="A2003" s="1" t="s">
        <v>2067</v>
      </c>
      <c r="B2003">
        <v>307</v>
      </c>
      <c r="C2003">
        <v>39</v>
      </c>
    </row>
    <row r="2004" spans="1:3" x14ac:dyDescent="0.25">
      <c r="A2004" s="1" t="s">
        <v>2067</v>
      </c>
      <c r="B2004">
        <v>307</v>
      </c>
      <c r="C2004">
        <v>130</v>
      </c>
    </row>
    <row r="2005" spans="1:3" x14ac:dyDescent="0.25">
      <c r="A2005" s="1" t="s">
        <v>2068</v>
      </c>
      <c r="B2005">
        <v>10</v>
      </c>
      <c r="C2005">
        <v>8</v>
      </c>
    </row>
    <row r="2006" spans="1:3" x14ac:dyDescent="0.25">
      <c r="A2006" s="1" t="s">
        <v>2069</v>
      </c>
      <c r="B2006">
        <v>1300</v>
      </c>
      <c r="C2006">
        <v>270</v>
      </c>
    </row>
    <row r="2007" spans="1:3" x14ac:dyDescent="0.25">
      <c r="A2007" s="1" t="s">
        <v>2069</v>
      </c>
      <c r="B2007">
        <v>1300</v>
      </c>
      <c r="C2007">
        <v>275</v>
      </c>
    </row>
    <row r="2008" spans="1:3" x14ac:dyDescent="0.25">
      <c r="A2008" s="1" t="s">
        <v>2069</v>
      </c>
      <c r="B2008">
        <v>1300</v>
      </c>
      <c r="C2008">
        <v>337</v>
      </c>
    </row>
    <row r="2009" spans="1:3" x14ac:dyDescent="0.25">
      <c r="A2009" s="1" t="s">
        <v>2070</v>
      </c>
      <c r="B2009">
        <v>90</v>
      </c>
      <c r="C2009">
        <v>45</v>
      </c>
    </row>
    <row r="2010" spans="1:3" x14ac:dyDescent="0.25">
      <c r="A2010" s="1" t="s">
        <v>2071</v>
      </c>
      <c r="B2010">
        <v>365</v>
      </c>
      <c r="C2010">
        <v>200</v>
      </c>
    </row>
    <row r="2011" spans="1:3" x14ac:dyDescent="0.25">
      <c r="A2011" s="1" t="s">
        <v>2073</v>
      </c>
      <c r="B2011">
        <v>307</v>
      </c>
      <c r="C2011">
        <v>43</v>
      </c>
    </row>
    <row r="2012" spans="1:3" x14ac:dyDescent="0.25">
      <c r="A2012" s="1" t="s">
        <v>2074</v>
      </c>
      <c r="B2012">
        <v>167</v>
      </c>
    </row>
    <row r="2013" spans="1:3" x14ac:dyDescent="0.25">
      <c r="A2013" s="1" t="s">
        <v>2075</v>
      </c>
      <c r="B2013">
        <v>26</v>
      </c>
      <c r="C2013">
        <v>56</v>
      </c>
    </row>
    <row r="2014" spans="1:3" x14ac:dyDescent="0.25">
      <c r="A2014" s="1" t="s">
        <v>2075</v>
      </c>
      <c r="B2014">
        <v>26</v>
      </c>
      <c r="C2014">
        <v>85</v>
      </c>
    </row>
    <row r="2015" spans="1:3" x14ac:dyDescent="0.25">
      <c r="A2015" s="1" t="s">
        <v>2076</v>
      </c>
      <c r="B2015">
        <v>535</v>
      </c>
      <c r="C2015">
        <v>63</v>
      </c>
    </row>
    <row r="2016" spans="1:3" x14ac:dyDescent="0.25">
      <c r="A2016" s="1" t="s">
        <v>2077</v>
      </c>
      <c r="B2016">
        <v>104</v>
      </c>
      <c r="C2016">
        <v>50</v>
      </c>
    </row>
    <row r="2017" spans="1:3" x14ac:dyDescent="0.25">
      <c r="A2017" s="1" t="s">
        <v>2079</v>
      </c>
      <c r="B2017">
        <v>292</v>
      </c>
      <c r="C2017">
        <v>300</v>
      </c>
    </row>
    <row r="2018" spans="1:3" x14ac:dyDescent="0.25">
      <c r="A2018" s="1" t="s">
        <v>2082</v>
      </c>
      <c r="B2018">
        <v>65</v>
      </c>
      <c r="C2018">
        <v>56</v>
      </c>
    </row>
    <row r="2019" spans="1:3" x14ac:dyDescent="0.25">
      <c r="A2019" s="1" t="s">
        <v>2084</v>
      </c>
      <c r="B2019">
        <v>1700</v>
      </c>
      <c r="C2019">
        <v>870</v>
      </c>
    </row>
    <row r="2020" spans="1:3" x14ac:dyDescent="0.25">
      <c r="A2020" s="1" t="s">
        <v>2084</v>
      </c>
      <c r="B2020">
        <v>1700</v>
      </c>
      <c r="C2020">
        <v>1750</v>
      </c>
    </row>
    <row r="2021" spans="1:3" x14ac:dyDescent="0.25">
      <c r="A2021" s="1" t="s">
        <v>2085</v>
      </c>
      <c r="B2021">
        <v>889</v>
      </c>
      <c r="C2021">
        <v>200</v>
      </c>
    </row>
    <row r="2022" spans="1:3" x14ac:dyDescent="0.25">
      <c r="A2022" s="1" t="s">
        <v>2086</v>
      </c>
      <c r="B2022">
        <v>5500</v>
      </c>
      <c r="C2022">
        <v>209</v>
      </c>
    </row>
    <row r="2023" spans="1:3" x14ac:dyDescent="0.25">
      <c r="A2023" s="1" t="s">
        <v>2087</v>
      </c>
      <c r="B2023">
        <v>67</v>
      </c>
      <c r="C2023">
        <v>30</v>
      </c>
    </row>
    <row r="2024" spans="1:3" x14ac:dyDescent="0.25">
      <c r="A2024" s="1" t="s">
        <v>2089</v>
      </c>
      <c r="B2024">
        <v>900</v>
      </c>
      <c r="C2024">
        <v>159</v>
      </c>
    </row>
    <row r="2025" spans="1:3" x14ac:dyDescent="0.25">
      <c r="A2025" s="1" t="s">
        <v>2090</v>
      </c>
      <c r="B2025">
        <v>1400</v>
      </c>
      <c r="C2025">
        <v>500</v>
      </c>
    </row>
    <row r="2026" spans="1:3" x14ac:dyDescent="0.25">
      <c r="A2026" s="1" t="s">
        <v>2092</v>
      </c>
      <c r="B2026">
        <v>863</v>
      </c>
      <c r="C2026">
        <v>150</v>
      </c>
    </row>
    <row r="2027" spans="1:3" x14ac:dyDescent="0.25">
      <c r="A2027" s="1" t="s">
        <v>2093</v>
      </c>
      <c r="B2027">
        <v>1</v>
      </c>
    </row>
    <row r="2028" spans="1:3" x14ac:dyDescent="0.25">
      <c r="A2028" s="1" t="s">
        <v>2095</v>
      </c>
      <c r="B2028">
        <v>1300</v>
      </c>
      <c r="C2028">
        <v>100</v>
      </c>
    </row>
    <row r="2029" spans="1:3" x14ac:dyDescent="0.25">
      <c r="A2029" s="1" t="s">
        <v>2096</v>
      </c>
      <c r="B2029">
        <v>29</v>
      </c>
      <c r="C2029">
        <v>10</v>
      </c>
    </row>
    <row r="2030" spans="1:3" x14ac:dyDescent="0.25">
      <c r="A2030" s="1" t="s">
        <v>2097</v>
      </c>
      <c r="B2030">
        <v>900</v>
      </c>
      <c r="C2030">
        <v>251</v>
      </c>
    </row>
    <row r="2031" spans="1:3" x14ac:dyDescent="0.25">
      <c r="A2031" s="1" t="s">
        <v>2098</v>
      </c>
      <c r="B2031">
        <v>237</v>
      </c>
      <c r="C2031">
        <v>125</v>
      </c>
    </row>
    <row r="2032" spans="1:3" x14ac:dyDescent="0.25">
      <c r="A2032" s="1" t="s">
        <v>2100</v>
      </c>
      <c r="B2032">
        <v>19500</v>
      </c>
      <c r="C2032">
        <v>200</v>
      </c>
    </row>
    <row r="2033" spans="1:3" x14ac:dyDescent="0.25">
      <c r="A2033" s="1" t="s">
        <v>2100</v>
      </c>
      <c r="B2033">
        <v>19500</v>
      </c>
      <c r="C2033">
        <v>100</v>
      </c>
    </row>
    <row r="2034" spans="1:3" x14ac:dyDescent="0.25">
      <c r="A2034" s="1" t="s">
        <v>2100</v>
      </c>
      <c r="B2034">
        <v>2250</v>
      </c>
      <c r="C2034">
        <v>250</v>
      </c>
    </row>
    <row r="2035" spans="1:3" x14ac:dyDescent="0.25">
      <c r="A2035" s="1" t="s">
        <v>2100</v>
      </c>
      <c r="B2035">
        <v>2250</v>
      </c>
      <c r="C2035">
        <v>300</v>
      </c>
    </row>
    <row r="2036" spans="1:3" x14ac:dyDescent="0.25">
      <c r="A2036" s="1" t="s">
        <v>2100</v>
      </c>
      <c r="B2036">
        <v>22200</v>
      </c>
      <c r="C2036">
        <v>300</v>
      </c>
    </row>
    <row r="2037" spans="1:3" x14ac:dyDescent="0.25">
      <c r="A2037" s="1" t="s">
        <v>2100</v>
      </c>
      <c r="B2037">
        <v>19500</v>
      </c>
    </row>
    <row r="2038" spans="1:3" x14ac:dyDescent="0.25">
      <c r="A2038" s="1" t="s">
        <v>2101</v>
      </c>
      <c r="B2038">
        <v>215</v>
      </c>
      <c r="C2038">
        <v>35</v>
      </c>
    </row>
    <row r="2039" spans="1:3" x14ac:dyDescent="0.25">
      <c r="A2039" s="1" t="s">
        <v>2101</v>
      </c>
      <c r="B2039">
        <v>215</v>
      </c>
      <c r="C2039">
        <v>56</v>
      </c>
    </row>
    <row r="2040" spans="1:3" x14ac:dyDescent="0.25">
      <c r="A2040" s="1" t="s">
        <v>2102</v>
      </c>
      <c r="B2040">
        <v>24</v>
      </c>
      <c r="C2040">
        <v>55</v>
      </c>
    </row>
    <row r="2041" spans="1:3" x14ac:dyDescent="0.25">
      <c r="A2041" s="1" t="s">
        <v>2103</v>
      </c>
      <c r="B2041">
        <v>10</v>
      </c>
    </row>
    <row r="2042" spans="1:3" x14ac:dyDescent="0.25">
      <c r="A2042" s="1" t="s">
        <v>2104</v>
      </c>
      <c r="B2042">
        <v>68</v>
      </c>
    </row>
    <row r="2043" spans="1:3" x14ac:dyDescent="0.25">
      <c r="A2043" s="1" t="s">
        <v>2105</v>
      </c>
      <c r="B2043">
        <v>11</v>
      </c>
      <c r="C2043">
        <v>300</v>
      </c>
    </row>
    <row r="2044" spans="1:3" x14ac:dyDescent="0.25">
      <c r="A2044" s="1" t="s">
        <v>2105</v>
      </c>
      <c r="B2044">
        <v>11</v>
      </c>
      <c r="C2044">
        <v>1800</v>
      </c>
    </row>
    <row r="2045" spans="1:3" x14ac:dyDescent="0.25">
      <c r="A2045" s="1" t="s">
        <v>2106</v>
      </c>
      <c r="B2045">
        <v>404</v>
      </c>
    </row>
    <row r="2046" spans="1:3" x14ac:dyDescent="0.25">
      <c r="A2046" s="1" t="s">
        <v>2106</v>
      </c>
      <c r="B2046">
        <v>404</v>
      </c>
      <c r="C2046">
        <v>95</v>
      </c>
    </row>
    <row r="2047" spans="1:3" x14ac:dyDescent="0.25">
      <c r="A2047" s="1" t="s">
        <v>2107</v>
      </c>
      <c r="B2047">
        <v>33</v>
      </c>
    </row>
    <row r="2048" spans="1:3" x14ac:dyDescent="0.25">
      <c r="A2048" s="1" t="s">
        <v>2108</v>
      </c>
      <c r="B2048">
        <v>260</v>
      </c>
      <c r="C2048">
        <v>300</v>
      </c>
    </row>
    <row r="2049" spans="1:3" x14ac:dyDescent="0.25">
      <c r="A2049" s="1" t="s">
        <v>2110</v>
      </c>
      <c r="B2049">
        <v>1600</v>
      </c>
      <c r="C2049">
        <v>150</v>
      </c>
    </row>
    <row r="2050" spans="1:3" x14ac:dyDescent="0.25">
      <c r="A2050" s="1" t="s">
        <v>2110</v>
      </c>
      <c r="B2050">
        <v>1600</v>
      </c>
      <c r="C2050">
        <v>190</v>
      </c>
    </row>
    <row r="2051" spans="1:3" x14ac:dyDescent="0.25">
      <c r="A2051" s="1" t="s">
        <v>2111</v>
      </c>
      <c r="B2051">
        <v>18</v>
      </c>
      <c r="C2051">
        <v>40</v>
      </c>
    </row>
    <row r="2052" spans="1:3" x14ac:dyDescent="0.25">
      <c r="A2052" s="1" t="s">
        <v>2112</v>
      </c>
      <c r="B2052">
        <v>58</v>
      </c>
      <c r="C2052">
        <v>100</v>
      </c>
    </row>
    <row r="2053" spans="1:3" x14ac:dyDescent="0.25">
      <c r="A2053" s="1" t="s">
        <v>2112</v>
      </c>
      <c r="B2053">
        <v>58</v>
      </c>
      <c r="C2053">
        <v>370</v>
      </c>
    </row>
    <row r="2054" spans="1:3" x14ac:dyDescent="0.25">
      <c r="A2054" s="1" t="s">
        <v>2113</v>
      </c>
      <c r="B2054">
        <v>62</v>
      </c>
    </row>
    <row r="2055" spans="1:3" x14ac:dyDescent="0.25">
      <c r="A2055" s="1" t="s">
        <v>2114</v>
      </c>
      <c r="B2055">
        <v>850</v>
      </c>
      <c r="C2055">
        <v>130</v>
      </c>
    </row>
    <row r="2056" spans="1:3" x14ac:dyDescent="0.25">
      <c r="A2056" s="1" t="s">
        <v>2115</v>
      </c>
      <c r="B2056">
        <v>24</v>
      </c>
      <c r="C2056">
        <v>50</v>
      </c>
    </row>
    <row r="2057" spans="1:3" x14ac:dyDescent="0.25">
      <c r="A2057" s="1" t="s">
        <v>2116</v>
      </c>
      <c r="B2057">
        <v>52</v>
      </c>
      <c r="C2057">
        <v>46</v>
      </c>
    </row>
    <row r="2058" spans="1:3" x14ac:dyDescent="0.25">
      <c r="A2058" s="1" t="s">
        <v>2117</v>
      </c>
      <c r="B2058">
        <v>28</v>
      </c>
      <c r="C2058">
        <v>26</v>
      </c>
    </row>
    <row r="2059" spans="1:3" x14ac:dyDescent="0.25">
      <c r="A2059" s="1" t="s">
        <v>2118</v>
      </c>
      <c r="B2059">
        <v>84</v>
      </c>
      <c r="C2059">
        <v>25</v>
      </c>
    </row>
    <row r="2060" spans="1:3" x14ac:dyDescent="0.25">
      <c r="A2060" s="1" t="s">
        <v>2119</v>
      </c>
      <c r="B2060">
        <v>415</v>
      </c>
      <c r="C2060">
        <v>90</v>
      </c>
    </row>
    <row r="2061" spans="1:3" x14ac:dyDescent="0.25">
      <c r="A2061" s="1" t="s">
        <v>2120</v>
      </c>
      <c r="B2061">
        <v>230</v>
      </c>
      <c r="C2061">
        <v>525</v>
      </c>
    </row>
    <row r="2062" spans="1:3" x14ac:dyDescent="0.25">
      <c r="A2062" s="1" t="s">
        <v>2121</v>
      </c>
      <c r="B2062">
        <v>375</v>
      </c>
    </row>
    <row r="2063" spans="1:3" x14ac:dyDescent="0.25">
      <c r="A2063" s="1" t="s">
        <v>2122</v>
      </c>
      <c r="B2063">
        <v>76</v>
      </c>
      <c r="C2063">
        <v>60</v>
      </c>
    </row>
    <row r="2064" spans="1:3" x14ac:dyDescent="0.25">
      <c r="A2064" s="1" t="s">
        <v>2123</v>
      </c>
      <c r="B2064">
        <v>67</v>
      </c>
      <c r="C2064">
        <v>35</v>
      </c>
    </row>
    <row r="2065" spans="1:3" x14ac:dyDescent="0.25">
      <c r="A2065" s="1" t="s">
        <v>2124</v>
      </c>
      <c r="B2065">
        <v>752</v>
      </c>
      <c r="C2065">
        <v>450</v>
      </c>
    </row>
    <row r="2066" spans="1:3" x14ac:dyDescent="0.25">
      <c r="A2066" s="1" t="s">
        <v>2125</v>
      </c>
      <c r="B2066">
        <v>4</v>
      </c>
      <c r="C2066">
        <v>30</v>
      </c>
    </row>
    <row r="2067" spans="1:3" x14ac:dyDescent="0.25">
      <c r="A2067" s="1" t="s">
        <v>2126</v>
      </c>
      <c r="B2067">
        <v>58</v>
      </c>
      <c r="C2067">
        <v>45</v>
      </c>
    </row>
    <row r="2068" spans="1:3" x14ac:dyDescent="0.25">
      <c r="A2068" s="1" t="s">
        <v>2127</v>
      </c>
      <c r="B2068">
        <v>11</v>
      </c>
      <c r="C2068">
        <v>5</v>
      </c>
    </row>
    <row r="2069" spans="1:3" x14ac:dyDescent="0.25">
      <c r="A2069" s="1" t="s">
        <v>2129</v>
      </c>
      <c r="B2069">
        <v>29</v>
      </c>
    </row>
    <row r="2070" spans="1:3" x14ac:dyDescent="0.25">
      <c r="A2070" s="1" t="s">
        <v>2130</v>
      </c>
      <c r="B2070">
        <v>534</v>
      </c>
    </row>
    <row r="2071" spans="1:3" x14ac:dyDescent="0.25">
      <c r="A2071" s="1" t="s">
        <v>2131</v>
      </c>
      <c r="B2071">
        <v>94</v>
      </c>
      <c r="C2071">
        <v>20</v>
      </c>
    </row>
    <row r="2072" spans="1:3" x14ac:dyDescent="0.25">
      <c r="A2072" s="1" t="s">
        <v>2132</v>
      </c>
      <c r="B2072">
        <v>5</v>
      </c>
      <c r="C2072">
        <v>10</v>
      </c>
    </row>
    <row r="2073" spans="1:3" x14ac:dyDescent="0.25">
      <c r="A2073" s="1" t="s">
        <v>2133</v>
      </c>
      <c r="B2073">
        <v>917</v>
      </c>
      <c r="C2073">
        <v>180</v>
      </c>
    </row>
    <row r="2074" spans="1:3" x14ac:dyDescent="0.25">
      <c r="A2074" s="1" t="s">
        <v>2134</v>
      </c>
      <c r="B2074">
        <v>7400</v>
      </c>
    </row>
    <row r="2075" spans="1:3" x14ac:dyDescent="0.25">
      <c r="A2075" s="1" t="s">
        <v>2136</v>
      </c>
      <c r="B2075">
        <v>100</v>
      </c>
    </row>
    <row r="2076" spans="1:3" x14ac:dyDescent="0.25">
      <c r="A2076" s="1" t="s">
        <v>2137</v>
      </c>
      <c r="B2076">
        <v>6</v>
      </c>
    </row>
    <row r="2077" spans="1:3" x14ac:dyDescent="0.25">
      <c r="A2077" s="1" t="s">
        <v>2138</v>
      </c>
      <c r="B2077">
        <v>6</v>
      </c>
      <c r="C2077">
        <v>1600</v>
      </c>
    </row>
    <row r="2078" spans="1:3" x14ac:dyDescent="0.25">
      <c r="A2078" s="1" t="s">
        <v>2139</v>
      </c>
      <c r="B2078">
        <v>69</v>
      </c>
    </row>
    <row r="2079" spans="1:3" x14ac:dyDescent="0.25">
      <c r="A2079" s="1" t="s">
        <v>2140</v>
      </c>
      <c r="B2079">
        <v>102</v>
      </c>
      <c r="C2079">
        <v>200</v>
      </c>
    </row>
    <row r="2080" spans="1:3" x14ac:dyDescent="0.25">
      <c r="A2080" s="1" t="s">
        <v>2141</v>
      </c>
      <c r="B2080">
        <v>56</v>
      </c>
      <c r="C2080">
        <v>63</v>
      </c>
    </row>
    <row r="2081" spans="1:3" x14ac:dyDescent="0.25">
      <c r="A2081" s="1" t="s">
        <v>2141</v>
      </c>
      <c r="B2081">
        <v>56</v>
      </c>
      <c r="C2081">
        <v>1000</v>
      </c>
    </row>
    <row r="2082" spans="1:3" x14ac:dyDescent="0.25">
      <c r="A2082" s="1" t="s">
        <v>2142</v>
      </c>
      <c r="B2082">
        <v>117</v>
      </c>
    </row>
    <row r="2083" spans="1:3" x14ac:dyDescent="0.25">
      <c r="A2083" s="1" t="s">
        <v>2143</v>
      </c>
      <c r="B2083">
        <v>23</v>
      </c>
    </row>
    <row r="2084" spans="1:3" x14ac:dyDescent="0.25">
      <c r="A2084" s="1" t="s">
        <v>2146</v>
      </c>
      <c r="B2084">
        <v>3</v>
      </c>
      <c r="C2084">
        <v>140</v>
      </c>
    </row>
    <row r="2085" spans="1:3" x14ac:dyDescent="0.25">
      <c r="A2085" s="1" t="s">
        <v>2147</v>
      </c>
      <c r="B2085">
        <v>16</v>
      </c>
      <c r="C2085">
        <v>18</v>
      </c>
    </row>
    <row r="2086" spans="1:3" x14ac:dyDescent="0.25">
      <c r="A2086" s="1" t="s">
        <v>2148</v>
      </c>
      <c r="B2086">
        <v>436</v>
      </c>
      <c r="C2086">
        <v>70</v>
      </c>
    </row>
    <row r="2087" spans="1:3" x14ac:dyDescent="0.25">
      <c r="A2087" s="1" t="s">
        <v>2149</v>
      </c>
      <c r="B2087">
        <v>2</v>
      </c>
    </row>
    <row r="2088" spans="1:3" x14ac:dyDescent="0.25">
      <c r="A2088" s="1" t="s">
        <v>2150</v>
      </c>
      <c r="B2088">
        <v>29</v>
      </c>
      <c r="C2088">
        <v>100</v>
      </c>
    </row>
    <row r="2089" spans="1:3" x14ac:dyDescent="0.25">
      <c r="A2089" s="1" t="s">
        <v>2151</v>
      </c>
      <c r="B2089">
        <v>467</v>
      </c>
    </row>
    <row r="2090" spans="1:3" x14ac:dyDescent="0.25">
      <c r="A2090" s="1" t="s">
        <v>2152</v>
      </c>
      <c r="B2090">
        <v>300</v>
      </c>
    </row>
    <row r="2091" spans="1:3" x14ac:dyDescent="0.25">
      <c r="A2091" s="1" t="s">
        <v>2153</v>
      </c>
      <c r="B2091">
        <v>62</v>
      </c>
    </row>
    <row r="2092" spans="1:3" x14ac:dyDescent="0.25">
      <c r="A2092" s="1" t="s">
        <v>2153</v>
      </c>
      <c r="B2092">
        <v>62</v>
      </c>
    </row>
    <row r="2093" spans="1:3" x14ac:dyDescent="0.25">
      <c r="A2093" s="1" t="s">
        <v>2154</v>
      </c>
      <c r="B2093">
        <v>202</v>
      </c>
      <c r="C2093">
        <v>85</v>
      </c>
    </row>
    <row r="2094" spans="1:3" x14ac:dyDescent="0.25">
      <c r="A2094" s="1" t="s">
        <v>2155</v>
      </c>
      <c r="B2094">
        <v>60</v>
      </c>
      <c r="C2094">
        <v>75</v>
      </c>
    </row>
    <row r="2095" spans="1:3" x14ac:dyDescent="0.25">
      <c r="A2095" s="1" t="s">
        <v>2156</v>
      </c>
      <c r="B2095">
        <v>277</v>
      </c>
    </row>
    <row r="2096" spans="1:3" x14ac:dyDescent="0.25">
      <c r="A2096" s="1" t="s">
        <v>2157</v>
      </c>
      <c r="B2096">
        <v>51</v>
      </c>
      <c r="C2096">
        <v>30</v>
      </c>
    </row>
    <row r="2097" spans="1:3" x14ac:dyDescent="0.25">
      <c r="A2097" s="1" t="s">
        <v>2158</v>
      </c>
      <c r="B2097">
        <v>85</v>
      </c>
      <c r="C2097">
        <v>80</v>
      </c>
    </row>
    <row r="2098" spans="1:3" x14ac:dyDescent="0.25">
      <c r="A2098" s="1" t="s">
        <v>2158</v>
      </c>
      <c r="B2098">
        <v>85</v>
      </c>
      <c r="C2098">
        <v>350</v>
      </c>
    </row>
    <row r="2099" spans="1:3" x14ac:dyDescent="0.25">
      <c r="A2099" s="1" t="s">
        <v>2159</v>
      </c>
      <c r="B2099">
        <v>583</v>
      </c>
      <c r="C2099">
        <v>87</v>
      </c>
    </row>
    <row r="2100" spans="1:3" x14ac:dyDescent="0.25">
      <c r="A2100" s="1" t="s">
        <v>2160</v>
      </c>
      <c r="B2100">
        <v>20</v>
      </c>
    </row>
    <row r="2101" spans="1:3" x14ac:dyDescent="0.25">
      <c r="A2101" s="1" t="s">
        <v>2160</v>
      </c>
      <c r="B2101">
        <v>20</v>
      </c>
      <c r="C2101">
        <v>200</v>
      </c>
    </row>
    <row r="2102" spans="1:3" x14ac:dyDescent="0.25">
      <c r="A2102" s="1" t="s">
        <v>2161</v>
      </c>
      <c r="B2102">
        <v>107</v>
      </c>
    </row>
    <row r="2103" spans="1:3" x14ac:dyDescent="0.25">
      <c r="A2103" s="1" t="s">
        <v>2162</v>
      </c>
      <c r="B2103">
        <v>25</v>
      </c>
    </row>
    <row r="2104" spans="1:3" x14ac:dyDescent="0.25">
      <c r="A2104" s="1" t="s">
        <v>2163</v>
      </c>
      <c r="B2104">
        <v>91</v>
      </c>
      <c r="C2104">
        <v>17</v>
      </c>
    </row>
    <row r="2105" spans="1:3" x14ac:dyDescent="0.25">
      <c r="A2105" s="1" t="s">
        <v>2164</v>
      </c>
      <c r="B2105">
        <v>25</v>
      </c>
    </row>
    <row r="2106" spans="1:3" x14ac:dyDescent="0.25">
      <c r="A2106" s="1" t="s">
        <v>2165</v>
      </c>
      <c r="B2106">
        <v>130</v>
      </c>
    </row>
    <row r="2107" spans="1:3" x14ac:dyDescent="0.25">
      <c r="A2107" s="1" t="s">
        <v>2166</v>
      </c>
      <c r="B2107">
        <v>217</v>
      </c>
    </row>
    <row r="2108" spans="1:3" x14ac:dyDescent="0.25">
      <c r="A2108" s="1" t="s">
        <v>2167</v>
      </c>
      <c r="B2108">
        <v>151</v>
      </c>
      <c r="C2108">
        <v>64</v>
      </c>
    </row>
    <row r="2109" spans="1:3" x14ac:dyDescent="0.25">
      <c r="A2109" s="1" t="s">
        <v>2167</v>
      </c>
      <c r="B2109">
        <v>79</v>
      </c>
      <c r="C2109">
        <v>73</v>
      </c>
    </row>
    <row r="2110" spans="1:3" x14ac:dyDescent="0.25">
      <c r="A2110" s="1" t="s">
        <v>2167</v>
      </c>
      <c r="B2110">
        <v>79</v>
      </c>
      <c r="C2110">
        <v>80</v>
      </c>
    </row>
    <row r="2111" spans="1:3" x14ac:dyDescent="0.25">
      <c r="A2111" s="1" t="s">
        <v>2168</v>
      </c>
      <c r="B2111">
        <v>892</v>
      </c>
    </row>
    <row r="2112" spans="1:3" x14ac:dyDescent="0.25">
      <c r="A2112" s="1" t="s">
        <v>2169</v>
      </c>
      <c r="B2112">
        <v>389</v>
      </c>
    </row>
    <row r="2113" spans="1:3" x14ac:dyDescent="0.25">
      <c r="A2113" s="1" t="s">
        <v>2170</v>
      </c>
      <c r="B2113">
        <v>307</v>
      </c>
      <c r="C2113">
        <v>44</v>
      </c>
    </row>
    <row r="2114" spans="1:3" x14ac:dyDescent="0.25">
      <c r="A2114" s="1" t="s">
        <v>2170</v>
      </c>
      <c r="B2114">
        <v>307</v>
      </c>
      <c r="C2114">
        <v>100</v>
      </c>
    </row>
    <row r="2115" spans="1:3" x14ac:dyDescent="0.25">
      <c r="A2115" s="1" t="s">
        <v>2171</v>
      </c>
      <c r="B2115">
        <v>97</v>
      </c>
      <c r="C2115">
        <v>300</v>
      </c>
    </row>
    <row r="2116" spans="1:3" x14ac:dyDescent="0.25">
      <c r="A2116" s="1" t="s">
        <v>2171</v>
      </c>
      <c r="B2116">
        <v>97</v>
      </c>
      <c r="C2116">
        <v>2000</v>
      </c>
    </row>
    <row r="2117" spans="1:3" x14ac:dyDescent="0.25">
      <c r="A2117" s="1" t="s">
        <v>2172</v>
      </c>
      <c r="B2117">
        <v>120</v>
      </c>
    </row>
    <row r="2118" spans="1:3" x14ac:dyDescent="0.25">
      <c r="A2118" s="1" t="s">
        <v>2173</v>
      </c>
      <c r="B2118">
        <v>107</v>
      </c>
      <c r="C2118">
        <v>100</v>
      </c>
    </row>
    <row r="2119" spans="1:3" x14ac:dyDescent="0.25">
      <c r="A2119" s="1" t="s">
        <v>2174</v>
      </c>
      <c r="B2119">
        <v>219</v>
      </c>
      <c r="C2119">
        <v>400</v>
      </c>
    </row>
    <row r="2120" spans="1:3" x14ac:dyDescent="0.25">
      <c r="A2120" s="1" t="s">
        <v>2175</v>
      </c>
      <c r="B2120">
        <v>2100</v>
      </c>
    </row>
    <row r="2121" spans="1:3" x14ac:dyDescent="0.25">
      <c r="A2121" s="1" t="s">
        <v>2176</v>
      </c>
      <c r="B2121">
        <v>140</v>
      </c>
    </row>
    <row r="2122" spans="1:3" x14ac:dyDescent="0.25">
      <c r="A2122" s="1" t="s">
        <v>2177</v>
      </c>
      <c r="B2122">
        <v>914</v>
      </c>
      <c r="C2122">
        <v>100</v>
      </c>
    </row>
    <row r="2123" spans="1:3" x14ac:dyDescent="0.25">
      <c r="A2123" s="1" t="s">
        <v>2177</v>
      </c>
      <c r="B2123">
        <v>914</v>
      </c>
      <c r="C2123">
        <v>520</v>
      </c>
    </row>
    <row r="2124" spans="1:3" x14ac:dyDescent="0.25">
      <c r="A2124" s="1" t="s">
        <v>2177</v>
      </c>
      <c r="B2124">
        <v>914</v>
      </c>
    </row>
    <row r="2125" spans="1:3" x14ac:dyDescent="0.25">
      <c r="A2125" s="1" t="s">
        <v>2178</v>
      </c>
      <c r="B2125">
        <v>276</v>
      </c>
      <c r="C2125">
        <v>1300</v>
      </c>
    </row>
    <row r="2126" spans="1:3" x14ac:dyDescent="0.25">
      <c r="A2126" s="1" t="s">
        <v>2179</v>
      </c>
      <c r="B2126">
        <v>105</v>
      </c>
    </row>
    <row r="2127" spans="1:3" x14ac:dyDescent="0.25">
      <c r="A2127" s="1" t="s">
        <v>2180</v>
      </c>
      <c r="B2127">
        <v>25</v>
      </c>
      <c r="C2127">
        <v>50</v>
      </c>
    </row>
    <row r="2128" spans="1:3" x14ac:dyDescent="0.25">
      <c r="A2128" s="1" t="s">
        <v>2181</v>
      </c>
      <c r="B2128">
        <v>955</v>
      </c>
      <c r="C2128">
        <v>100</v>
      </c>
    </row>
    <row r="2129" spans="1:3" x14ac:dyDescent="0.25">
      <c r="A2129" s="1" t="s">
        <v>2181</v>
      </c>
      <c r="B2129">
        <v>955</v>
      </c>
      <c r="C2129">
        <v>120</v>
      </c>
    </row>
    <row r="2130" spans="1:3" x14ac:dyDescent="0.25">
      <c r="A2130" s="1" t="s">
        <v>2182</v>
      </c>
      <c r="B2130">
        <v>148</v>
      </c>
      <c r="C2130">
        <v>177</v>
      </c>
    </row>
    <row r="2131" spans="1:3" x14ac:dyDescent="0.25">
      <c r="A2131" s="1" t="s">
        <v>2183</v>
      </c>
      <c r="B2131">
        <v>194</v>
      </c>
    </row>
    <row r="2132" spans="1:3" x14ac:dyDescent="0.25">
      <c r="A2132" s="1" t="s">
        <v>2184</v>
      </c>
      <c r="B2132">
        <v>71</v>
      </c>
      <c r="C2132">
        <v>28</v>
      </c>
    </row>
    <row r="2133" spans="1:3" x14ac:dyDescent="0.25">
      <c r="A2133" s="1" t="s">
        <v>2185</v>
      </c>
      <c r="B2133">
        <v>423</v>
      </c>
      <c r="C2133">
        <v>200</v>
      </c>
    </row>
    <row r="2134" spans="1:3" x14ac:dyDescent="0.25">
      <c r="A2134" s="1" t="s">
        <v>2186</v>
      </c>
      <c r="B2134">
        <v>178</v>
      </c>
      <c r="C2134">
        <v>45</v>
      </c>
    </row>
    <row r="2135" spans="1:3" x14ac:dyDescent="0.25">
      <c r="A2135" s="1" t="s">
        <v>2187</v>
      </c>
      <c r="B2135">
        <v>647</v>
      </c>
    </row>
    <row r="2136" spans="1:3" x14ac:dyDescent="0.25">
      <c r="A2136" s="1" t="s">
        <v>2188</v>
      </c>
      <c r="B2136">
        <v>164</v>
      </c>
    </row>
    <row r="2137" spans="1:3" x14ac:dyDescent="0.25">
      <c r="A2137" s="1" t="s">
        <v>2188</v>
      </c>
      <c r="B2137">
        <v>619</v>
      </c>
      <c r="C2137">
        <v>150</v>
      </c>
    </row>
    <row r="2138" spans="1:3" x14ac:dyDescent="0.25">
      <c r="A2138" s="1" t="s">
        <v>2189</v>
      </c>
      <c r="B2138">
        <v>974</v>
      </c>
      <c r="C2138">
        <v>80</v>
      </c>
    </row>
    <row r="2139" spans="1:3" x14ac:dyDescent="0.25">
      <c r="A2139" s="1" t="s">
        <v>2189</v>
      </c>
      <c r="B2139">
        <v>974</v>
      </c>
      <c r="C2139">
        <v>80</v>
      </c>
    </row>
    <row r="2140" spans="1:3" x14ac:dyDescent="0.25">
      <c r="A2140" s="1" t="s">
        <v>2189</v>
      </c>
      <c r="B2140">
        <v>974</v>
      </c>
      <c r="C2140">
        <v>120</v>
      </c>
    </row>
    <row r="2141" spans="1:3" x14ac:dyDescent="0.25">
      <c r="A2141" s="1" t="s">
        <v>2189</v>
      </c>
      <c r="B2141">
        <v>574</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6D51-E906-4149-9E52-B242B2113D90}">
  <dimension ref="A1:B13"/>
  <sheetViews>
    <sheetView workbookViewId="0">
      <selection activeCell="H16" sqref="H16"/>
    </sheetView>
  </sheetViews>
  <sheetFormatPr defaultRowHeight="15" x14ac:dyDescent="0.25"/>
  <cols>
    <col min="1" max="1" width="13.42578125" bestFit="1" customWidth="1"/>
    <col min="2" max="2" width="19.7109375" bestFit="1" customWidth="1"/>
  </cols>
  <sheetData>
    <row r="1" spans="1:2" x14ac:dyDescent="0.25">
      <c r="A1" t="s">
        <v>2205</v>
      </c>
    </row>
    <row r="2" spans="1:2" x14ac:dyDescent="0.25">
      <c r="A2" s="3" t="s">
        <v>2192</v>
      </c>
      <c r="B2" t="s">
        <v>2191</v>
      </c>
    </row>
    <row r="3" spans="1:2" x14ac:dyDescent="0.25">
      <c r="A3" s="4" t="s">
        <v>2221</v>
      </c>
      <c r="B3" s="1">
        <v>84714</v>
      </c>
    </row>
    <row r="4" spans="1:2" x14ac:dyDescent="0.25">
      <c r="A4" s="4" t="s">
        <v>2220</v>
      </c>
      <c r="B4" s="1">
        <v>53451</v>
      </c>
    </row>
    <row r="5" spans="1:2" x14ac:dyDescent="0.25">
      <c r="A5" s="4" t="s">
        <v>2222</v>
      </c>
      <c r="B5" s="1">
        <v>36493</v>
      </c>
    </row>
    <row r="6" spans="1:2" x14ac:dyDescent="0.25">
      <c r="A6" s="4" t="s">
        <v>2213</v>
      </c>
      <c r="B6" s="1">
        <v>26710</v>
      </c>
    </row>
    <row r="7" spans="1:2" x14ac:dyDescent="0.25">
      <c r="A7" s="4" t="s">
        <v>2214</v>
      </c>
      <c r="B7" s="1">
        <v>25804</v>
      </c>
    </row>
    <row r="8" spans="1:2" x14ac:dyDescent="0.25">
      <c r="A8" s="4" t="s">
        <v>2219</v>
      </c>
      <c r="B8" s="1">
        <v>17406</v>
      </c>
    </row>
    <row r="9" spans="1:2" x14ac:dyDescent="0.25">
      <c r="A9" s="4" t="s">
        <v>2216</v>
      </c>
      <c r="B9" s="1">
        <v>17394</v>
      </c>
    </row>
    <row r="10" spans="1:2" x14ac:dyDescent="0.25">
      <c r="A10" s="4" t="s">
        <v>2217</v>
      </c>
      <c r="B10" s="1">
        <v>16223</v>
      </c>
    </row>
    <row r="11" spans="1:2" x14ac:dyDescent="0.25">
      <c r="A11" s="4" t="s">
        <v>2218</v>
      </c>
      <c r="B11" s="1">
        <v>13055</v>
      </c>
    </row>
    <row r="12" spans="1:2" x14ac:dyDescent="0.25">
      <c r="A12" s="4" t="s">
        <v>2215</v>
      </c>
      <c r="B12" s="1">
        <v>12885</v>
      </c>
    </row>
    <row r="13" spans="1:2" x14ac:dyDescent="0.25">
      <c r="A13" s="4" t="s">
        <v>2193</v>
      </c>
      <c r="B13" s="1">
        <v>304135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C8BE0-B5CA-4D43-9410-F3BCA45FC433}">
  <dimension ref="A1:C235"/>
  <sheetViews>
    <sheetView workbookViewId="0">
      <selection activeCell="G120" sqref="G120"/>
    </sheetView>
  </sheetViews>
  <sheetFormatPr defaultRowHeight="15" x14ac:dyDescent="0.25"/>
  <cols>
    <col min="1" max="1" width="21.85546875" bestFit="1" customWidth="1"/>
    <col min="2" max="2" width="19.7109375" bestFit="1" customWidth="1"/>
    <col min="3" max="3" width="26" bestFit="1" customWidth="1"/>
    <col min="4" max="4" width="10" bestFit="1" customWidth="1"/>
    <col min="5" max="5" width="6.28515625" bestFit="1" customWidth="1"/>
    <col min="6" max="6" width="7.28515625" bestFit="1" customWidth="1"/>
    <col min="7" max="7" width="8.85546875" bestFit="1" customWidth="1"/>
    <col min="8" max="8" width="8.5703125" bestFit="1" customWidth="1"/>
    <col min="9" max="9" width="12.42578125" bestFit="1" customWidth="1"/>
    <col min="10" max="10" width="6.5703125" bestFit="1" customWidth="1"/>
    <col min="11" max="11" width="7.5703125" bestFit="1" customWidth="1"/>
    <col min="12" max="12" width="6.28515625" bestFit="1" customWidth="1"/>
    <col min="13" max="13" width="11.5703125" bestFit="1" customWidth="1"/>
    <col min="14" max="14" width="13.140625" bestFit="1" customWidth="1"/>
    <col min="15" max="15" width="9.85546875" bestFit="1" customWidth="1"/>
    <col min="16" max="16" width="6.28515625" bestFit="1" customWidth="1"/>
    <col min="17" max="17" width="16.28515625" bestFit="1" customWidth="1"/>
    <col min="18" max="19" width="7.140625" bestFit="1" customWidth="1"/>
    <col min="20" max="20" width="7.7109375" bestFit="1" customWidth="1"/>
    <col min="21" max="21" width="11.7109375" bestFit="1" customWidth="1"/>
    <col min="22" max="22" width="10.7109375" bestFit="1" customWidth="1"/>
    <col min="23" max="23" width="6.42578125" bestFit="1" customWidth="1"/>
    <col min="24" max="24" width="8.140625" bestFit="1" customWidth="1"/>
    <col min="25" max="25" width="7.5703125" bestFit="1" customWidth="1"/>
    <col min="26" max="26" width="9.42578125" bestFit="1" customWidth="1"/>
    <col min="27" max="27" width="13.7109375" bestFit="1" customWidth="1"/>
    <col min="28" max="28" width="6.28515625" bestFit="1" customWidth="1"/>
    <col min="29" max="29" width="10.28515625" bestFit="1" customWidth="1"/>
    <col min="30" max="30" width="8.5703125" bestFit="1" customWidth="1"/>
    <col min="31" max="31" width="13.28515625" bestFit="1" customWidth="1"/>
    <col min="32" max="32" width="9.7109375" bestFit="1" customWidth="1"/>
    <col min="33" max="33" width="7.42578125" bestFit="1" customWidth="1"/>
    <col min="34" max="34" width="8.85546875" bestFit="1" customWidth="1"/>
    <col min="35" max="35" width="11.140625" bestFit="1" customWidth="1"/>
    <col min="36" max="36" width="10" bestFit="1" customWidth="1"/>
    <col min="37" max="37" width="8.7109375" bestFit="1" customWidth="1"/>
    <col min="38" max="38" width="7.5703125" bestFit="1" customWidth="1"/>
    <col min="39" max="39" width="7.85546875" bestFit="1" customWidth="1"/>
    <col min="40" max="40" width="8" bestFit="1" customWidth="1"/>
    <col min="41" max="41" width="26" bestFit="1" customWidth="1"/>
    <col min="42" max="42" width="5.5703125" bestFit="1" customWidth="1"/>
    <col min="43" max="43" width="10" bestFit="1" customWidth="1"/>
    <col min="44" max="44" width="6.28515625" bestFit="1" customWidth="1"/>
    <col min="45" max="45" width="7.28515625" bestFit="1" customWidth="1"/>
    <col min="46" max="46" width="8.85546875" bestFit="1" customWidth="1"/>
    <col min="47" max="47" width="8.5703125" bestFit="1" customWidth="1"/>
    <col min="48" max="48" width="12.42578125" bestFit="1" customWidth="1"/>
    <col min="49" max="49" width="6.5703125" bestFit="1" customWidth="1"/>
    <col min="50" max="50" width="7.5703125" bestFit="1" customWidth="1"/>
    <col min="51" max="51" width="6.28515625" bestFit="1" customWidth="1"/>
    <col min="52" max="52" width="11.5703125" bestFit="1" customWidth="1"/>
    <col min="53" max="53" width="13.140625" bestFit="1" customWidth="1"/>
    <col min="54" max="54" width="9.85546875" bestFit="1" customWidth="1"/>
    <col min="55" max="55" width="6.28515625" bestFit="1" customWidth="1"/>
    <col min="56" max="56" width="16.28515625" bestFit="1" customWidth="1"/>
    <col min="57" max="58" width="7.140625" bestFit="1" customWidth="1"/>
    <col min="59" max="59" width="7.7109375" bestFit="1" customWidth="1"/>
    <col min="60" max="60" width="11.7109375" bestFit="1" customWidth="1"/>
    <col min="61" max="61" width="10.7109375" bestFit="1" customWidth="1"/>
    <col min="62" max="62" width="6.42578125" bestFit="1" customWidth="1"/>
    <col min="63" max="63" width="8.140625" bestFit="1" customWidth="1"/>
    <col min="64" max="64" width="7.5703125" bestFit="1" customWidth="1"/>
    <col min="65" max="65" width="9.42578125" bestFit="1" customWidth="1"/>
    <col min="66" max="66" width="13.7109375" bestFit="1" customWidth="1"/>
    <col min="67" max="67" width="6.28515625" bestFit="1" customWidth="1"/>
    <col min="68" max="68" width="10.28515625" bestFit="1" customWidth="1"/>
    <col min="69" max="69" width="8.5703125" bestFit="1" customWidth="1"/>
    <col min="70" max="70" width="13.28515625" bestFit="1" customWidth="1"/>
    <col min="71" max="71" width="9.7109375" bestFit="1" customWidth="1"/>
    <col min="72" max="72" width="7.42578125" bestFit="1" customWidth="1"/>
    <col min="73" max="73" width="8.85546875" bestFit="1" customWidth="1"/>
    <col min="74" max="74" width="11.140625" bestFit="1" customWidth="1"/>
    <col min="75" max="75" width="10" bestFit="1" customWidth="1"/>
    <col min="76" max="76" width="8.7109375" bestFit="1" customWidth="1"/>
    <col min="77" max="77" width="7.5703125" bestFit="1" customWidth="1"/>
    <col min="78" max="78" width="7.85546875" bestFit="1" customWidth="1"/>
    <col min="79" max="79" width="8" bestFit="1" customWidth="1"/>
    <col min="80" max="80" width="24.7109375" bestFit="1" customWidth="1"/>
    <col min="81" max="81" width="31" bestFit="1" customWidth="1"/>
    <col min="82" max="83" width="5" bestFit="1" customWidth="1"/>
    <col min="84" max="84" width="6" bestFit="1" customWidth="1"/>
    <col min="85" max="90" width="5" bestFit="1" customWidth="1"/>
    <col min="91" max="91" width="6" bestFit="1" customWidth="1"/>
    <col min="92" max="92" width="5" bestFit="1" customWidth="1"/>
    <col min="93" max="93" width="6" bestFit="1" customWidth="1"/>
    <col min="94" max="100" width="5" bestFit="1" customWidth="1"/>
    <col min="101" max="101" width="4" bestFit="1" customWidth="1"/>
    <col min="102" max="113" width="5" bestFit="1" customWidth="1"/>
    <col min="114" max="114" width="6" bestFit="1" customWidth="1"/>
    <col min="115" max="134" width="5" bestFit="1" customWidth="1"/>
    <col min="135" max="135" width="4" bestFit="1" customWidth="1"/>
    <col min="136" max="137" width="5" bestFit="1" customWidth="1"/>
    <col min="138" max="138" width="4" bestFit="1" customWidth="1"/>
    <col min="139" max="140" width="5" bestFit="1" customWidth="1"/>
    <col min="141" max="141" width="4" bestFit="1" customWidth="1"/>
    <col min="142" max="143" width="5" bestFit="1" customWidth="1"/>
    <col min="144" max="144" width="4" bestFit="1" customWidth="1"/>
    <col min="145" max="147" width="5" bestFit="1" customWidth="1"/>
    <col min="148" max="148" width="4" bestFit="1" customWidth="1"/>
    <col min="149" max="149" width="7.28515625" bestFit="1" customWidth="1"/>
    <col min="150" max="150" width="24.7109375" bestFit="1" customWidth="1"/>
    <col min="151" max="151" width="31" bestFit="1" customWidth="1"/>
    <col min="152" max="152" width="10" bestFit="1" customWidth="1"/>
    <col min="153" max="153" width="15.42578125" bestFit="1" customWidth="1"/>
    <col min="154" max="154" width="13.28515625" bestFit="1" customWidth="1"/>
    <col min="155" max="155" width="8.5703125" bestFit="1" customWidth="1"/>
    <col min="156" max="156" width="8.7109375" bestFit="1" customWidth="1"/>
    <col min="157" max="157" width="9.7109375" bestFit="1" customWidth="1"/>
    <col min="158" max="158" width="10.28515625" bestFit="1" customWidth="1"/>
    <col min="159" max="159" width="7.42578125" bestFit="1" customWidth="1"/>
    <col min="160" max="160" width="8.85546875" bestFit="1" customWidth="1"/>
    <col min="161" max="161" width="6.140625" bestFit="1" customWidth="1"/>
    <col min="162" max="162" width="11.140625" bestFit="1" customWidth="1"/>
    <col min="163" max="163" width="9.140625" bestFit="1" customWidth="1"/>
    <col min="164" max="164" width="8.7109375" bestFit="1" customWidth="1"/>
    <col min="165" max="165" width="10" bestFit="1" customWidth="1"/>
    <col min="166" max="166" width="5.5703125" bestFit="1" customWidth="1"/>
    <col min="167" max="168" width="8.7109375" bestFit="1" customWidth="1"/>
    <col min="169" max="169" width="9.28515625" bestFit="1" customWidth="1"/>
    <col min="170" max="170" width="10.5703125" bestFit="1" customWidth="1"/>
    <col min="171" max="171" width="7.5703125" bestFit="1" customWidth="1"/>
    <col min="172" max="172" width="7" bestFit="1" customWidth="1"/>
    <col min="173" max="173" width="10.42578125" bestFit="1" customWidth="1"/>
    <col min="174" max="174" width="7.85546875" bestFit="1" customWidth="1"/>
    <col min="175" max="175" width="10.42578125" bestFit="1" customWidth="1"/>
    <col min="176" max="176" width="6.28515625" bestFit="1" customWidth="1"/>
    <col min="177" max="177" width="8" bestFit="1" customWidth="1"/>
    <col min="178" max="178" width="9.28515625" bestFit="1" customWidth="1"/>
    <col min="179" max="179" width="10.7109375" bestFit="1" customWidth="1"/>
    <col min="180" max="180" width="10.42578125" bestFit="1" customWidth="1"/>
    <col min="181" max="181" width="7.85546875" bestFit="1" customWidth="1"/>
    <col min="182" max="183" width="7.140625" bestFit="1" customWidth="1"/>
    <col min="184" max="184" width="8.7109375" bestFit="1" customWidth="1"/>
    <col min="185" max="185" width="16.28515625" bestFit="1" customWidth="1"/>
    <col min="186" max="186" width="9.28515625" bestFit="1" customWidth="1"/>
    <col min="187" max="187" width="11.42578125" bestFit="1" customWidth="1"/>
    <col min="188" max="188" width="9.5703125" bestFit="1" customWidth="1"/>
    <col min="189" max="189" width="7.5703125" bestFit="1" customWidth="1"/>
    <col min="190" max="190" width="4.140625" bestFit="1" customWidth="1"/>
    <col min="191" max="191" width="6.5703125" bestFit="1" customWidth="1"/>
    <col min="192" max="192" width="11.28515625" bestFit="1" customWidth="1"/>
    <col min="193" max="1884" width="30.140625" bestFit="1" customWidth="1"/>
    <col min="1885" max="1885" width="11.28515625" bestFit="1" customWidth="1"/>
  </cols>
  <sheetData>
    <row r="1" spans="1:3" x14ac:dyDescent="0.25">
      <c r="A1" t="s">
        <v>2206</v>
      </c>
    </row>
    <row r="2" spans="1:3" x14ac:dyDescent="0.25">
      <c r="A2" s="3" t="s">
        <v>3</v>
      </c>
      <c r="B2" s="4">
        <v>1</v>
      </c>
    </row>
    <row r="4" spans="1:3" x14ac:dyDescent="0.25">
      <c r="A4" s="3" t="s">
        <v>2192</v>
      </c>
      <c r="B4" t="s">
        <v>2191</v>
      </c>
      <c r="C4" t="s">
        <v>2237</v>
      </c>
    </row>
    <row r="5" spans="1:3" x14ac:dyDescent="0.25">
      <c r="A5" s="4" t="s">
        <v>102</v>
      </c>
      <c r="B5" s="1">
        <v>44</v>
      </c>
      <c r="C5" s="1">
        <v>1</v>
      </c>
    </row>
    <row r="6" spans="1:3" x14ac:dyDescent="0.25">
      <c r="A6" s="5" t="s">
        <v>14</v>
      </c>
      <c r="B6" s="1">
        <v>44</v>
      </c>
      <c r="C6" s="1">
        <v>1</v>
      </c>
    </row>
    <row r="7" spans="1:3" x14ac:dyDescent="0.25">
      <c r="A7" s="4" t="s">
        <v>106</v>
      </c>
      <c r="B7" s="1"/>
      <c r="C7" s="1">
        <v>1</v>
      </c>
    </row>
    <row r="8" spans="1:3" x14ac:dyDescent="0.25">
      <c r="A8" s="5" t="s">
        <v>107</v>
      </c>
      <c r="B8" s="1"/>
      <c r="C8" s="1">
        <v>1</v>
      </c>
    </row>
    <row r="9" spans="1:3" x14ac:dyDescent="0.25">
      <c r="A9" s="4" t="s">
        <v>119</v>
      </c>
      <c r="B9" s="1"/>
      <c r="C9" s="1">
        <v>1</v>
      </c>
    </row>
    <row r="10" spans="1:3" x14ac:dyDescent="0.25">
      <c r="A10" s="5" t="s">
        <v>120</v>
      </c>
      <c r="B10" s="1"/>
      <c r="C10" s="1">
        <v>1</v>
      </c>
    </row>
    <row r="11" spans="1:3" x14ac:dyDescent="0.25">
      <c r="A11" s="4" t="s">
        <v>162</v>
      </c>
      <c r="B11" s="1">
        <v>17</v>
      </c>
      <c r="C11" s="1">
        <v>1</v>
      </c>
    </row>
    <row r="12" spans="1:3" x14ac:dyDescent="0.25">
      <c r="A12" s="5" t="s">
        <v>55</v>
      </c>
      <c r="B12" s="1">
        <v>17</v>
      </c>
      <c r="C12" s="1">
        <v>1</v>
      </c>
    </row>
    <row r="13" spans="1:3" x14ac:dyDescent="0.25">
      <c r="A13" s="4" t="s">
        <v>191</v>
      </c>
      <c r="B13" s="1"/>
      <c r="C13" s="1">
        <v>1</v>
      </c>
    </row>
    <row r="14" spans="1:3" x14ac:dyDescent="0.25">
      <c r="A14" s="5" t="s">
        <v>192</v>
      </c>
      <c r="B14" s="1"/>
      <c r="C14" s="1">
        <v>1</v>
      </c>
    </row>
    <row r="15" spans="1:3" x14ac:dyDescent="0.25">
      <c r="A15" s="4" t="s">
        <v>209</v>
      </c>
      <c r="B15" s="1"/>
      <c r="C15" s="1">
        <v>1</v>
      </c>
    </row>
    <row r="16" spans="1:3" x14ac:dyDescent="0.25">
      <c r="A16" s="5" t="s">
        <v>92</v>
      </c>
      <c r="B16" s="1"/>
      <c r="C16" s="1">
        <v>1</v>
      </c>
    </row>
    <row r="17" spans="1:3" x14ac:dyDescent="0.25">
      <c r="A17" s="4" t="s">
        <v>218</v>
      </c>
      <c r="B17" s="1">
        <v>6</v>
      </c>
      <c r="C17" s="1">
        <v>1</v>
      </c>
    </row>
    <row r="18" spans="1:3" x14ac:dyDescent="0.25">
      <c r="A18" s="5" t="s">
        <v>55</v>
      </c>
      <c r="B18" s="1">
        <v>6</v>
      </c>
      <c r="C18" s="1">
        <v>1</v>
      </c>
    </row>
    <row r="19" spans="1:3" x14ac:dyDescent="0.25">
      <c r="A19" s="4" t="s">
        <v>224</v>
      </c>
      <c r="B19" s="1"/>
      <c r="C19" s="1">
        <v>1</v>
      </c>
    </row>
    <row r="20" spans="1:3" x14ac:dyDescent="0.25">
      <c r="A20" s="5" t="s">
        <v>14</v>
      </c>
      <c r="B20" s="1"/>
      <c r="C20" s="1">
        <v>1</v>
      </c>
    </row>
    <row r="21" spans="1:3" x14ac:dyDescent="0.25">
      <c r="A21" s="4" t="s">
        <v>229</v>
      </c>
      <c r="B21" s="1"/>
      <c r="C21" s="1">
        <v>1</v>
      </c>
    </row>
    <row r="22" spans="1:3" x14ac:dyDescent="0.25">
      <c r="A22" s="5" t="s">
        <v>14</v>
      </c>
      <c r="B22" s="1"/>
      <c r="C22" s="1">
        <v>1</v>
      </c>
    </row>
    <row r="23" spans="1:3" x14ac:dyDescent="0.25">
      <c r="A23" s="4" t="s">
        <v>243</v>
      </c>
      <c r="B23" s="1"/>
      <c r="C23" s="1">
        <v>1</v>
      </c>
    </row>
    <row r="24" spans="1:3" x14ac:dyDescent="0.25">
      <c r="A24" s="5" t="s">
        <v>244</v>
      </c>
      <c r="B24" s="1"/>
      <c r="C24" s="1">
        <v>1</v>
      </c>
    </row>
    <row r="25" spans="1:3" x14ac:dyDescent="0.25">
      <c r="A25" s="4" t="s">
        <v>287</v>
      </c>
      <c r="B25" s="1">
        <v>65</v>
      </c>
      <c r="C25" s="1">
        <v>1</v>
      </c>
    </row>
    <row r="26" spans="1:3" x14ac:dyDescent="0.25">
      <c r="A26" s="5" t="s">
        <v>168</v>
      </c>
      <c r="B26" s="1">
        <v>65</v>
      </c>
      <c r="C26" s="1">
        <v>1</v>
      </c>
    </row>
    <row r="27" spans="1:3" x14ac:dyDescent="0.25">
      <c r="A27" s="4" t="s">
        <v>301</v>
      </c>
      <c r="B27" s="1"/>
      <c r="C27" s="1">
        <v>1</v>
      </c>
    </row>
    <row r="28" spans="1:3" x14ac:dyDescent="0.25">
      <c r="A28" s="5" t="s">
        <v>14</v>
      </c>
      <c r="B28" s="1"/>
      <c r="C28" s="1">
        <v>1</v>
      </c>
    </row>
    <row r="29" spans="1:3" x14ac:dyDescent="0.25">
      <c r="A29" s="4" t="s">
        <v>333</v>
      </c>
      <c r="B29" s="1"/>
      <c r="C29" s="1">
        <v>1</v>
      </c>
    </row>
    <row r="30" spans="1:3" x14ac:dyDescent="0.25">
      <c r="A30" s="5" t="s">
        <v>32</v>
      </c>
      <c r="B30" s="1"/>
      <c r="C30" s="1">
        <v>1</v>
      </c>
    </row>
    <row r="31" spans="1:3" x14ac:dyDescent="0.25">
      <c r="A31" s="4" t="s">
        <v>339</v>
      </c>
      <c r="B31" s="1">
        <v>137</v>
      </c>
      <c r="C31" s="1">
        <v>1</v>
      </c>
    </row>
    <row r="32" spans="1:3" x14ac:dyDescent="0.25">
      <c r="A32" s="5" t="s">
        <v>128</v>
      </c>
      <c r="B32" s="1">
        <v>137</v>
      </c>
      <c r="C32" s="1">
        <v>1</v>
      </c>
    </row>
    <row r="33" spans="1:3" x14ac:dyDescent="0.25">
      <c r="A33" s="4" t="s">
        <v>373</v>
      </c>
      <c r="B33" s="1">
        <v>154</v>
      </c>
      <c r="C33" s="1">
        <v>1</v>
      </c>
    </row>
    <row r="34" spans="1:3" x14ac:dyDescent="0.25">
      <c r="A34" s="5" t="s">
        <v>374</v>
      </c>
      <c r="B34" s="1">
        <v>154</v>
      </c>
      <c r="C34" s="1">
        <v>1</v>
      </c>
    </row>
    <row r="35" spans="1:3" x14ac:dyDescent="0.25">
      <c r="A35" s="4" t="s">
        <v>382</v>
      </c>
      <c r="B35" s="1">
        <v>206</v>
      </c>
      <c r="C35" s="1">
        <v>1</v>
      </c>
    </row>
    <row r="36" spans="1:3" x14ac:dyDescent="0.25">
      <c r="A36" s="5" t="s">
        <v>200</v>
      </c>
      <c r="B36" s="1">
        <v>206</v>
      </c>
      <c r="C36" s="1">
        <v>1</v>
      </c>
    </row>
    <row r="37" spans="1:3" x14ac:dyDescent="0.25">
      <c r="A37" s="4" t="s">
        <v>384</v>
      </c>
      <c r="B37" s="1"/>
      <c r="C37" s="1">
        <v>1</v>
      </c>
    </row>
    <row r="38" spans="1:3" x14ac:dyDescent="0.25">
      <c r="A38" s="5" t="s">
        <v>168</v>
      </c>
      <c r="B38" s="1"/>
      <c r="C38" s="1">
        <v>1</v>
      </c>
    </row>
    <row r="39" spans="1:3" x14ac:dyDescent="0.25">
      <c r="A39" s="4" t="s">
        <v>397</v>
      </c>
      <c r="B39" s="1">
        <v>1000</v>
      </c>
      <c r="C39" s="1">
        <v>1</v>
      </c>
    </row>
    <row r="40" spans="1:3" x14ac:dyDescent="0.25">
      <c r="A40" s="5" t="s">
        <v>32</v>
      </c>
      <c r="B40" s="1">
        <v>1000</v>
      </c>
      <c r="C40" s="1">
        <v>1</v>
      </c>
    </row>
    <row r="41" spans="1:3" x14ac:dyDescent="0.25">
      <c r="A41" s="4" t="s">
        <v>402</v>
      </c>
      <c r="B41" s="1">
        <v>87</v>
      </c>
      <c r="C41" s="1">
        <v>1</v>
      </c>
    </row>
    <row r="42" spans="1:3" x14ac:dyDescent="0.25">
      <c r="A42" s="5" t="s">
        <v>14</v>
      </c>
      <c r="B42" s="1">
        <v>87</v>
      </c>
      <c r="C42" s="1">
        <v>1</v>
      </c>
    </row>
    <row r="43" spans="1:3" x14ac:dyDescent="0.25">
      <c r="A43" s="4" t="s">
        <v>559</v>
      </c>
      <c r="B43" s="1"/>
      <c r="C43" s="1">
        <v>1</v>
      </c>
    </row>
    <row r="44" spans="1:3" x14ac:dyDescent="0.25">
      <c r="A44" s="5" t="s">
        <v>32</v>
      </c>
      <c r="B44" s="1"/>
      <c r="C44" s="1">
        <v>1</v>
      </c>
    </row>
    <row r="45" spans="1:3" x14ac:dyDescent="0.25">
      <c r="A45" s="4" t="s">
        <v>567</v>
      </c>
      <c r="B45" s="1">
        <v>13</v>
      </c>
      <c r="C45" s="1">
        <v>1</v>
      </c>
    </row>
    <row r="46" spans="1:3" x14ac:dyDescent="0.25">
      <c r="A46" s="5" t="s">
        <v>14</v>
      </c>
      <c r="B46" s="1">
        <v>13</v>
      </c>
      <c r="C46" s="1">
        <v>1</v>
      </c>
    </row>
    <row r="47" spans="1:3" x14ac:dyDescent="0.25">
      <c r="A47" s="4" t="s">
        <v>588</v>
      </c>
      <c r="B47" s="1">
        <v>170</v>
      </c>
      <c r="C47" s="1">
        <v>1</v>
      </c>
    </row>
    <row r="48" spans="1:3" x14ac:dyDescent="0.25">
      <c r="A48" s="5" t="s">
        <v>293</v>
      </c>
      <c r="B48" s="1">
        <v>170</v>
      </c>
      <c r="C48" s="1">
        <v>1</v>
      </c>
    </row>
    <row r="49" spans="1:3" x14ac:dyDescent="0.25">
      <c r="A49" s="4" t="s">
        <v>626</v>
      </c>
      <c r="B49" s="1">
        <v>6</v>
      </c>
      <c r="C49" s="1">
        <v>1</v>
      </c>
    </row>
    <row r="50" spans="1:3" x14ac:dyDescent="0.25">
      <c r="A50" s="5" t="s">
        <v>14</v>
      </c>
      <c r="B50" s="1">
        <v>6</v>
      </c>
      <c r="C50" s="1">
        <v>1</v>
      </c>
    </row>
    <row r="51" spans="1:3" x14ac:dyDescent="0.25">
      <c r="A51" s="4" t="s">
        <v>643</v>
      </c>
      <c r="B51" s="1">
        <v>669</v>
      </c>
      <c r="C51" s="1">
        <v>1</v>
      </c>
    </row>
    <row r="52" spans="1:3" x14ac:dyDescent="0.25">
      <c r="A52" s="5" t="s">
        <v>14</v>
      </c>
      <c r="B52" s="1">
        <v>669</v>
      </c>
      <c r="C52" s="1">
        <v>1</v>
      </c>
    </row>
    <row r="53" spans="1:3" x14ac:dyDescent="0.25">
      <c r="A53" s="4" t="s">
        <v>645</v>
      </c>
      <c r="B53" s="1">
        <v>120</v>
      </c>
      <c r="C53" s="1">
        <v>1</v>
      </c>
    </row>
    <row r="54" spans="1:3" x14ac:dyDescent="0.25">
      <c r="A54" s="5" t="s">
        <v>259</v>
      </c>
      <c r="B54" s="1">
        <v>120</v>
      </c>
      <c r="C54" s="1">
        <v>1</v>
      </c>
    </row>
    <row r="55" spans="1:3" x14ac:dyDescent="0.25">
      <c r="A55" s="4" t="s">
        <v>659</v>
      </c>
      <c r="B55" s="1"/>
      <c r="C55" s="1">
        <v>1</v>
      </c>
    </row>
    <row r="56" spans="1:3" x14ac:dyDescent="0.25">
      <c r="A56" s="5" t="s">
        <v>192</v>
      </c>
      <c r="B56" s="1"/>
      <c r="C56" s="1">
        <v>1</v>
      </c>
    </row>
    <row r="57" spans="1:3" x14ac:dyDescent="0.25">
      <c r="A57" s="4" t="s">
        <v>679</v>
      </c>
      <c r="B57" s="1">
        <v>10</v>
      </c>
      <c r="C57" s="1">
        <v>1</v>
      </c>
    </row>
    <row r="58" spans="1:3" x14ac:dyDescent="0.25">
      <c r="A58" s="5" t="s">
        <v>200</v>
      </c>
      <c r="B58" s="1">
        <v>10</v>
      </c>
      <c r="C58" s="1">
        <v>1</v>
      </c>
    </row>
    <row r="59" spans="1:3" x14ac:dyDescent="0.25">
      <c r="A59" s="4" t="s">
        <v>696</v>
      </c>
      <c r="B59" s="1"/>
      <c r="C59" s="1">
        <v>1</v>
      </c>
    </row>
    <row r="60" spans="1:3" x14ac:dyDescent="0.25">
      <c r="A60" s="5" t="s">
        <v>293</v>
      </c>
      <c r="B60" s="1"/>
      <c r="C60" s="1">
        <v>1</v>
      </c>
    </row>
    <row r="61" spans="1:3" x14ac:dyDescent="0.25">
      <c r="A61" s="4" t="s">
        <v>699</v>
      </c>
      <c r="B61" s="1"/>
      <c r="C61" s="1">
        <v>1</v>
      </c>
    </row>
    <row r="62" spans="1:3" x14ac:dyDescent="0.25">
      <c r="A62" s="5" t="s">
        <v>374</v>
      </c>
      <c r="B62" s="1"/>
      <c r="C62" s="1">
        <v>1</v>
      </c>
    </row>
    <row r="63" spans="1:3" x14ac:dyDescent="0.25">
      <c r="A63" s="4" t="s">
        <v>702</v>
      </c>
      <c r="B63" s="1">
        <v>20</v>
      </c>
      <c r="C63" s="1">
        <v>1</v>
      </c>
    </row>
    <row r="64" spans="1:3" x14ac:dyDescent="0.25">
      <c r="A64" s="5" t="s">
        <v>101</v>
      </c>
      <c r="B64" s="1">
        <v>20</v>
      </c>
      <c r="C64" s="1">
        <v>1</v>
      </c>
    </row>
    <row r="65" spans="1:3" x14ac:dyDescent="0.25">
      <c r="A65" s="4" t="s">
        <v>711</v>
      </c>
      <c r="B65" s="1"/>
      <c r="C65" s="1">
        <v>1</v>
      </c>
    </row>
    <row r="66" spans="1:3" x14ac:dyDescent="0.25">
      <c r="A66" s="5" t="s">
        <v>14</v>
      </c>
      <c r="B66" s="1"/>
      <c r="C66" s="1">
        <v>1</v>
      </c>
    </row>
    <row r="67" spans="1:3" x14ac:dyDescent="0.25">
      <c r="A67" s="4" t="s">
        <v>714</v>
      </c>
      <c r="B67" s="1">
        <v>84</v>
      </c>
      <c r="C67" s="1">
        <v>1</v>
      </c>
    </row>
    <row r="68" spans="1:3" x14ac:dyDescent="0.25">
      <c r="A68" s="5" t="s">
        <v>14</v>
      </c>
      <c r="B68" s="1">
        <v>84</v>
      </c>
      <c r="C68" s="1">
        <v>1</v>
      </c>
    </row>
    <row r="69" spans="1:3" x14ac:dyDescent="0.25">
      <c r="A69" s="4" t="s">
        <v>731</v>
      </c>
      <c r="B69" s="1">
        <v>100</v>
      </c>
      <c r="C69" s="1">
        <v>1</v>
      </c>
    </row>
    <row r="70" spans="1:3" x14ac:dyDescent="0.25">
      <c r="A70" s="5" t="s">
        <v>32</v>
      </c>
      <c r="B70" s="1">
        <v>100</v>
      </c>
      <c r="C70" s="1">
        <v>1</v>
      </c>
    </row>
    <row r="71" spans="1:3" x14ac:dyDescent="0.25">
      <c r="A71" s="4" t="s">
        <v>732</v>
      </c>
      <c r="B71" s="1"/>
      <c r="C71" s="1">
        <v>1</v>
      </c>
    </row>
    <row r="72" spans="1:3" x14ac:dyDescent="0.25">
      <c r="A72" s="5" t="s">
        <v>733</v>
      </c>
      <c r="B72" s="1"/>
      <c r="C72" s="1">
        <v>1</v>
      </c>
    </row>
    <row r="73" spans="1:3" x14ac:dyDescent="0.25">
      <c r="A73" s="4" t="s">
        <v>769</v>
      </c>
      <c r="B73" s="1"/>
      <c r="C73" s="1">
        <v>1</v>
      </c>
    </row>
    <row r="74" spans="1:3" x14ac:dyDescent="0.25">
      <c r="A74" s="5" t="s">
        <v>14</v>
      </c>
      <c r="B74" s="1"/>
      <c r="C74" s="1">
        <v>1</v>
      </c>
    </row>
    <row r="75" spans="1:3" x14ac:dyDescent="0.25">
      <c r="A75" s="4" t="s">
        <v>772</v>
      </c>
      <c r="B75" s="1"/>
      <c r="C75" s="1">
        <v>1</v>
      </c>
    </row>
    <row r="76" spans="1:3" x14ac:dyDescent="0.25">
      <c r="A76" s="5" t="s">
        <v>73</v>
      </c>
      <c r="B76" s="1"/>
      <c r="C76" s="1">
        <v>1</v>
      </c>
    </row>
    <row r="77" spans="1:3" x14ac:dyDescent="0.25">
      <c r="A77" s="4" t="s">
        <v>777</v>
      </c>
      <c r="B77" s="1">
        <v>100</v>
      </c>
      <c r="C77" s="1">
        <v>1</v>
      </c>
    </row>
    <row r="78" spans="1:3" x14ac:dyDescent="0.25">
      <c r="A78" s="5" t="s">
        <v>196</v>
      </c>
      <c r="B78" s="1">
        <v>100</v>
      </c>
      <c r="C78" s="1">
        <v>1</v>
      </c>
    </row>
    <row r="79" spans="1:3" x14ac:dyDescent="0.25">
      <c r="A79" s="4" t="s">
        <v>784</v>
      </c>
      <c r="B79" s="1"/>
      <c r="C79" s="1">
        <v>1</v>
      </c>
    </row>
    <row r="80" spans="1:3" x14ac:dyDescent="0.25">
      <c r="A80" s="5" t="s">
        <v>188</v>
      </c>
      <c r="B80" s="1"/>
      <c r="C80" s="1">
        <v>1</v>
      </c>
    </row>
    <row r="81" spans="1:3" x14ac:dyDescent="0.25">
      <c r="A81" s="4" t="s">
        <v>808</v>
      </c>
      <c r="B81" s="1"/>
      <c r="C81" s="1">
        <v>1</v>
      </c>
    </row>
    <row r="82" spans="1:3" x14ac:dyDescent="0.25">
      <c r="A82" s="5" t="s">
        <v>200</v>
      </c>
      <c r="B82" s="1"/>
      <c r="C82" s="1">
        <v>1</v>
      </c>
    </row>
    <row r="83" spans="1:3" x14ac:dyDescent="0.25">
      <c r="A83" s="4" t="s">
        <v>853</v>
      </c>
      <c r="B83" s="1"/>
      <c r="C83" s="1">
        <v>1</v>
      </c>
    </row>
    <row r="84" spans="1:3" x14ac:dyDescent="0.25">
      <c r="A84" s="5" t="s">
        <v>26</v>
      </c>
      <c r="B84" s="1"/>
      <c r="C84" s="1">
        <v>1</v>
      </c>
    </row>
    <row r="85" spans="1:3" x14ac:dyDescent="0.25">
      <c r="A85" s="4" t="s">
        <v>875</v>
      </c>
      <c r="B85" s="1"/>
      <c r="C85" s="1">
        <v>1</v>
      </c>
    </row>
    <row r="86" spans="1:3" x14ac:dyDescent="0.25">
      <c r="A86" s="5" t="s">
        <v>278</v>
      </c>
      <c r="B86" s="1"/>
      <c r="C86" s="1">
        <v>1</v>
      </c>
    </row>
    <row r="87" spans="1:3" x14ac:dyDescent="0.25">
      <c r="A87" s="4" t="s">
        <v>892</v>
      </c>
      <c r="B87" s="1"/>
      <c r="C87" s="1">
        <v>1</v>
      </c>
    </row>
    <row r="88" spans="1:3" x14ac:dyDescent="0.25">
      <c r="A88" s="5" t="s">
        <v>67</v>
      </c>
      <c r="B88" s="1"/>
      <c r="C88" s="1">
        <v>1</v>
      </c>
    </row>
    <row r="89" spans="1:3" x14ac:dyDescent="0.25">
      <c r="A89" s="4" t="s">
        <v>894</v>
      </c>
      <c r="B89" s="1"/>
      <c r="C89" s="1">
        <v>1</v>
      </c>
    </row>
    <row r="90" spans="1:3" x14ac:dyDescent="0.25">
      <c r="A90" s="5" t="s">
        <v>9</v>
      </c>
      <c r="B90" s="1"/>
      <c r="C90" s="1">
        <v>1</v>
      </c>
    </row>
    <row r="91" spans="1:3" x14ac:dyDescent="0.25">
      <c r="A91" s="4" t="s">
        <v>928</v>
      </c>
      <c r="B91" s="1"/>
      <c r="C91" s="1">
        <v>1</v>
      </c>
    </row>
    <row r="92" spans="1:3" x14ac:dyDescent="0.25">
      <c r="A92" s="5" t="s">
        <v>32</v>
      </c>
      <c r="B92" s="1"/>
      <c r="C92" s="1">
        <v>1</v>
      </c>
    </row>
    <row r="93" spans="1:3" x14ac:dyDescent="0.25">
      <c r="A93" s="4" t="s">
        <v>934</v>
      </c>
      <c r="B93" s="1"/>
      <c r="C93" s="1">
        <v>1</v>
      </c>
    </row>
    <row r="94" spans="1:3" x14ac:dyDescent="0.25">
      <c r="A94" s="5" t="s">
        <v>14</v>
      </c>
      <c r="B94" s="1"/>
      <c r="C94" s="1">
        <v>1</v>
      </c>
    </row>
    <row r="95" spans="1:3" x14ac:dyDescent="0.25">
      <c r="A95" s="4" t="s">
        <v>944</v>
      </c>
      <c r="B95" s="1">
        <v>16</v>
      </c>
      <c r="C95" s="1">
        <v>1</v>
      </c>
    </row>
    <row r="96" spans="1:3" x14ac:dyDescent="0.25">
      <c r="A96" s="5" t="s">
        <v>137</v>
      </c>
      <c r="B96" s="1">
        <v>16</v>
      </c>
      <c r="C96" s="1">
        <v>1</v>
      </c>
    </row>
    <row r="97" spans="1:3" x14ac:dyDescent="0.25">
      <c r="A97" s="4" t="s">
        <v>965</v>
      </c>
      <c r="B97" s="1">
        <v>250</v>
      </c>
      <c r="C97" s="1">
        <v>1</v>
      </c>
    </row>
    <row r="98" spans="1:3" x14ac:dyDescent="0.25">
      <c r="A98" s="5" t="s">
        <v>101</v>
      </c>
      <c r="B98" s="1">
        <v>250</v>
      </c>
      <c r="C98" s="1">
        <v>1</v>
      </c>
    </row>
    <row r="99" spans="1:3" x14ac:dyDescent="0.25">
      <c r="A99" s="4" t="s">
        <v>977</v>
      </c>
      <c r="B99" s="1">
        <v>45</v>
      </c>
      <c r="C99" s="1">
        <v>1</v>
      </c>
    </row>
    <row r="100" spans="1:3" x14ac:dyDescent="0.25">
      <c r="A100" s="5" t="s">
        <v>9</v>
      </c>
      <c r="B100" s="1">
        <v>45</v>
      </c>
      <c r="C100" s="1">
        <v>1</v>
      </c>
    </row>
    <row r="101" spans="1:3" x14ac:dyDescent="0.25">
      <c r="A101" s="4" t="s">
        <v>978</v>
      </c>
      <c r="B101" s="1"/>
      <c r="C101" s="1">
        <v>1</v>
      </c>
    </row>
    <row r="102" spans="1:3" x14ac:dyDescent="0.25">
      <c r="A102" s="5" t="s">
        <v>14</v>
      </c>
      <c r="B102" s="1"/>
      <c r="C102" s="1">
        <v>1</v>
      </c>
    </row>
    <row r="103" spans="1:3" x14ac:dyDescent="0.25">
      <c r="A103" s="4" t="s">
        <v>1059</v>
      </c>
      <c r="B103" s="1"/>
      <c r="C103" s="1">
        <v>1</v>
      </c>
    </row>
    <row r="104" spans="1:3" x14ac:dyDescent="0.25">
      <c r="A104" s="5" t="s">
        <v>55</v>
      </c>
      <c r="B104" s="1"/>
      <c r="C104" s="1">
        <v>1</v>
      </c>
    </row>
    <row r="105" spans="1:3" x14ac:dyDescent="0.25">
      <c r="A105" s="4" t="s">
        <v>1068</v>
      </c>
      <c r="B105" s="1">
        <v>500</v>
      </c>
      <c r="C105" s="1">
        <v>1</v>
      </c>
    </row>
    <row r="106" spans="1:3" x14ac:dyDescent="0.25">
      <c r="A106" s="5" t="s">
        <v>32</v>
      </c>
      <c r="B106" s="1">
        <v>500</v>
      </c>
      <c r="C106" s="1">
        <v>1</v>
      </c>
    </row>
    <row r="107" spans="1:3" x14ac:dyDescent="0.25">
      <c r="A107" s="4" t="s">
        <v>1078</v>
      </c>
      <c r="B107" s="1"/>
      <c r="C107" s="1">
        <v>1</v>
      </c>
    </row>
    <row r="108" spans="1:3" x14ac:dyDescent="0.25">
      <c r="A108" s="5" t="s">
        <v>26</v>
      </c>
      <c r="B108" s="1"/>
      <c r="C108" s="1">
        <v>1</v>
      </c>
    </row>
    <row r="109" spans="1:3" x14ac:dyDescent="0.25">
      <c r="A109" s="4" t="s">
        <v>1080</v>
      </c>
      <c r="B109" s="1"/>
      <c r="C109" s="1">
        <v>1</v>
      </c>
    </row>
    <row r="110" spans="1:3" x14ac:dyDescent="0.25">
      <c r="A110" s="5" t="s">
        <v>1081</v>
      </c>
      <c r="B110" s="1"/>
      <c r="C110" s="1">
        <v>1</v>
      </c>
    </row>
    <row r="111" spans="1:3" x14ac:dyDescent="0.25">
      <c r="A111" s="4" t="s">
        <v>1085</v>
      </c>
      <c r="B111" s="1">
        <v>2434</v>
      </c>
      <c r="C111" s="1">
        <v>1</v>
      </c>
    </row>
    <row r="112" spans="1:3" x14ac:dyDescent="0.25">
      <c r="A112" s="5" t="s">
        <v>14</v>
      </c>
      <c r="B112" s="1">
        <v>2434</v>
      </c>
      <c r="C112" s="1">
        <v>1</v>
      </c>
    </row>
    <row r="113" spans="1:3" x14ac:dyDescent="0.25">
      <c r="A113" s="4" t="s">
        <v>1096</v>
      </c>
      <c r="B113" s="1"/>
      <c r="C113" s="1">
        <v>1</v>
      </c>
    </row>
    <row r="114" spans="1:3" x14ac:dyDescent="0.25">
      <c r="A114" s="5" t="s">
        <v>14</v>
      </c>
      <c r="B114" s="1"/>
      <c r="C114" s="1">
        <v>1</v>
      </c>
    </row>
    <row r="115" spans="1:3" x14ac:dyDescent="0.25">
      <c r="A115" s="4" t="s">
        <v>1098</v>
      </c>
      <c r="B115" s="1">
        <v>100</v>
      </c>
      <c r="C115" s="1">
        <v>1</v>
      </c>
    </row>
    <row r="116" spans="1:3" x14ac:dyDescent="0.25">
      <c r="A116" s="5" t="s">
        <v>14</v>
      </c>
      <c r="B116" s="1">
        <v>100</v>
      </c>
      <c r="C116" s="1">
        <v>1</v>
      </c>
    </row>
    <row r="117" spans="1:3" x14ac:dyDescent="0.25">
      <c r="A117" s="4" t="s">
        <v>1119</v>
      </c>
      <c r="B117" s="1"/>
      <c r="C117" s="1">
        <v>1</v>
      </c>
    </row>
    <row r="118" spans="1:3" x14ac:dyDescent="0.25">
      <c r="A118" s="5" t="s">
        <v>522</v>
      </c>
      <c r="B118" s="1"/>
      <c r="C118" s="1">
        <v>1</v>
      </c>
    </row>
    <row r="119" spans="1:3" x14ac:dyDescent="0.25">
      <c r="A119" s="4" t="s">
        <v>1130</v>
      </c>
      <c r="B119" s="1"/>
      <c r="C119" s="1">
        <v>1</v>
      </c>
    </row>
    <row r="120" spans="1:3" x14ac:dyDescent="0.25">
      <c r="A120" s="5" t="s">
        <v>351</v>
      </c>
      <c r="B120" s="1"/>
      <c r="C120" s="1">
        <v>1</v>
      </c>
    </row>
    <row r="121" spans="1:3" x14ac:dyDescent="0.25">
      <c r="A121" s="4" t="s">
        <v>1161</v>
      </c>
      <c r="B121" s="1"/>
      <c r="C121" s="1">
        <v>1</v>
      </c>
    </row>
    <row r="122" spans="1:3" x14ac:dyDescent="0.25">
      <c r="A122" s="5" t="s">
        <v>67</v>
      </c>
      <c r="B122" s="1"/>
      <c r="C122" s="1">
        <v>1</v>
      </c>
    </row>
    <row r="123" spans="1:3" x14ac:dyDescent="0.25">
      <c r="A123" s="4" t="s">
        <v>1172</v>
      </c>
      <c r="B123" s="1">
        <v>13</v>
      </c>
      <c r="C123" s="1">
        <v>1</v>
      </c>
    </row>
    <row r="124" spans="1:3" x14ac:dyDescent="0.25">
      <c r="A124" s="5" t="s">
        <v>32</v>
      </c>
      <c r="B124" s="1">
        <v>13</v>
      </c>
      <c r="C124" s="1">
        <v>1</v>
      </c>
    </row>
    <row r="125" spans="1:3" x14ac:dyDescent="0.25">
      <c r="A125" s="4" t="s">
        <v>1185</v>
      </c>
      <c r="B125" s="1"/>
      <c r="C125" s="1">
        <v>1</v>
      </c>
    </row>
    <row r="126" spans="1:3" x14ac:dyDescent="0.25">
      <c r="A126" s="5" t="s">
        <v>196</v>
      </c>
      <c r="B126" s="1"/>
      <c r="C126" s="1">
        <v>1</v>
      </c>
    </row>
    <row r="127" spans="1:3" x14ac:dyDescent="0.25">
      <c r="A127" s="4" t="s">
        <v>1197</v>
      </c>
      <c r="B127" s="1"/>
      <c r="C127" s="1">
        <v>1</v>
      </c>
    </row>
    <row r="128" spans="1:3" x14ac:dyDescent="0.25">
      <c r="A128" s="5" t="s">
        <v>695</v>
      </c>
      <c r="B128" s="1"/>
      <c r="C128" s="1">
        <v>1</v>
      </c>
    </row>
    <row r="129" spans="1:3" x14ac:dyDescent="0.25">
      <c r="A129" s="4" t="s">
        <v>1202</v>
      </c>
      <c r="B129" s="1"/>
      <c r="C129" s="1">
        <v>1</v>
      </c>
    </row>
    <row r="130" spans="1:3" x14ac:dyDescent="0.25">
      <c r="A130" s="5" t="s">
        <v>14</v>
      </c>
      <c r="B130" s="1"/>
      <c r="C130" s="1">
        <v>1</v>
      </c>
    </row>
    <row r="131" spans="1:3" x14ac:dyDescent="0.25">
      <c r="A131" s="4" t="s">
        <v>1214</v>
      </c>
      <c r="B131" s="1"/>
      <c r="C131" s="1">
        <v>1</v>
      </c>
    </row>
    <row r="132" spans="1:3" x14ac:dyDescent="0.25">
      <c r="A132" s="5" t="s">
        <v>14</v>
      </c>
      <c r="B132" s="1"/>
      <c r="C132" s="1">
        <v>1</v>
      </c>
    </row>
    <row r="133" spans="1:3" x14ac:dyDescent="0.25">
      <c r="A133" s="4" t="s">
        <v>1231</v>
      </c>
      <c r="B133" s="1"/>
      <c r="C133" s="1">
        <v>1</v>
      </c>
    </row>
    <row r="134" spans="1:3" x14ac:dyDescent="0.25">
      <c r="A134" s="5" t="s">
        <v>32</v>
      </c>
      <c r="B134" s="1"/>
      <c r="C134" s="1">
        <v>1</v>
      </c>
    </row>
    <row r="135" spans="1:3" x14ac:dyDescent="0.25">
      <c r="A135" s="4" t="s">
        <v>1245</v>
      </c>
      <c r="B135" s="1"/>
      <c r="C135" s="1">
        <v>1</v>
      </c>
    </row>
    <row r="136" spans="1:3" x14ac:dyDescent="0.25">
      <c r="A136" s="5" t="s">
        <v>32</v>
      </c>
      <c r="B136" s="1"/>
      <c r="C136" s="1">
        <v>1</v>
      </c>
    </row>
    <row r="137" spans="1:3" x14ac:dyDescent="0.25">
      <c r="A137" s="4" t="s">
        <v>1261</v>
      </c>
      <c r="B137" s="1">
        <v>75</v>
      </c>
      <c r="C137" s="1">
        <v>1</v>
      </c>
    </row>
    <row r="138" spans="1:3" x14ac:dyDescent="0.25">
      <c r="A138" s="5" t="s">
        <v>44</v>
      </c>
      <c r="B138" s="1">
        <v>75</v>
      </c>
      <c r="C138" s="1">
        <v>1</v>
      </c>
    </row>
    <row r="139" spans="1:3" x14ac:dyDescent="0.25">
      <c r="A139" s="4" t="s">
        <v>1283</v>
      </c>
      <c r="B139" s="1"/>
      <c r="C139" s="1">
        <v>1</v>
      </c>
    </row>
    <row r="140" spans="1:3" x14ac:dyDescent="0.25">
      <c r="A140" s="5" t="s">
        <v>200</v>
      </c>
      <c r="B140" s="1"/>
      <c r="C140" s="1">
        <v>1</v>
      </c>
    </row>
    <row r="141" spans="1:3" x14ac:dyDescent="0.25">
      <c r="A141" s="4" t="s">
        <v>1301</v>
      </c>
      <c r="B141" s="1"/>
      <c r="C141" s="1">
        <v>1</v>
      </c>
    </row>
    <row r="142" spans="1:3" x14ac:dyDescent="0.25">
      <c r="A142" s="5" t="s">
        <v>14</v>
      </c>
      <c r="B142" s="1"/>
      <c r="C142" s="1">
        <v>1</v>
      </c>
    </row>
    <row r="143" spans="1:3" x14ac:dyDescent="0.25">
      <c r="A143" s="4" t="s">
        <v>1346</v>
      </c>
      <c r="B143" s="1"/>
      <c r="C143" s="1">
        <v>1</v>
      </c>
    </row>
    <row r="144" spans="1:3" x14ac:dyDescent="0.25">
      <c r="A144" s="5" t="s">
        <v>182</v>
      </c>
      <c r="B144" s="1"/>
      <c r="C144" s="1">
        <v>1</v>
      </c>
    </row>
    <row r="145" spans="1:3" x14ac:dyDescent="0.25">
      <c r="A145" s="4" t="s">
        <v>1358</v>
      </c>
      <c r="B145" s="1"/>
      <c r="C145" s="1">
        <v>1</v>
      </c>
    </row>
    <row r="146" spans="1:3" x14ac:dyDescent="0.25">
      <c r="A146" s="5" t="s">
        <v>79</v>
      </c>
      <c r="B146" s="1"/>
      <c r="C146" s="1">
        <v>1</v>
      </c>
    </row>
    <row r="147" spans="1:3" x14ac:dyDescent="0.25">
      <c r="A147" s="4" t="s">
        <v>1401</v>
      </c>
      <c r="B147" s="1">
        <v>83</v>
      </c>
      <c r="C147" s="1">
        <v>1</v>
      </c>
    </row>
    <row r="148" spans="1:3" x14ac:dyDescent="0.25">
      <c r="A148" s="5" t="s">
        <v>259</v>
      </c>
      <c r="B148" s="1">
        <v>83</v>
      </c>
      <c r="C148" s="1">
        <v>1</v>
      </c>
    </row>
    <row r="149" spans="1:3" x14ac:dyDescent="0.25">
      <c r="A149" s="4" t="s">
        <v>1428</v>
      </c>
      <c r="B149" s="1"/>
      <c r="C149" s="1">
        <v>1</v>
      </c>
    </row>
    <row r="150" spans="1:3" x14ac:dyDescent="0.25">
      <c r="A150" s="5" t="s">
        <v>14</v>
      </c>
      <c r="B150" s="1"/>
      <c r="C150" s="1">
        <v>1</v>
      </c>
    </row>
    <row r="151" spans="1:3" x14ac:dyDescent="0.25">
      <c r="A151" s="4" t="s">
        <v>1450</v>
      </c>
      <c r="B151" s="1"/>
      <c r="C151" s="1">
        <v>1</v>
      </c>
    </row>
    <row r="152" spans="1:3" x14ac:dyDescent="0.25">
      <c r="A152" s="5" t="s">
        <v>14</v>
      </c>
      <c r="B152" s="1"/>
      <c r="C152" s="1">
        <v>1</v>
      </c>
    </row>
    <row r="153" spans="1:3" x14ac:dyDescent="0.25">
      <c r="A153" s="4" t="s">
        <v>1474</v>
      </c>
      <c r="B153" s="1"/>
      <c r="C153" s="1">
        <v>1</v>
      </c>
    </row>
    <row r="154" spans="1:3" x14ac:dyDescent="0.25">
      <c r="A154" s="5" t="s">
        <v>73</v>
      </c>
      <c r="B154" s="1"/>
      <c r="C154" s="1">
        <v>1</v>
      </c>
    </row>
    <row r="155" spans="1:3" x14ac:dyDescent="0.25">
      <c r="A155" s="4" t="s">
        <v>1483</v>
      </c>
      <c r="B155" s="1"/>
      <c r="C155" s="1">
        <v>1</v>
      </c>
    </row>
    <row r="156" spans="1:3" x14ac:dyDescent="0.25">
      <c r="A156" s="5" t="s">
        <v>14</v>
      </c>
      <c r="B156" s="1"/>
      <c r="C156" s="1">
        <v>1</v>
      </c>
    </row>
    <row r="157" spans="1:3" x14ac:dyDescent="0.25">
      <c r="A157" s="4" t="s">
        <v>1492</v>
      </c>
      <c r="B157" s="1"/>
      <c r="C157" s="1">
        <v>1</v>
      </c>
    </row>
    <row r="158" spans="1:3" x14ac:dyDescent="0.25">
      <c r="A158" s="5" t="s">
        <v>55</v>
      </c>
      <c r="B158" s="1"/>
      <c r="C158" s="1">
        <v>1</v>
      </c>
    </row>
    <row r="159" spans="1:3" x14ac:dyDescent="0.25">
      <c r="A159" s="4" t="s">
        <v>1505</v>
      </c>
      <c r="B159" s="1">
        <v>200</v>
      </c>
      <c r="C159" s="1">
        <v>1</v>
      </c>
    </row>
    <row r="160" spans="1:3" x14ac:dyDescent="0.25">
      <c r="A160" s="5" t="s">
        <v>79</v>
      </c>
      <c r="B160" s="1">
        <v>200</v>
      </c>
      <c r="C160" s="1">
        <v>1</v>
      </c>
    </row>
    <row r="161" spans="1:3" x14ac:dyDescent="0.25">
      <c r="A161" s="4" t="s">
        <v>1507</v>
      </c>
      <c r="B161" s="1">
        <v>65</v>
      </c>
      <c r="C161" s="1">
        <v>1</v>
      </c>
    </row>
    <row r="162" spans="1:3" x14ac:dyDescent="0.25">
      <c r="A162" s="5" t="s">
        <v>32</v>
      </c>
      <c r="B162" s="1">
        <v>65</v>
      </c>
      <c r="C162" s="1">
        <v>1</v>
      </c>
    </row>
    <row r="163" spans="1:3" x14ac:dyDescent="0.25">
      <c r="A163" s="4" t="s">
        <v>1517</v>
      </c>
      <c r="B163" s="1">
        <v>21</v>
      </c>
      <c r="C163" s="1">
        <v>1</v>
      </c>
    </row>
    <row r="164" spans="1:3" x14ac:dyDescent="0.25">
      <c r="A164" s="5" t="s">
        <v>101</v>
      </c>
      <c r="B164" s="1">
        <v>21</v>
      </c>
      <c r="C164" s="1">
        <v>1</v>
      </c>
    </row>
    <row r="165" spans="1:3" x14ac:dyDescent="0.25">
      <c r="A165" s="4" t="s">
        <v>1522</v>
      </c>
      <c r="B165" s="1"/>
      <c r="C165" s="1">
        <v>1</v>
      </c>
    </row>
    <row r="166" spans="1:3" x14ac:dyDescent="0.25">
      <c r="A166" s="5" t="s">
        <v>200</v>
      </c>
      <c r="B166" s="1"/>
      <c r="C166" s="1">
        <v>1</v>
      </c>
    </row>
    <row r="167" spans="1:3" x14ac:dyDescent="0.25">
      <c r="A167" s="4" t="s">
        <v>1529</v>
      </c>
      <c r="B167" s="1"/>
      <c r="C167" s="1">
        <v>1</v>
      </c>
    </row>
    <row r="168" spans="1:3" x14ac:dyDescent="0.25">
      <c r="A168" s="5" t="s">
        <v>32</v>
      </c>
      <c r="B168" s="1"/>
      <c r="C168" s="1">
        <v>1</v>
      </c>
    </row>
    <row r="169" spans="1:3" x14ac:dyDescent="0.25">
      <c r="A169" s="4" t="s">
        <v>1545</v>
      </c>
      <c r="B169" s="1"/>
      <c r="C169" s="1">
        <v>1</v>
      </c>
    </row>
    <row r="170" spans="1:3" x14ac:dyDescent="0.25">
      <c r="A170" s="5" t="s">
        <v>1546</v>
      </c>
      <c r="B170" s="1"/>
      <c r="C170" s="1">
        <v>1</v>
      </c>
    </row>
    <row r="171" spans="1:3" x14ac:dyDescent="0.25">
      <c r="A171" s="4" t="s">
        <v>1551</v>
      </c>
      <c r="B171" s="1">
        <v>60</v>
      </c>
      <c r="C171" s="1">
        <v>1</v>
      </c>
    </row>
    <row r="172" spans="1:3" x14ac:dyDescent="0.25">
      <c r="A172" s="5" t="s">
        <v>14</v>
      </c>
      <c r="B172" s="1">
        <v>60</v>
      </c>
      <c r="C172" s="1">
        <v>1</v>
      </c>
    </row>
    <row r="173" spans="1:3" x14ac:dyDescent="0.25">
      <c r="A173" s="4" t="s">
        <v>1558</v>
      </c>
      <c r="B173" s="1"/>
      <c r="C173" s="1">
        <v>1</v>
      </c>
    </row>
    <row r="174" spans="1:3" x14ac:dyDescent="0.25">
      <c r="A174" s="5" t="s">
        <v>14</v>
      </c>
      <c r="B174" s="1"/>
      <c r="C174" s="1">
        <v>1</v>
      </c>
    </row>
    <row r="175" spans="1:3" x14ac:dyDescent="0.25">
      <c r="A175" s="4" t="s">
        <v>1560</v>
      </c>
      <c r="B175" s="1"/>
      <c r="C175" s="1">
        <v>1</v>
      </c>
    </row>
    <row r="176" spans="1:3" x14ac:dyDescent="0.25">
      <c r="A176" s="5" t="s">
        <v>1219</v>
      </c>
      <c r="B176" s="1"/>
      <c r="C176" s="1">
        <v>1</v>
      </c>
    </row>
    <row r="177" spans="1:3" x14ac:dyDescent="0.25">
      <c r="A177" s="4" t="s">
        <v>1570</v>
      </c>
      <c r="B177" s="1"/>
      <c r="C177" s="1">
        <v>1</v>
      </c>
    </row>
    <row r="178" spans="1:3" x14ac:dyDescent="0.25">
      <c r="A178" s="5" t="s">
        <v>26</v>
      </c>
      <c r="B178" s="1"/>
      <c r="C178" s="1">
        <v>1</v>
      </c>
    </row>
    <row r="179" spans="1:3" x14ac:dyDescent="0.25">
      <c r="A179" s="4" t="s">
        <v>1590</v>
      </c>
      <c r="B179" s="1">
        <v>140</v>
      </c>
      <c r="C179" s="1">
        <v>1</v>
      </c>
    </row>
    <row r="180" spans="1:3" x14ac:dyDescent="0.25">
      <c r="A180" s="5" t="s">
        <v>14</v>
      </c>
      <c r="B180" s="1">
        <v>140</v>
      </c>
      <c r="C180" s="1">
        <v>1</v>
      </c>
    </row>
    <row r="181" spans="1:3" x14ac:dyDescent="0.25">
      <c r="A181" s="4" t="s">
        <v>1643</v>
      </c>
      <c r="B181" s="1"/>
      <c r="C181" s="1">
        <v>1</v>
      </c>
    </row>
    <row r="182" spans="1:3" x14ac:dyDescent="0.25">
      <c r="A182" s="5" t="s">
        <v>55</v>
      </c>
      <c r="B182" s="1"/>
      <c r="C182" s="1">
        <v>1</v>
      </c>
    </row>
    <row r="183" spans="1:3" x14ac:dyDescent="0.25">
      <c r="A183" s="4" t="s">
        <v>1688</v>
      </c>
      <c r="B183" s="1">
        <v>300</v>
      </c>
      <c r="C183" s="1">
        <v>1</v>
      </c>
    </row>
    <row r="184" spans="1:3" x14ac:dyDescent="0.25">
      <c r="A184" s="5" t="s">
        <v>44</v>
      </c>
      <c r="B184" s="1">
        <v>300</v>
      </c>
      <c r="C184" s="1">
        <v>1</v>
      </c>
    </row>
    <row r="185" spans="1:3" x14ac:dyDescent="0.25">
      <c r="A185" s="4" t="s">
        <v>1695</v>
      </c>
      <c r="B185" s="1"/>
      <c r="C185" s="1">
        <v>2</v>
      </c>
    </row>
    <row r="186" spans="1:3" x14ac:dyDescent="0.25">
      <c r="A186" s="5" t="s">
        <v>26</v>
      </c>
      <c r="B186" s="1"/>
      <c r="C186" s="1">
        <v>2</v>
      </c>
    </row>
    <row r="187" spans="1:3" x14ac:dyDescent="0.25">
      <c r="A187" s="4" t="s">
        <v>1714</v>
      </c>
      <c r="B187" s="1"/>
      <c r="C187" s="1">
        <v>1</v>
      </c>
    </row>
    <row r="188" spans="1:3" x14ac:dyDescent="0.25">
      <c r="A188" s="5" t="s">
        <v>293</v>
      </c>
      <c r="B188" s="1"/>
      <c r="C188" s="1">
        <v>1</v>
      </c>
    </row>
    <row r="189" spans="1:3" x14ac:dyDescent="0.25">
      <c r="A189" s="4" t="s">
        <v>1727</v>
      </c>
      <c r="B189" s="1"/>
      <c r="C189" s="1">
        <v>1</v>
      </c>
    </row>
    <row r="190" spans="1:3" x14ac:dyDescent="0.25">
      <c r="A190" s="5" t="s">
        <v>71</v>
      </c>
      <c r="B190" s="1"/>
      <c r="C190" s="1">
        <v>1</v>
      </c>
    </row>
    <row r="191" spans="1:3" x14ac:dyDescent="0.25">
      <c r="A191" s="4" t="s">
        <v>1728</v>
      </c>
      <c r="B191" s="1">
        <v>150</v>
      </c>
      <c r="C191" s="1">
        <v>1</v>
      </c>
    </row>
    <row r="192" spans="1:3" x14ac:dyDescent="0.25">
      <c r="A192" s="5" t="s">
        <v>115</v>
      </c>
      <c r="B192" s="1">
        <v>150</v>
      </c>
      <c r="C192" s="1">
        <v>1</v>
      </c>
    </row>
    <row r="193" spans="1:3" x14ac:dyDescent="0.25">
      <c r="A193" s="4" t="s">
        <v>1769</v>
      </c>
      <c r="B193" s="1">
        <v>120</v>
      </c>
      <c r="C193" s="1">
        <v>1</v>
      </c>
    </row>
    <row r="194" spans="1:3" x14ac:dyDescent="0.25">
      <c r="A194" s="5" t="s">
        <v>168</v>
      </c>
      <c r="B194" s="1">
        <v>120</v>
      </c>
      <c r="C194" s="1">
        <v>1</v>
      </c>
    </row>
    <row r="195" spans="1:3" x14ac:dyDescent="0.25">
      <c r="A195" s="4" t="s">
        <v>1776</v>
      </c>
      <c r="B195" s="1"/>
      <c r="C195" s="1">
        <v>1</v>
      </c>
    </row>
    <row r="196" spans="1:3" x14ac:dyDescent="0.25">
      <c r="A196" s="5" t="s">
        <v>120</v>
      </c>
      <c r="B196" s="1"/>
      <c r="C196" s="1">
        <v>1</v>
      </c>
    </row>
    <row r="197" spans="1:3" x14ac:dyDescent="0.25">
      <c r="A197" s="4" t="s">
        <v>1808</v>
      </c>
      <c r="B197" s="1">
        <v>221</v>
      </c>
      <c r="C197" s="1">
        <v>1</v>
      </c>
    </row>
    <row r="198" spans="1:3" x14ac:dyDescent="0.25">
      <c r="A198" s="5" t="s">
        <v>1500</v>
      </c>
      <c r="B198" s="1">
        <v>221</v>
      </c>
      <c r="C198" s="1">
        <v>1</v>
      </c>
    </row>
    <row r="199" spans="1:3" x14ac:dyDescent="0.25">
      <c r="A199" s="4" t="s">
        <v>1812</v>
      </c>
      <c r="B199" s="1"/>
      <c r="C199" s="1">
        <v>1</v>
      </c>
    </row>
    <row r="200" spans="1:3" x14ac:dyDescent="0.25">
      <c r="A200" s="5" t="s">
        <v>14</v>
      </c>
      <c r="B200" s="1"/>
      <c r="C200" s="1">
        <v>1</v>
      </c>
    </row>
    <row r="201" spans="1:3" x14ac:dyDescent="0.25">
      <c r="A201" s="4" t="s">
        <v>1815</v>
      </c>
      <c r="B201" s="1">
        <v>250</v>
      </c>
      <c r="C201" s="1">
        <v>1</v>
      </c>
    </row>
    <row r="202" spans="1:3" x14ac:dyDescent="0.25">
      <c r="A202" s="5" t="s">
        <v>120</v>
      </c>
      <c r="B202" s="1">
        <v>250</v>
      </c>
      <c r="C202" s="1">
        <v>1</v>
      </c>
    </row>
    <row r="203" spans="1:3" x14ac:dyDescent="0.25">
      <c r="A203" s="4" t="s">
        <v>1832</v>
      </c>
      <c r="B203" s="1"/>
      <c r="C203" s="1">
        <v>1</v>
      </c>
    </row>
    <row r="204" spans="1:3" x14ac:dyDescent="0.25">
      <c r="A204" s="5" t="s">
        <v>26</v>
      </c>
      <c r="B204" s="1"/>
      <c r="C204" s="1">
        <v>1</v>
      </c>
    </row>
    <row r="205" spans="1:3" x14ac:dyDescent="0.25">
      <c r="A205" s="4" t="s">
        <v>1834</v>
      </c>
      <c r="B205" s="1">
        <v>101</v>
      </c>
      <c r="C205" s="1">
        <v>1</v>
      </c>
    </row>
    <row r="206" spans="1:3" x14ac:dyDescent="0.25">
      <c r="A206" s="5" t="s">
        <v>14</v>
      </c>
      <c r="B206" s="1">
        <v>101</v>
      </c>
      <c r="C206" s="1">
        <v>1</v>
      </c>
    </row>
    <row r="207" spans="1:3" x14ac:dyDescent="0.25">
      <c r="A207" s="4" t="s">
        <v>1840</v>
      </c>
      <c r="B207" s="1"/>
      <c r="C207" s="1">
        <v>1</v>
      </c>
    </row>
    <row r="208" spans="1:3" x14ac:dyDescent="0.25">
      <c r="A208" s="5" t="s">
        <v>293</v>
      </c>
      <c r="B208" s="1"/>
      <c r="C208" s="1">
        <v>1</v>
      </c>
    </row>
    <row r="209" spans="1:3" x14ac:dyDescent="0.25">
      <c r="A209" s="4" t="s">
        <v>1897</v>
      </c>
      <c r="B209" s="1">
        <v>40</v>
      </c>
      <c r="C209" s="1">
        <v>1</v>
      </c>
    </row>
    <row r="210" spans="1:3" x14ac:dyDescent="0.25">
      <c r="A210" s="5" t="s">
        <v>73</v>
      </c>
      <c r="B210" s="1">
        <v>40</v>
      </c>
      <c r="C210" s="1">
        <v>1</v>
      </c>
    </row>
    <row r="211" spans="1:3" x14ac:dyDescent="0.25">
      <c r="A211" s="4" t="s">
        <v>1900</v>
      </c>
      <c r="B211" s="1"/>
      <c r="C211" s="1">
        <v>1</v>
      </c>
    </row>
    <row r="212" spans="1:3" x14ac:dyDescent="0.25">
      <c r="A212" s="5" t="s">
        <v>244</v>
      </c>
      <c r="B212" s="1"/>
      <c r="C212" s="1">
        <v>1</v>
      </c>
    </row>
    <row r="213" spans="1:3" x14ac:dyDescent="0.25">
      <c r="A213" s="4" t="s">
        <v>1907</v>
      </c>
      <c r="B213" s="1"/>
      <c r="C213" s="1">
        <v>1</v>
      </c>
    </row>
    <row r="214" spans="1:3" x14ac:dyDescent="0.25">
      <c r="A214" s="5" t="s">
        <v>32</v>
      </c>
      <c r="B214" s="1"/>
      <c r="C214" s="1">
        <v>1</v>
      </c>
    </row>
    <row r="215" spans="1:3" x14ac:dyDescent="0.25">
      <c r="A215" s="4" t="s">
        <v>1978</v>
      </c>
      <c r="B215" s="1">
        <v>4</v>
      </c>
      <c r="C215" s="1">
        <v>1</v>
      </c>
    </row>
    <row r="216" spans="1:3" x14ac:dyDescent="0.25">
      <c r="A216" s="5" t="s">
        <v>35</v>
      </c>
      <c r="B216" s="1">
        <v>4</v>
      </c>
      <c r="C216" s="1">
        <v>1</v>
      </c>
    </row>
    <row r="217" spans="1:3" x14ac:dyDescent="0.25">
      <c r="A217" s="4" t="s">
        <v>1994</v>
      </c>
      <c r="B217" s="1">
        <v>100</v>
      </c>
      <c r="C217" s="1">
        <v>1</v>
      </c>
    </row>
    <row r="218" spans="1:3" x14ac:dyDescent="0.25">
      <c r="A218" s="5" t="s">
        <v>424</v>
      </c>
      <c r="B218" s="1">
        <v>100</v>
      </c>
      <c r="C218" s="1">
        <v>1</v>
      </c>
    </row>
    <row r="219" spans="1:3" x14ac:dyDescent="0.25">
      <c r="A219" s="4" t="s">
        <v>2063</v>
      </c>
      <c r="B219" s="1"/>
      <c r="C219" s="1">
        <v>1</v>
      </c>
    </row>
    <row r="220" spans="1:3" x14ac:dyDescent="0.25">
      <c r="A220" s="5" t="s">
        <v>44</v>
      </c>
      <c r="B220" s="1"/>
      <c r="C220" s="1">
        <v>1</v>
      </c>
    </row>
    <row r="221" spans="1:3" x14ac:dyDescent="0.25">
      <c r="A221" s="4" t="s">
        <v>2075</v>
      </c>
      <c r="B221" s="1">
        <v>85</v>
      </c>
      <c r="C221" s="1">
        <v>1</v>
      </c>
    </row>
    <row r="222" spans="1:3" x14ac:dyDescent="0.25">
      <c r="A222" s="5" t="s">
        <v>14</v>
      </c>
      <c r="B222" s="1">
        <v>85</v>
      </c>
      <c r="C222" s="1">
        <v>1</v>
      </c>
    </row>
    <row r="223" spans="1:3" x14ac:dyDescent="0.25">
      <c r="A223" s="4" t="s">
        <v>2083</v>
      </c>
      <c r="B223" s="1"/>
      <c r="C223" s="1">
        <v>1</v>
      </c>
    </row>
    <row r="224" spans="1:3" x14ac:dyDescent="0.25">
      <c r="A224" s="5" t="s">
        <v>14</v>
      </c>
      <c r="B224" s="1"/>
      <c r="C224" s="1">
        <v>1</v>
      </c>
    </row>
    <row r="225" spans="1:3" x14ac:dyDescent="0.25">
      <c r="A225" s="4" t="s">
        <v>2093</v>
      </c>
      <c r="B225" s="1"/>
      <c r="C225" s="1">
        <v>1</v>
      </c>
    </row>
    <row r="226" spans="1:3" x14ac:dyDescent="0.25">
      <c r="A226" s="5" t="s">
        <v>2094</v>
      </c>
      <c r="B226" s="1"/>
      <c r="C226" s="1">
        <v>1</v>
      </c>
    </row>
    <row r="227" spans="1:3" x14ac:dyDescent="0.25">
      <c r="A227" s="4" t="s">
        <v>2099</v>
      </c>
      <c r="B227" s="1"/>
      <c r="C227" s="1">
        <v>1</v>
      </c>
    </row>
    <row r="228" spans="1:3" x14ac:dyDescent="0.25">
      <c r="A228" s="5" t="s">
        <v>293</v>
      </c>
      <c r="B228" s="1"/>
      <c r="C228" s="1">
        <v>1</v>
      </c>
    </row>
    <row r="229" spans="1:3" x14ac:dyDescent="0.25">
      <c r="A229" s="4" t="s">
        <v>2129</v>
      </c>
      <c r="B229" s="1"/>
      <c r="C229" s="1">
        <v>1</v>
      </c>
    </row>
    <row r="230" spans="1:3" x14ac:dyDescent="0.25">
      <c r="A230" s="5" t="s">
        <v>14</v>
      </c>
      <c r="B230" s="1"/>
      <c r="C230" s="1">
        <v>1</v>
      </c>
    </row>
    <row r="231" spans="1:3" x14ac:dyDescent="0.25">
      <c r="A231" s="4" t="s">
        <v>2137</v>
      </c>
      <c r="B231" s="1"/>
      <c r="C231" s="1">
        <v>1</v>
      </c>
    </row>
    <row r="232" spans="1:3" x14ac:dyDescent="0.25">
      <c r="A232" s="5" t="s">
        <v>44</v>
      </c>
      <c r="B232" s="1"/>
      <c r="C232" s="1">
        <v>1</v>
      </c>
    </row>
    <row r="233" spans="1:3" x14ac:dyDescent="0.25">
      <c r="A233" s="4" t="s">
        <v>2149</v>
      </c>
      <c r="B233" s="1"/>
      <c r="C233" s="1">
        <v>1</v>
      </c>
    </row>
    <row r="234" spans="1:3" x14ac:dyDescent="0.25">
      <c r="A234" s="5" t="s">
        <v>259</v>
      </c>
      <c r="B234" s="1"/>
      <c r="C234" s="1">
        <v>1</v>
      </c>
    </row>
    <row r="235" spans="1:3" x14ac:dyDescent="0.25">
      <c r="A235" s="4" t="s">
        <v>2193</v>
      </c>
      <c r="B235" s="1">
        <v>8381</v>
      </c>
      <c r="C235" s="1">
        <v>116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5240-A46F-496D-920B-F74DD476926C}">
  <dimension ref="A1:J2357"/>
  <sheetViews>
    <sheetView zoomScaleNormal="100" workbookViewId="0">
      <selection activeCell="D1" activeCellId="2" sqref="A1:A1048576 J1:J1048576 D1:D1048576"/>
    </sheetView>
  </sheetViews>
  <sheetFormatPr defaultRowHeight="15" x14ac:dyDescent="0.25"/>
  <cols>
    <col min="1" max="1" width="28.85546875" bestFit="1" customWidth="1"/>
    <col min="2" max="2" width="15.7109375" bestFit="1" customWidth="1"/>
    <col min="3" max="3" width="14.28515625" bestFit="1" customWidth="1"/>
    <col min="4" max="4" width="15" bestFit="1" customWidth="1"/>
    <col min="5" max="5" width="21.28515625" bestFit="1" customWidth="1"/>
    <col min="6" max="6" width="11.28515625" bestFit="1" customWidth="1"/>
    <col min="7" max="7" width="13.85546875" bestFit="1" customWidth="1"/>
    <col min="8" max="8" width="12.7109375" bestFit="1" customWidth="1"/>
    <col min="9" max="9" width="19.7109375" bestFit="1" customWidth="1"/>
    <col min="10" max="10" width="23.28515625" bestFit="1" customWidth="1"/>
  </cols>
  <sheetData>
    <row r="1" spans="1:10" x14ac:dyDescent="0.25">
      <c r="A1" t="s">
        <v>2201</v>
      </c>
      <c r="B1" t="s">
        <v>0</v>
      </c>
      <c r="C1" t="s">
        <v>1</v>
      </c>
      <c r="D1" t="s">
        <v>2</v>
      </c>
      <c r="E1" t="s">
        <v>3</v>
      </c>
      <c r="F1" t="s">
        <v>4</v>
      </c>
      <c r="G1" t="s">
        <v>2212</v>
      </c>
      <c r="H1" t="s">
        <v>5</v>
      </c>
      <c r="I1" t="s">
        <v>6</v>
      </c>
      <c r="J1" t="s">
        <v>7</v>
      </c>
    </row>
    <row r="2" spans="1:10" x14ac:dyDescent="0.25">
      <c r="A2" s="1" t="s">
        <v>8</v>
      </c>
      <c r="B2" s="1" t="s">
        <v>9</v>
      </c>
      <c r="C2" s="1" t="s">
        <v>10</v>
      </c>
      <c r="F2" s="2">
        <v>44911</v>
      </c>
      <c r="G2" s="2" t="str">
        <f>TEXT(LayoffsData[[#This Row],[date]],"yyyy-mm")</f>
        <v>2022-12</v>
      </c>
      <c r="H2" s="1" t="s">
        <v>11</v>
      </c>
      <c r="I2" s="1" t="s">
        <v>12</v>
      </c>
    </row>
    <row r="3" spans="1:10" x14ac:dyDescent="0.25">
      <c r="A3" s="1" t="s">
        <v>13</v>
      </c>
      <c r="B3" s="1" t="s">
        <v>14</v>
      </c>
      <c r="C3" s="1" t="s">
        <v>15</v>
      </c>
      <c r="E3">
        <v>0.06</v>
      </c>
      <c r="F3" s="2">
        <v>44767</v>
      </c>
      <c r="G3" s="2" t="str">
        <f>TEXT(LayoffsData[[#This Row],[date]],"yyyy-mm")</f>
        <v>2022-07</v>
      </c>
      <c r="H3" s="1" t="s">
        <v>16</v>
      </c>
      <c r="I3" s="1" t="s">
        <v>17</v>
      </c>
      <c r="J3">
        <v>272</v>
      </c>
    </row>
    <row r="4" spans="1:10" x14ac:dyDescent="0.25">
      <c r="A4" s="1" t="s">
        <v>18</v>
      </c>
      <c r="B4" s="1" t="s">
        <v>19</v>
      </c>
      <c r="C4" s="1" t="s">
        <v>20</v>
      </c>
      <c r="D4">
        <v>9</v>
      </c>
      <c r="E4">
        <v>0.09</v>
      </c>
      <c r="F4" s="2">
        <v>44882</v>
      </c>
      <c r="G4" s="2" t="str">
        <f>TEXT(LayoffsData[[#This Row],[date]],"yyyy-mm")</f>
        <v>2022-11</v>
      </c>
      <c r="H4" s="1" t="s">
        <v>21</v>
      </c>
      <c r="I4" s="1" t="s">
        <v>22</v>
      </c>
      <c r="J4">
        <v>35</v>
      </c>
    </row>
    <row r="5" spans="1:10" x14ac:dyDescent="0.25">
      <c r="A5" s="1" t="s">
        <v>23</v>
      </c>
      <c r="B5" s="1" t="s">
        <v>9</v>
      </c>
      <c r="C5" s="1" t="s">
        <v>20</v>
      </c>
      <c r="D5">
        <v>19</v>
      </c>
      <c r="E5">
        <v>0.17</v>
      </c>
      <c r="F5" s="2">
        <v>44953</v>
      </c>
      <c r="G5" s="2" t="str">
        <f>TEXT(LayoffsData[[#This Row],[date]],"yyyy-mm")</f>
        <v>2023-01</v>
      </c>
      <c r="H5" s="1" t="s">
        <v>24</v>
      </c>
      <c r="I5" s="1" t="s">
        <v>12</v>
      </c>
      <c r="J5">
        <v>21</v>
      </c>
    </row>
    <row r="6" spans="1:10" x14ac:dyDescent="0.25">
      <c r="A6" s="1" t="s">
        <v>25</v>
      </c>
      <c r="B6" s="1" t="s">
        <v>26</v>
      </c>
      <c r="C6" s="1" t="s">
        <v>27</v>
      </c>
      <c r="D6">
        <v>12</v>
      </c>
      <c r="F6" s="2">
        <v>44755</v>
      </c>
      <c r="G6" s="2" t="str">
        <f>TEXT(LayoffsData[[#This Row],[date]],"yyyy-mm")</f>
        <v>2022-07</v>
      </c>
      <c r="H6" s="1" t="s">
        <v>28</v>
      </c>
      <c r="I6" s="1" t="s">
        <v>17</v>
      </c>
      <c r="J6">
        <v>120</v>
      </c>
    </row>
    <row r="7" spans="1:10" x14ac:dyDescent="0.25">
      <c r="A7" s="1" t="s">
        <v>25</v>
      </c>
      <c r="B7" s="1" t="s">
        <v>26</v>
      </c>
      <c r="C7" s="1" t="s">
        <v>29</v>
      </c>
      <c r="F7" s="2">
        <v>44936</v>
      </c>
      <c r="G7" s="2" t="str">
        <f>TEXT(LayoffsData[[#This Row],[date]],"yyyy-mm")</f>
        <v>2023-01</v>
      </c>
      <c r="H7" s="1" t="s">
        <v>28</v>
      </c>
      <c r="I7" s="1" t="s">
        <v>17</v>
      </c>
      <c r="J7">
        <v>120</v>
      </c>
    </row>
    <row r="8" spans="1:10" x14ac:dyDescent="0.25">
      <c r="A8" s="1" t="s">
        <v>30</v>
      </c>
      <c r="B8" s="1" t="s">
        <v>14</v>
      </c>
      <c r="C8" s="1" t="s">
        <v>15</v>
      </c>
      <c r="D8">
        <v>100</v>
      </c>
      <c r="E8">
        <v>0.08</v>
      </c>
      <c r="F8" s="2">
        <v>44777</v>
      </c>
      <c r="G8" s="2" t="str">
        <f>TEXT(LayoffsData[[#This Row],[date]],"yyyy-mm")</f>
        <v>2022-08</v>
      </c>
      <c r="H8" s="1" t="s">
        <v>11</v>
      </c>
      <c r="I8" s="1" t="s">
        <v>17</v>
      </c>
      <c r="J8">
        <v>242</v>
      </c>
    </row>
    <row r="9" spans="1:10" x14ac:dyDescent="0.25">
      <c r="A9" s="1" t="s">
        <v>31</v>
      </c>
      <c r="B9" s="1" t="s">
        <v>32</v>
      </c>
      <c r="C9" s="1" t="s">
        <v>29</v>
      </c>
      <c r="D9">
        <v>70</v>
      </c>
      <c r="E9">
        <v>0.17</v>
      </c>
      <c r="F9" s="2">
        <v>43923</v>
      </c>
      <c r="G9" s="2" t="str">
        <f>TEXT(LayoffsData[[#This Row],[date]],"yyyy-mm")</f>
        <v>2020-04</v>
      </c>
      <c r="H9" s="1" t="s">
        <v>33</v>
      </c>
      <c r="I9" s="1" t="s">
        <v>17</v>
      </c>
      <c r="J9">
        <v>253</v>
      </c>
    </row>
    <row r="10" spans="1:10" x14ac:dyDescent="0.25">
      <c r="A10" s="1" t="s">
        <v>34</v>
      </c>
      <c r="B10" s="1" t="s">
        <v>35</v>
      </c>
      <c r="C10" s="1" t="s">
        <v>36</v>
      </c>
      <c r="D10">
        <v>90</v>
      </c>
      <c r="E10">
        <v>0.12</v>
      </c>
      <c r="F10" s="2">
        <v>44713</v>
      </c>
      <c r="G10" s="2" t="str">
        <f>TEXT(LayoffsData[[#This Row],[date]],"yyyy-mm")</f>
        <v>2022-06</v>
      </c>
      <c r="H10" s="1" t="s">
        <v>37</v>
      </c>
      <c r="I10" s="1" t="s">
        <v>38</v>
      </c>
      <c r="J10">
        <v>250</v>
      </c>
    </row>
    <row r="11" spans="1:10" x14ac:dyDescent="0.25">
      <c r="A11" s="1" t="s">
        <v>34</v>
      </c>
      <c r="B11" s="1" t="s">
        <v>35</v>
      </c>
      <c r="C11" s="1" t="s">
        <v>36</v>
      </c>
      <c r="D11">
        <v>100</v>
      </c>
      <c r="E11">
        <v>0.15</v>
      </c>
      <c r="F11" s="2">
        <v>44805</v>
      </c>
      <c r="G11" s="2" t="str">
        <f>TEXT(LayoffsData[[#This Row],[date]],"yyyy-mm")</f>
        <v>2022-09</v>
      </c>
      <c r="H11" s="1" t="s">
        <v>37</v>
      </c>
      <c r="I11" s="1" t="s">
        <v>38</v>
      </c>
      <c r="J11">
        <v>250</v>
      </c>
    </row>
    <row r="12" spans="1:10" x14ac:dyDescent="0.25">
      <c r="A12" s="1" t="s">
        <v>39</v>
      </c>
      <c r="B12" s="1" t="s">
        <v>40</v>
      </c>
      <c r="C12" s="1" t="s">
        <v>41</v>
      </c>
      <c r="E12">
        <v>0.2</v>
      </c>
      <c r="F12" s="2">
        <v>44770</v>
      </c>
      <c r="G12" s="2" t="str">
        <f>TEXT(LayoffsData[[#This Row],[date]],"yyyy-mm")</f>
        <v>2022-07</v>
      </c>
      <c r="H12" s="1" t="s">
        <v>11</v>
      </c>
      <c r="I12" s="1" t="s">
        <v>17</v>
      </c>
      <c r="J12">
        <v>426</v>
      </c>
    </row>
    <row r="13" spans="1:10" x14ac:dyDescent="0.25">
      <c r="A13" s="1" t="s">
        <v>42</v>
      </c>
      <c r="B13" s="1" t="s">
        <v>40</v>
      </c>
      <c r="C13" s="1" t="s">
        <v>15</v>
      </c>
      <c r="D13">
        <v>95</v>
      </c>
      <c r="E13">
        <v>0.3</v>
      </c>
      <c r="F13" s="2">
        <v>44802</v>
      </c>
      <c r="G13" s="2" t="str">
        <f>TEXT(LayoffsData[[#This Row],[date]],"yyyy-mm")</f>
        <v>2022-08</v>
      </c>
      <c r="H13" s="1" t="s">
        <v>24</v>
      </c>
      <c r="I13" s="1" t="s">
        <v>17</v>
      </c>
      <c r="J13">
        <v>44</v>
      </c>
    </row>
    <row r="14" spans="1:10" x14ac:dyDescent="0.25">
      <c r="A14" s="1" t="s">
        <v>43</v>
      </c>
      <c r="B14" s="1" t="s">
        <v>44</v>
      </c>
      <c r="C14" s="1" t="s">
        <v>45</v>
      </c>
      <c r="E14">
        <v>0.25</v>
      </c>
      <c r="F14" s="2">
        <v>44715</v>
      </c>
      <c r="G14" s="2" t="str">
        <f>TEXT(LayoffsData[[#This Row],[date]],"yyyy-mm")</f>
        <v>2022-06</v>
      </c>
      <c r="H14" s="1" t="s">
        <v>21</v>
      </c>
      <c r="I14" s="1" t="s">
        <v>46</v>
      </c>
      <c r="J14">
        <v>12</v>
      </c>
    </row>
    <row r="15" spans="1:10" x14ac:dyDescent="0.25">
      <c r="A15" s="1" t="s">
        <v>47</v>
      </c>
      <c r="B15" s="1" t="s">
        <v>14</v>
      </c>
      <c r="C15" s="1" t="s">
        <v>48</v>
      </c>
      <c r="D15">
        <v>150</v>
      </c>
      <c r="E15">
        <v>0.1</v>
      </c>
      <c r="F15" s="2">
        <v>44846</v>
      </c>
      <c r="G15" s="2" t="str">
        <f>TEXT(LayoffsData[[#This Row],[date]],"yyyy-mm")</f>
        <v>2022-10</v>
      </c>
      <c r="H15" s="1" t="s">
        <v>16</v>
      </c>
      <c r="I15" s="1" t="s">
        <v>17</v>
      </c>
      <c r="J15">
        <v>426</v>
      </c>
    </row>
    <row r="16" spans="1:10" x14ac:dyDescent="0.25">
      <c r="A16" s="1" t="s">
        <v>49</v>
      </c>
      <c r="B16" s="1" t="s">
        <v>50</v>
      </c>
      <c r="C16" s="1" t="s">
        <v>51</v>
      </c>
      <c r="E16">
        <v>0.1</v>
      </c>
      <c r="F16" s="2">
        <v>44944</v>
      </c>
      <c r="G16" s="2" t="str">
        <f>TEXT(LayoffsData[[#This Row],[date]],"yyyy-mm")</f>
        <v>2023-01</v>
      </c>
      <c r="H16" s="1" t="s">
        <v>37</v>
      </c>
      <c r="I16" s="1" t="s">
        <v>17</v>
      </c>
      <c r="J16">
        <v>275</v>
      </c>
    </row>
    <row r="17" spans="1:10" x14ac:dyDescent="0.25">
      <c r="A17" s="1" t="s">
        <v>52</v>
      </c>
      <c r="B17" s="1" t="s">
        <v>14</v>
      </c>
      <c r="C17" s="1" t="s">
        <v>53</v>
      </c>
      <c r="D17">
        <v>155</v>
      </c>
      <c r="E17">
        <v>7.0000000000000007E-2</v>
      </c>
      <c r="F17" s="2">
        <v>44944</v>
      </c>
      <c r="G17" s="2" t="str">
        <f>TEXT(LayoffsData[[#This Row],[date]],"yyyy-mm")</f>
        <v>2023-01</v>
      </c>
      <c r="H17" s="1" t="s">
        <v>11</v>
      </c>
      <c r="I17" s="1" t="s">
        <v>17</v>
      </c>
      <c r="J17">
        <v>253</v>
      </c>
    </row>
    <row r="18" spans="1:10" x14ac:dyDescent="0.25">
      <c r="A18" s="1" t="s">
        <v>52</v>
      </c>
      <c r="B18" s="1" t="s">
        <v>14</v>
      </c>
      <c r="C18" s="1" t="s">
        <v>53</v>
      </c>
      <c r="D18">
        <v>200</v>
      </c>
      <c r="E18">
        <v>0.09</v>
      </c>
      <c r="F18" s="2">
        <v>44838</v>
      </c>
      <c r="G18" s="2" t="str">
        <f>TEXT(LayoffsData[[#This Row],[date]],"yyyy-mm")</f>
        <v>2022-10</v>
      </c>
      <c r="H18" s="1" t="s">
        <v>11</v>
      </c>
      <c r="I18" s="1" t="s">
        <v>17</v>
      </c>
      <c r="J18">
        <v>253</v>
      </c>
    </row>
    <row r="19" spans="1:10" x14ac:dyDescent="0.25">
      <c r="A19" s="1" t="s">
        <v>54</v>
      </c>
      <c r="B19" s="1" t="s">
        <v>55</v>
      </c>
      <c r="C19" s="1" t="s">
        <v>15</v>
      </c>
      <c r="E19">
        <v>0.1</v>
      </c>
      <c r="F19" s="2">
        <v>44763</v>
      </c>
      <c r="G19" s="2" t="str">
        <f>TEXT(LayoffsData[[#This Row],[date]],"yyyy-mm")</f>
        <v>2022-07</v>
      </c>
      <c r="H19" s="1" t="s">
        <v>16</v>
      </c>
      <c r="I19" s="1" t="s">
        <v>17</v>
      </c>
      <c r="J19">
        <v>247</v>
      </c>
    </row>
    <row r="20" spans="1:10" x14ac:dyDescent="0.25">
      <c r="A20" s="1" t="s">
        <v>56</v>
      </c>
      <c r="B20" s="1" t="s">
        <v>35</v>
      </c>
      <c r="C20" s="1" t="s">
        <v>10</v>
      </c>
      <c r="D20">
        <v>75</v>
      </c>
      <c r="E20">
        <v>0.02</v>
      </c>
      <c r="F20" s="2">
        <v>44824</v>
      </c>
      <c r="G20" s="2" t="str">
        <f>TEXT(LayoffsData[[#This Row],[date]],"yyyy-mm")</f>
        <v>2022-09</v>
      </c>
      <c r="H20" s="1" t="s">
        <v>57</v>
      </c>
      <c r="I20" s="1" t="s">
        <v>38</v>
      </c>
      <c r="J20">
        <v>244</v>
      </c>
    </row>
    <row r="21" spans="1:10" x14ac:dyDescent="0.25">
      <c r="A21" s="1" t="s">
        <v>58</v>
      </c>
      <c r="B21" s="1" t="s">
        <v>14</v>
      </c>
      <c r="C21" s="1" t="s">
        <v>36</v>
      </c>
      <c r="D21">
        <v>12</v>
      </c>
      <c r="E21">
        <v>0.05</v>
      </c>
      <c r="F21" s="2">
        <v>44742</v>
      </c>
      <c r="G21" s="2" t="str">
        <f>TEXT(LayoffsData[[#This Row],[date]],"yyyy-mm")</f>
        <v>2022-06</v>
      </c>
      <c r="H21" s="1" t="s">
        <v>28</v>
      </c>
      <c r="I21" s="1" t="s">
        <v>17</v>
      </c>
      <c r="J21">
        <v>106</v>
      </c>
    </row>
    <row r="22" spans="1:10" x14ac:dyDescent="0.25">
      <c r="A22" s="1" t="s">
        <v>59</v>
      </c>
      <c r="B22" s="1" t="s">
        <v>60</v>
      </c>
      <c r="C22" s="1" t="s">
        <v>15</v>
      </c>
      <c r="D22">
        <v>40</v>
      </c>
      <c r="F22" s="2">
        <v>44782</v>
      </c>
      <c r="G22" s="2" t="str">
        <f>TEXT(LayoffsData[[#This Row],[date]],"yyyy-mm")</f>
        <v>2022-08</v>
      </c>
      <c r="H22" s="1" t="s">
        <v>11</v>
      </c>
      <c r="I22" s="1" t="s">
        <v>17</v>
      </c>
      <c r="J22">
        <v>237</v>
      </c>
    </row>
    <row r="23" spans="1:10" x14ac:dyDescent="0.25">
      <c r="A23" s="1" t="s">
        <v>61</v>
      </c>
      <c r="B23" s="1" t="s">
        <v>62</v>
      </c>
      <c r="C23" s="1" t="s">
        <v>63</v>
      </c>
      <c r="D23">
        <v>70</v>
      </c>
      <c r="E23">
        <v>0.15</v>
      </c>
      <c r="F23" s="2">
        <v>44819</v>
      </c>
      <c r="G23" s="2" t="str">
        <f>TEXT(LayoffsData[[#This Row],[date]],"yyyy-mm")</f>
        <v>2022-09</v>
      </c>
      <c r="H23" s="1" t="s">
        <v>11</v>
      </c>
      <c r="I23" s="1" t="s">
        <v>64</v>
      </c>
      <c r="J23">
        <v>126</v>
      </c>
    </row>
    <row r="24" spans="1:10" x14ac:dyDescent="0.25">
      <c r="A24" s="1" t="s">
        <v>65</v>
      </c>
      <c r="B24" s="1" t="s">
        <v>55</v>
      </c>
      <c r="C24" s="1" t="s">
        <v>15</v>
      </c>
      <c r="F24" s="2">
        <v>44988</v>
      </c>
      <c r="G24" s="2" t="str">
        <f>TEXT(LayoffsData[[#This Row],[date]],"yyyy-mm")</f>
        <v>2023-03</v>
      </c>
      <c r="H24" s="1" t="s">
        <v>11</v>
      </c>
      <c r="I24" s="1" t="s">
        <v>17</v>
      </c>
      <c r="J24">
        <v>458</v>
      </c>
    </row>
    <row r="25" spans="1:10" x14ac:dyDescent="0.25">
      <c r="A25" s="1" t="s">
        <v>66</v>
      </c>
      <c r="B25" s="1" t="s">
        <v>67</v>
      </c>
      <c r="C25" s="1" t="s">
        <v>68</v>
      </c>
      <c r="D25">
        <v>45</v>
      </c>
      <c r="E25">
        <v>0.09</v>
      </c>
      <c r="F25" s="2">
        <v>43922</v>
      </c>
      <c r="G25" s="2" t="str">
        <f>TEXT(LayoffsData[[#This Row],[date]],"yyyy-mm")</f>
        <v>2020-04</v>
      </c>
      <c r="H25" s="1" t="s">
        <v>37</v>
      </c>
      <c r="I25" s="1" t="s">
        <v>69</v>
      </c>
      <c r="J25">
        <v>143</v>
      </c>
    </row>
    <row r="26" spans="1:10" x14ac:dyDescent="0.25">
      <c r="A26" s="1" t="s">
        <v>70</v>
      </c>
      <c r="B26" s="1" t="s">
        <v>71</v>
      </c>
      <c r="C26" s="1" t="s">
        <v>68</v>
      </c>
      <c r="D26">
        <v>50</v>
      </c>
      <c r="F26" s="2">
        <v>43977</v>
      </c>
      <c r="G26" s="2" t="str">
        <f>TEXT(LayoffsData[[#This Row],[date]],"yyyy-mm")</f>
        <v>2020-05</v>
      </c>
      <c r="H26" s="1" t="s">
        <v>37</v>
      </c>
      <c r="I26" s="1" t="s">
        <v>17</v>
      </c>
      <c r="J26">
        <v>207</v>
      </c>
    </row>
    <row r="27" spans="1:10" x14ac:dyDescent="0.25">
      <c r="A27" s="1" t="s">
        <v>72</v>
      </c>
      <c r="B27" s="1" t="s">
        <v>73</v>
      </c>
      <c r="C27" s="1" t="s">
        <v>74</v>
      </c>
      <c r="D27">
        <v>54</v>
      </c>
      <c r="F27" s="2">
        <v>44181</v>
      </c>
      <c r="G27" s="2" t="str">
        <f>TEXT(LayoffsData[[#This Row],[date]],"yyyy-mm")</f>
        <v>2020-12</v>
      </c>
      <c r="H27" s="1" t="s">
        <v>57</v>
      </c>
      <c r="I27" s="1" t="s">
        <v>17</v>
      </c>
      <c r="J27">
        <v>352</v>
      </c>
    </row>
    <row r="28" spans="1:10" x14ac:dyDescent="0.25">
      <c r="A28" s="1" t="s">
        <v>75</v>
      </c>
      <c r="B28" s="1" t="s">
        <v>76</v>
      </c>
      <c r="C28" s="1" t="s">
        <v>20</v>
      </c>
      <c r="E28">
        <v>0.15</v>
      </c>
      <c r="F28" s="2">
        <v>44837</v>
      </c>
      <c r="G28" s="2" t="str">
        <f>TEXT(LayoffsData[[#This Row],[date]],"yyyy-mm")</f>
        <v>2022-10</v>
      </c>
      <c r="H28" s="1" t="s">
        <v>28</v>
      </c>
      <c r="I28" s="1" t="s">
        <v>17</v>
      </c>
      <c r="J28">
        <v>360</v>
      </c>
    </row>
    <row r="29" spans="1:10" x14ac:dyDescent="0.25">
      <c r="A29" s="1" t="s">
        <v>77</v>
      </c>
      <c r="B29" s="1" t="s">
        <v>9</v>
      </c>
      <c r="C29" s="1" t="s">
        <v>53</v>
      </c>
      <c r="F29" s="2">
        <v>44958</v>
      </c>
      <c r="G29" s="2" t="str">
        <f>TEXT(LayoffsData[[#This Row],[date]],"yyyy-mm")</f>
        <v>2023-02</v>
      </c>
      <c r="H29" s="1" t="s">
        <v>28</v>
      </c>
      <c r="I29" s="1" t="s">
        <v>12</v>
      </c>
      <c r="J29">
        <v>190</v>
      </c>
    </row>
    <row r="30" spans="1:10" x14ac:dyDescent="0.25">
      <c r="A30" s="1" t="s">
        <v>77</v>
      </c>
      <c r="B30" s="1" t="s">
        <v>9</v>
      </c>
      <c r="C30" s="1" t="s">
        <v>53</v>
      </c>
      <c r="D30">
        <v>78</v>
      </c>
      <c r="E30">
        <v>0.16</v>
      </c>
      <c r="F30" s="2">
        <v>44824</v>
      </c>
      <c r="G30" s="2" t="str">
        <f>TEXT(LayoffsData[[#This Row],[date]],"yyyy-mm")</f>
        <v>2022-09</v>
      </c>
      <c r="H30" s="1" t="s">
        <v>28</v>
      </c>
      <c r="I30" s="1" t="s">
        <v>12</v>
      </c>
      <c r="J30">
        <v>190</v>
      </c>
    </row>
    <row r="31" spans="1:10" x14ac:dyDescent="0.25">
      <c r="A31" s="1" t="s">
        <v>78</v>
      </c>
      <c r="B31" s="1" t="s">
        <v>79</v>
      </c>
      <c r="C31" s="1" t="s">
        <v>15</v>
      </c>
      <c r="D31">
        <v>50</v>
      </c>
      <c r="F31" s="2">
        <v>44851</v>
      </c>
      <c r="G31" s="2" t="str">
        <f>TEXT(LayoffsData[[#This Row],[date]],"yyyy-mm")</f>
        <v>2022-10</v>
      </c>
      <c r="H31" s="1" t="s">
        <v>24</v>
      </c>
      <c r="I31" s="1" t="s">
        <v>80</v>
      </c>
      <c r="J31">
        <v>189</v>
      </c>
    </row>
    <row r="32" spans="1:10" x14ac:dyDescent="0.25">
      <c r="A32" s="1" t="s">
        <v>81</v>
      </c>
      <c r="B32" s="1" t="s">
        <v>9</v>
      </c>
      <c r="C32" s="1" t="s">
        <v>53</v>
      </c>
      <c r="D32">
        <v>36</v>
      </c>
      <c r="E32">
        <v>0.23</v>
      </c>
      <c r="F32" s="2">
        <v>43945</v>
      </c>
      <c r="G32" s="2" t="str">
        <f>TEXT(LayoffsData[[#This Row],[date]],"yyyy-mm")</f>
        <v>2020-04</v>
      </c>
      <c r="H32" s="1" t="s">
        <v>24</v>
      </c>
      <c r="I32" s="1" t="s">
        <v>12</v>
      </c>
      <c r="J32">
        <v>60</v>
      </c>
    </row>
    <row r="33" spans="1:10" x14ac:dyDescent="0.25">
      <c r="A33" s="1" t="s">
        <v>82</v>
      </c>
      <c r="B33" s="1" t="s">
        <v>55</v>
      </c>
      <c r="C33" s="1" t="s">
        <v>15</v>
      </c>
      <c r="D33">
        <v>100</v>
      </c>
      <c r="E33">
        <v>0.12</v>
      </c>
      <c r="F33" s="2">
        <v>44628</v>
      </c>
      <c r="G33" s="2" t="str">
        <f>TEXT(LayoffsData[[#This Row],[date]],"yyyy-mm")</f>
        <v>2022-03</v>
      </c>
      <c r="H33" s="1" t="s">
        <v>11</v>
      </c>
      <c r="I33" s="1" t="s">
        <v>17</v>
      </c>
      <c r="J33">
        <v>406</v>
      </c>
    </row>
    <row r="34" spans="1:10" x14ac:dyDescent="0.25">
      <c r="A34" s="1" t="s">
        <v>83</v>
      </c>
      <c r="B34" s="1" t="s">
        <v>14</v>
      </c>
      <c r="C34" s="1" t="s">
        <v>84</v>
      </c>
      <c r="F34" s="2">
        <v>43921</v>
      </c>
      <c r="G34" s="2" t="str">
        <f>TEXT(LayoffsData[[#This Row],[date]],"yyyy-mm")</f>
        <v>2020-03</v>
      </c>
      <c r="H34" s="1" t="s">
        <v>28</v>
      </c>
      <c r="I34" s="1" t="s">
        <v>17</v>
      </c>
      <c r="J34">
        <v>67</v>
      </c>
    </row>
    <row r="35" spans="1:10" x14ac:dyDescent="0.25">
      <c r="A35" s="1" t="s">
        <v>85</v>
      </c>
      <c r="B35" s="1" t="s">
        <v>14</v>
      </c>
      <c r="C35" s="1" t="s">
        <v>68</v>
      </c>
      <c r="D35">
        <v>20</v>
      </c>
      <c r="E35">
        <v>0.03</v>
      </c>
      <c r="F35" s="2">
        <v>44944</v>
      </c>
      <c r="G35" s="2" t="str">
        <f>TEXT(LayoffsData[[#This Row],[date]],"yyyy-mm")</f>
        <v>2023-01</v>
      </c>
      <c r="H35" s="1" t="s">
        <v>86</v>
      </c>
      <c r="I35" s="1" t="s">
        <v>17</v>
      </c>
      <c r="J35">
        <v>491</v>
      </c>
    </row>
    <row r="36" spans="1:10" x14ac:dyDescent="0.25">
      <c r="A36" s="1" t="s">
        <v>87</v>
      </c>
      <c r="B36" s="1" t="s">
        <v>88</v>
      </c>
      <c r="C36" s="1" t="s">
        <v>68</v>
      </c>
      <c r="F36" s="2">
        <v>44726</v>
      </c>
      <c r="G36" s="2" t="str">
        <f>TEXT(LayoffsData[[#This Row],[date]],"yyyy-mm")</f>
        <v>2022-06</v>
      </c>
      <c r="H36" s="1" t="s">
        <v>28</v>
      </c>
      <c r="I36" s="1" t="s">
        <v>89</v>
      </c>
      <c r="J36">
        <v>376</v>
      </c>
    </row>
    <row r="37" spans="1:10" x14ac:dyDescent="0.25">
      <c r="A37" s="1" t="s">
        <v>90</v>
      </c>
      <c r="B37" s="1" t="s">
        <v>14</v>
      </c>
      <c r="C37" s="1" t="s">
        <v>20</v>
      </c>
      <c r="D37">
        <v>100</v>
      </c>
      <c r="F37" s="2">
        <v>44901</v>
      </c>
      <c r="G37" s="2" t="str">
        <f>TEXT(LayoffsData[[#This Row],[date]],"yyyy-mm")</f>
        <v>2022-12</v>
      </c>
      <c r="H37" s="1" t="s">
        <v>11</v>
      </c>
      <c r="I37" s="1" t="s">
        <v>17</v>
      </c>
      <c r="J37">
        <v>2</v>
      </c>
    </row>
    <row r="38" spans="1:10" x14ac:dyDescent="0.25">
      <c r="A38" s="1" t="s">
        <v>91</v>
      </c>
      <c r="B38" s="1" t="s">
        <v>92</v>
      </c>
      <c r="C38" s="1" t="s">
        <v>20</v>
      </c>
      <c r="D38">
        <v>210</v>
      </c>
      <c r="E38">
        <v>0.3</v>
      </c>
      <c r="F38" s="2">
        <v>43921</v>
      </c>
      <c r="G38" s="2" t="str">
        <f>TEXT(LayoffsData[[#This Row],[date]],"yyyy-mm")</f>
        <v>2020-03</v>
      </c>
      <c r="H38" s="1" t="s">
        <v>28</v>
      </c>
      <c r="I38" s="1" t="s">
        <v>17</v>
      </c>
      <c r="J38">
        <v>89</v>
      </c>
    </row>
    <row r="39" spans="1:10" x14ac:dyDescent="0.25">
      <c r="A39" s="1" t="s">
        <v>93</v>
      </c>
      <c r="B39" s="1" t="s">
        <v>55</v>
      </c>
      <c r="C39" s="1" t="s">
        <v>15</v>
      </c>
      <c r="D39">
        <v>32</v>
      </c>
      <c r="E39">
        <v>0.21</v>
      </c>
      <c r="F39" s="2">
        <v>44862</v>
      </c>
      <c r="G39" s="2" t="str">
        <f>TEXT(LayoffsData[[#This Row],[date]],"yyyy-mm")</f>
        <v>2022-10</v>
      </c>
      <c r="H39" s="1" t="s">
        <v>94</v>
      </c>
      <c r="I39" s="1" t="s">
        <v>17</v>
      </c>
    </row>
    <row r="40" spans="1:10" x14ac:dyDescent="0.25">
      <c r="A40" s="1" t="s">
        <v>95</v>
      </c>
      <c r="B40" s="1" t="s">
        <v>96</v>
      </c>
      <c r="C40" s="1" t="s">
        <v>20</v>
      </c>
      <c r="D40">
        <v>40</v>
      </c>
      <c r="F40" s="2">
        <v>44749</v>
      </c>
      <c r="G40" s="2" t="str">
        <f>TEXT(LayoffsData[[#This Row],[date]],"yyyy-mm")</f>
        <v>2022-07</v>
      </c>
      <c r="H40" s="1" t="s">
        <v>37</v>
      </c>
      <c r="I40" s="1" t="s">
        <v>17</v>
      </c>
      <c r="J40">
        <v>20</v>
      </c>
    </row>
    <row r="41" spans="1:10" x14ac:dyDescent="0.25">
      <c r="A41" s="1" t="s">
        <v>97</v>
      </c>
      <c r="B41" s="1" t="s">
        <v>14</v>
      </c>
      <c r="C41" s="1" t="s">
        <v>68</v>
      </c>
      <c r="E41">
        <v>0.01</v>
      </c>
      <c r="F41" s="2">
        <v>44868</v>
      </c>
      <c r="G41" s="2" t="str">
        <f>TEXT(LayoffsData[[#This Row],[date]],"yyyy-mm")</f>
        <v>2022-11</v>
      </c>
      <c r="H41" s="1" t="s">
        <v>11</v>
      </c>
      <c r="I41" s="1" t="s">
        <v>17</v>
      </c>
      <c r="J41">
        <v>1500</v>
      </c>
    </row>
    <row r="42" spans="1:10" x14ac:dyDescent="0.25">
      <c r="A42" s="1" t="s">
        <v>97</v>
      </c>
      <c r="B42" s="1" t="s">
        <v>14</v>
      </c>
      <c r="C42" s="1" t="s">
        <v>68</v>
      </c>
      <c r="D42">
        <v>500</v>
      </c>
      <c r="E42">
        <v>0.19</v>
      </c>
      <c r="F42" s="2">
        <v>44965</v>
      </c>
      <c r="G42" s="2" t="str">
        <f>TEXT(LayoffsData[[#This Row],[date]],"yyyy-mm")</f>
        <v>2023-02</v>
      </c>
      <c r="H42" s="1" t="s">
        <v>11</v>
      </c>
      <c r="I42" s="1" t="s">
        <v>17</v>
      </c>
      <c r="J42">
        <v>1500</v>
      </c>
    </row>
    <row r="43" spans="1:10" x14ac:dyDescent="0.25">
      <c r="A43" s="1" t="s">
        <v>98</v>
      </c>
      <c r="B43" s="1" t="s">
        <v>99</v>
      </c>
      <c r="C43" s="1" t="s">
        <v>27</v>
      </c>
      <c r="D43">
        <v>60</v>
      </c>
      <c r="E43">
        <v>0.2</v>
      </c>
      <c r="F43" s="2">
        <v>44715</v>
      </c>
      <c r="G43" s="2" t="str">
        <f>TEXT(LayoffsData[[#This Row],[date]],"yyyy-mm")</f>
        <v>2022-06</v>
      </c>
      <c r="H43" s="1" t="s">
        <v>37</v>
      </c>
      <c r="I43" s="1" t="s">
        <v>38</v>
      </c>
    </row>
    <row r="44" spans="1:10" x14ac:dyDescent="0.25">
      <c r="A44" s="1" t="s">
        <v>100</v>
      </c>
      <c r="B44" s="1" t="s">
        <v>101</v>
      </c>
      <c r="C44" s="1" t="s">
        <v>84</v>
      </c>
      <c r="D44">
        <v>1500</v>
      </c>
      <c r="E44">
        <v>0.25</v>
      </c>
      <c r="F44" s="2">
        <v>43969</v>
      </c>
      <c r="G44" s="2" t="str">
        <f>TEXT(LayoffsData[[#This Row],[date]],"yyyy-mm")</f>
        <v>2020-05</v>
      </c>
      <c r="H44" s="1" t="s">
        <v>57</v>
      </c>
      <c r="I44" s="1" t="s">
        <v>101</v>
      </c>
    </row>
    <row r="45" spans="1:10" x14ac:dyDescent="0.25">
      <c r="A45" s="1" t="s">
        <v>102</v>
      </c>
      <c r="B45" s="1" t="s">
        <v>14</v>
      </c>
      <c r="C45" s="1" t="s">
        <v>15</v>
      </c>
      <c r="D45">
        <v>44</v>
      </c>
      <c r="E45">
        <v>1</v>
      </c>
      <c r="F45" s="2">
        <v>44665</v>
      </c>
      <c r="G45" s="2" t="str">
        <f>TEXT(LayoffsData[[#This Row],[date]],"yyyy-mm")</f>
        <v>2022-04</v>
      </c>
      <c r="H45" s="1" t="s">
        <v>37</v>
      </c>
      <c r="I45" s="1" t="s">
        <v>17</v>
      </c>
      <c r="J45">
        <v>9</v>
      </c>
    </row>
    <row r="46" spans="1:10" x14ac:dyDescent="0.25">
      <c r="A46" s="1" t="s">
        <v>103</v>
      </c>
      <c r="B46" s="1" t="s">
        <v>32</v>
      </c>
      <c r="C46" s="1" t="s">
        <v>20</v>
      </c>
      <c r="E46">
        <v>0.16</v>
      </c>
      <c r="F46" s="2">
        <v>44090</v>
      </c>
      <c r="G46" s="2" t="str">
        <f>TEXT(LayoffsData[[#This Row],[date]],"yyyy-mm")</f>
        <v>2020-09</v>
      </c>
      <c r="H46" s="1" t="s">
        <v>21</v>
      </c>
      <c r="I46" s="1" t="s">
        <v>17</v>
      </c>
      <c r="J46">
        <v>18</v>
      </c>
    </row>
    <row r="47" spans="1:10" x14ac:dyDescent="0.25">
      <c r="A47" s="1" t="s">
        <v>104</v>
      </c>
      <c r="B47" s="1" t="s">
        <v>14</v>
      </c>
      <c r="C47" s="1" t="s">
        <v>84</v>
      </c>
      <c r="D47">
        <v>30</v>
      </c>
      <c r="F47" s="2">
        <v>44988</v>
      </c>
      <c r="G47" s="2" t="str">
        <f>TEXT(LayoffsData[[#This Row],[date]],"yyyy-mm")</f>
        <v>2023-03</v>
      </c>
      <c r="H47" s="1" t="s">
        <v>11</v>
      </c>
      <c r="I47" s="1" t="s">
        <v>17</v>
      </c>
      <c r="J47">
        <v>6400</v>
      </c>
    </row>
    <row r="48" spans="1:10" x14ac:dyDescent="0.25">
      <c r="A48" s="1" t="s">
        <v>104</v>
      </c>
      <c r="B48" s="1" t="s">
        <v>14</v>
      </c>
      <c r="C48" s="1" t="s">
        <v>84</v>
      </c>
      <c r="D48">
        <v>1900</v>
      </c>
      <c r="E48">
        <v>0.25</v>
      </c>
      <c r="F48" s="2">
        <v>43956</v>
      </c>
      <c r="G48" s="2" t="str">
        <f>TEXT(LayoffsData[[#This Row],[date]],"yyyy-mm")</f>
        <v>2020-05</v>
      </c>
      <c r="H48" s="1" t="s">
        <v>105</v>
      </c>
      <c r="I48" s="1" t="s">
        <v>17</v>
      </c>
      <c r="J48">
        <v>5400</v>
      </c>
    </row>
    <row r="49" spans="1:10" x14ac:dyDescent="0.25">
      <c r="A49" s="1" t="s">
        <v>106</v>
      </c>
      <c r="B49" s="1" t="s">
        <v>107</v>
      </c>
      <c r="C49" s="1" t="s">
        <v>108</v>
      </c>
      <c r="E49">
        <v>0.31</v>
      </c>
      <c r="F49" s="2">
        <v>44706</v>
      </c>
      <c r="G49" s="2" t="str">
        <f>TEXT(LayoffsData[[#This Row],[date]],"yyyy-mm")</f>
        <v>2022-05</v>
      </c>
      <c r="H49" s="1" t="s">
        <v>24</v>
      </c>
      <c r="I49" s="1" t="s">
        <v>109</v>
      </c>
      <c r="J49">
        <v>109</v>
      </c>
    </row>
    <row r="50" spans="1:10" x14ac:dyDescent="0.25">
      <c r="A50" s="1" t="s">
        <v>106</v>
      </c>
      <c r="B50" s="1" t="s">
        <v>107</v>
      </c>
      <c r="C50" s="1" t="s">
        <v>108</v>
      </c>
      <c r="E50">
        <v>1</v>
      </c>
      <c r="F50" s="2">
        <v>44754</v>
      </c>
      <c r="G50" s="2" t="str">
        <f>TEXT(LayoffsData[[#This Row],[date]],"yyyy-mm")</f>
        <v>2022-07</v>
      </c>
      <c r="H50" s="1" t="s">
        <v>24</v>
      </c>
      <c r="I50" s="1" t="s">
        <v>109</v>
      </c>
      <c r="J50">
        <v>109</v>
      </c>
    </row>
    <row r="51" spans="1:10" x14ac:dyDescent="0.25">
      <c r="A51" s="1" t="s">
        <v>110</v>
      </c>
      <c r="B51" s="1" t="s">
        <v>26</v>
      </c>
      <c r="C51" s="1" t="s">
        <v>111</v>
      </c>
      <c r="F51" s="2">
        <v>43951</v>
      </c>
      <c r="G51" s="2" t="str">
        <f>TEXT(LayoffsData[[#This Row],[date]],"yyyy-mm")</f>
        <v>2020-04</v>
      </c>
      <c r="H51" s="1" t="s">
        <v>37</v>
      </c>
      <c r="I51" s="1" t="s">
        <v>17</v>
      </c>
      <c r="J51">
        <v>75</v>
      </c>
    </row>
    <row r="52" spans="1:10" x14ac:dyDescent="0.25">
      <c r="A52" s="1" t="s">
        <v>112</v>
      </c>
      <c r="B52" s="1" t="s">
        <v>14</v>
      </c>
      <c r="C52" s="1" t="s">
        <v>113</v>
      </c>
      <c r="D52">
        <v>254</v>
      </c>
      <c r="E52">
        <v>0.2</v>
      </c>
      <c r="F52" s="2">
        <v>44903</v>
      </c>
      <c r="G52" s="2" t="str">
        <f>TEXT(LayoffsData[[#This Row],[date]],"yyyy-mm")</f>
        <v>2022-12</v>
      </c>
      <c r="H52" s="1" t="s">
        <v>86</v>
      </c>
      <c r="I52" s="1" t="s">
        <v>17</v>
      </c>
      <c r="J52">
        <v>1400</v>
      </c>
    </row>
    <row r="53" spans="1:10" x14ac:dyDescent="0.25">
      <c r="A53" s="1" t="s">
        <v>114</v>
      </c>
      <c r="B53" s="1" t="s">
        <v>115</v>
      </c>
      <c r="C53" s="1" t="s">
        <v>27</v>
      </c>
      <c r="D53">
        <v>15</v>
      </c>
      <c r="F53" s="2">
        <v>44727</v>
      </c>
      <c r="G53" s="2" t="str">
        <f>TEXT(LayoffsData[[#This Row],[date]],"yyyy-mm")</f>
        <v>2022-06</v>
      </c>
      <c r="H53" s="1" t="s">
        <v>37</v>
      </c>
      <c r="I53" s="1" t="s">
        <v>116</v>
      </c>
      <c r="J53">
        <v>7</v>
      </c>
    </row>
    <row r="54" spans="1:10" x14ac:dyDescent="0.25">
      <c r="A54" s="1" t="s">
        <v>117</v>
      </c>
      <c r="B54" s="1" t="s">
        <v>44</v>
      </c>
      <c r="C54" s="1" t="s">
        <v>27</v>
      </c>
      <c r="F54" s="2">
        <v>44746</v>
      </c>
      <c r="G54" s="2" t="str">
        <f>TEXT(LayoffsData[[#This Row],[date]],"yyyy-mm")</f>
        <v>2022-07</v>
      </c>
      <c r="H54" s="1" t="s">
        <v>28</v>
      </c>
      <c r="I54" s="1" t="s">
        <v>46</v>
      </c>
      <c r="J54">
        <v>26</v>
      </c>
    </row>
    <row r="55" spans="1:10" x14ac:dyDescent="0.25">
      <c r="A55" s="1" t="s">
        <v>118</v>
      </c>
      <c r="B55" s="1" t="s">
        <v>32</v>
      </c>
      <c r="C55" s="1" t="s">
        <v>27</v>
      </c>
      <c r="D55">
        <v>30</v>
      </c>
      <c r="E55">
        <v>0.2</v>
      </c>
      <c r="F55" s="2">
        <v>44704</v>
      </c>
      <c r="G55" s="2" t="str">
        <f>TEXT(LayoffsData[[#This Row],[date]],"yyyy-mm")</f>
        <v>2022-05</v>
      </c>
      <c r="H55" s="1" t="s">
        <v>24</v>
      </c>
      <c r="I55" s="1" t="s">
        <v>17</v>
      </c>
      <c r="J55">
        <v>33</v>
      </c>
    </row>
    <row r="56" spans="1:10" x14ac:dyDescent="0.25">
      <c r="A56" s="1" t="s">
        <v>119</v>
      </c>
      <c r="B56" s="1" t="s">
        <v>120</v>
      </c>
      <c r="C56" s="1" t="s">
        <v>84</v>
      </c>
      <c r="E56">
        <v>0.7</v>
      </c>
      <c r="F56" s="2">
        <v>43943</v>
      </c>
      <c r="G56" s="2" t="str">
        <f>TEXT(LayoffsData[[#This Row],[date]],"yyyy-mm")</f>
        <v>2020-04</v>
      </c>
      <c r="H56" s="1" t="s">
        <v>37</v>
      </c>
      <c r="I56" s="1" t="s">
        <v>121</v>
      </c>
    </row>
    <row r="57" spans="1:10" x14ac:dyDescent="0.25">
      <c r="A57" s="1" t="s">
        <v>119</v>
      </c>
      <c r="B57" s="1" t="s">
        <v>120</v>
      </c>
      <c r="C57" s="1" t="s">
        <v>84</v>
      </c>
      <c r="E57">
        <v>1</v>
      </c>
      <c r="F57" s="2">
        <v>43958</v>
      </c>
      <c r="G57" s="2" t="str">
        <f>TEXT(LayoffsData[[#This Row],[date]],"yyyy-mm")</f>
        <v>2020-05</v>
      </c>
      <c r="H57" s="1" t="s">
        <v>37</v>
      </c>
      <c r="I57" s="1" t="s">
        <v>121</v>
      </c>
    </row>
    <row r="58" spans="1:10" x14ac:dyDescent="0.25">
      <c r="A58" s="1" t="s">
        <v>122</v>
      </c>
      <c r="B58" s="1" t="s">
        <v>123</v>
      </c>
      <c r="C58" s="1" t="s">
        <v>124</v>
      </c>
      <c r="E58">
        <v>0.2</v>
      </c>
      <c r="F58" s="2">
        <v>44944</v>
      </c>
      <c r="G58" s="2" t="str">
        <f>TEXT(LayoffsData[[#This Row],[date]],"yyyy-mm")</f>
        <v>2023-01</v>
      </c>
      <c r="H58" s="1" t="s">
        <v>33</v>
      </c>
      <c r="I58" s="1" t="s">
        <v>125</v>
      </c>
      <c r="J58">
        <v>420</v>
      </c>
    </row>
    <row r="59" spans="1:10" x14ac:dyDescent="0.25">
      <c r="A59" s="1" t="s">
        <v>126</v>
      </c>
      <c r="B59" s="1" t="s">
        <v>120</v>
      </c>
      <c r="C59" s="1" t="s">
        <v>68</v>
      </c>
      <c r="D59">
        <v>67</v>
      </c>
      <c r="E59">
        <v>0.08</v>
      </c>
      <c r="F59" s="2">
        <v>44893</v>
      </c>
      <c r="G59" s="2" t="str">
        <f>TEXT(LayoffsData[[#This Row],[date]],"yyyy-mm")</f>
        <v>2022-11</v>
      </c>
      <c r="H59" s="1" t="s">
        <v>37</v>
      </c>
      <c r="I59" s="1" t="s">
        <v>121</v>
      </c>
      <c r="J59">
        <v>245</v>
      </c>
    </row>
    <row r="60" spans="1:10" x14ac:dyDescent="0.25">
      <c r="A60" s="1" t="s">
        <v>127</v>
      </c>
      <c r="B60" s="1" t="s">
        <v>128</v>
      </c>
      <c r="C60" s="1" t="s">
        <v>108</v>
      </c>
      <c r="F60" s="2">
        <v>44708</v>
      </c>
      <c r="G60" s="2" t="str">
        <f>TEXT(LayoffsData[[#This Row],[date]],"yyyy-mm")</f>
        <v>2022-05</v>
      </c>
      <c r="H60" s="1" t="s">
        <v>37</v>
      </c>
      <c r="I60" s="1" t="s">
        <v>17</v>
      </c>
      <c r="J60">
        <v>46</v>
      </c>
    </row>
    <row r="61" spans="1:10" x14ac:dyDescent="0.25">
      <c r="A61" s="1" t="s">
        <v>127</v>
      </c>
      <c r="B61" s="1" t="s">
        <v>128</v>
      </c>
      <c r="C61" s="1" t="s">
        <v>108</v>
      </c>
      <c r="F61" s="2">
        <v>44076</v>
      </c>
      <c r="G61" s="2" t="str">
        <f>TEXT(LayoffsData[[#This Row],[date]],"yyyy-mm")</f>
        <v>2020-09</v>
      </c>
      <c r="H61" s="1" t="s">
        <v>11</v>
      </c>
      <c r="I61" s="1" t="s">
        <v>17</v>
      </c>
    </row>
    <row r="62" spans="1:10" x14ac:dyDescent="0.25">
      <c r="A62" s="1" t="s">
        <v>129</v>
      </c>
      <c r="B62" s="1" t="s">
        <v>130</v>
      </c>
      <c r="C62" s="1" t="s">
        <v>15</v>
      </c>
      <c r="D62">
        <v>46</v>
      </c>
      <c r="E62">
        <v>0.3</v>
      </c>
      <c r="F62" s="2">
        <v>44938</v>
      </c>
      <c r="G62" s="2" t="str">
        <f>TEXT(LayoffsData[[#This Row],[date]],"yyyy-mm")</f>
        <v>2023-01</v>
      </c>
      <c r="H62" s="1" t="s">
        <v>131</v>
      </c>
      <c r="I62" s="1" t="s">
        <v>17</v>
      </c>
    </row>
    <row r="63" spans="1:10" x14ac:dyDescent="0.25">
      <c r="A63" s="1" t="s">
        <v>132</v>
      </c>
      <c r="B63" s="1" t="s">
        <v>120</v>
      </c>
      <c r="C63" s="1" t="s">
        <v>68</v>
      </c>
      <c r="D63">
        <v>100</v>
      </c>
      <c r="F63" s="2">
        <v>43936</v>
      </c>
      <c r="G63" s="2" t="str">
        <f>TEXT(LayoffsData[[#This Row],[date]],"yyyy-mm")</f>
        <v>2020-04</v>
      </c>
      <c r="H63" s="1" t="s">
        <v>33</v>
      </c>
      <c r="I63" s="1" t="s">
        <v>121</v>
      </c>
      <c r="J63">
        <v>160</v>
      </c>
    </row>
    <row r="64" spans="1:10" x14ac:dyDescent="0.25">
      <c r="A64" s="1" t="s">
        <v>133</v>
      </c>
      <c r="B64" s="1" t="s">
        <v>134</v>
      </c>
      <c r="C64" s="1" t="s">
        <v>15</v>
      </c>
      <c r="D64">
        <v>80</v>
      </c>
      <c r="E64">
        <v>0.14000000000000001</v>
      </c>
      <c r="F64" s="2">
        <v>44789</v>
      </c>
      <c r="G64" s="2" t="str">
        <f>TEXT(LayoffsData[[#This Row],[date]],"yyyy-mm")</f>
        <v>2022-08</v>
      </c>
      <c r="H64" s="1" t="s">
        <v>33</v>
      </c>
      <c r="I64" s="1" t="s">
        <v>12</v>
      </c>
      <c r="J64">
        <v>293</v>
      </c>
    </row>
    <row r="65" spans="1:10" x14ac:dyDescent="0.25">
      <c r="A65" s="1" t="s">
        <v>135</v>
      </c>
      <c r="B65" s="1" t="s">
        <v>26</v>
      </c>
      <c r="C65" s="1" t="s">
        <v>68</v>
      </c>
      <c r="D65">
        <v>20</v>
      </c>
      <c r="E65">
        <v>0.08</v>
      </c>
      <c r="F65" s="2">
        <v>44722</v>
      </c>
      <c r="G65" s="2" t="str">
        <f>TEXT(LayoffsData[[#This Row],[date]],"yyyy-mm")</f>
        <v>2022-06</v>
      </c>
      <c r="H65" s="1" t="s">
        <v>28</v>
      </c>
      <c r="I65" s="1" t="s">
        <v>17</v>
      </c>
      <c r="J65">
        <v>175</v>
      </c>
    </row>
    <row r="66" spans="1:10" x14ac:dyDescent="0.25">
      <c r="A66" s="1" t="s">
        <v>136</v>
      </c>
      <c r="B66" s="1" t="s">
        <v>137</v>
      </c>
      <c r="C66" s="1" t="s">
        <v>74</v>
      </c>
      <c r="F66" s="2">
        <v>43924</v>
      </c>
      <c r="G66" s="2" t="str">
        <f>TEXT(LayoffsData[[#This Row],[date]],"yyyy-mm")</f>
        <v>2020-04</v>
      </c>
      <c r="H66" s="1" t="s">
        <v>21</v>
      </c>
      <c r="I66" s="1" t="s">
        <v>17</v>
      </c>
      <c r="J66">
        <v>16</v>
      </c>
    </row>
    <row r="67" spans="1:10" x14ac:dyDescent="0.25">
      <c r="A67" s="1" t="s">
        <v>138</v>
      </c>
      <c r="B67" s="1" t="s">
        <v>139</v>
      </c>
      <c r="C67" s="1" t="s">
        <v>29</v>
      </c>
      <c r="F67" s="2">
        <v>44806</v>
      </c>
      <c r="G67" s="2" t="str">
        <f>TEXT(LayoffsData[[#This Row],[date]],"yyyy-mm")</f>
        <v>2022-09</v>
      </c>
      <c r="H67" s="1" t="s">
        <v>24</v>
      </c>
      <c r="I67" s="1" t="s">
        <v>140</v>
      </c>
      <c r="J67">
        <v>16</v>
      </c>
    </row>
    <row r="68" spans="1:10" x14ac:dyDescent="0.25">
      <c r="A68" s="1" t="s">
        <v>138</v>
      </c>
      <c r="B68" s="1" t="s">
        <v>139</v>
      </c>
      <c r="C68" s="1" t="s">
        <v>29</v>
      </c>
      <c r="D68">
        <v>400</v>
      </c>
      <c r="F68" s="2">
        <v>44991</v>
      </c>
      <c r="G68" s="2" t="str">
        <f>TEXT(LayoffsData[[#This Row],[date]],"yyyy-mm")</f>
        <v>2023-03</v>
      </c>
      <c r="H68" s="1" t="s">
        <v>24</v>
      </c>
      <c r="I68" s="1" t="s">
        <v>140</v>
      </c>
      <c r="J68">
        <v>16</v>
      </c>
    </row>
    <row r="69" spans="1:10" x14ac:dyDescent="0.25">
      <c r="A69" s="1" t="s">
        <v>141</v>
      </c>
      <c r="B69" s="1" t="s">
        <v>35</v>
      </c>
      <c r="C69" s="1" t="s">
        <v>15</v>
      </c>
      <c r="D69">
        <v>63</v>
      </c>
      <c r="F69" s="2">
        <v>44753</v>
      </c>
      <c r="G69" s="2" t="str">
        <f>TEXT(LayoffsData[[#This Row],[date]],"yyyy-mm")</f>
        <v>2022-07</v>
      </c>
      <c r="H69" s="1" t="s">
        <v>28</v>
      </c>
      <c r="I69" s="1" t="s">
        <v>38</v>
      </c>
      <c r="J69">
        <v>174</v>
      </c>
    </row>
    <row r="70" spans="1:10" x14ac:dyDescent="0.25">
      <c r="A70" s="1" t="s">
        <v>141</v>
      </c>
      <c r="B70" s="1" t="s">
        <v>35</v>
      </c>
      <c r="C70" s="1" t="s">
        <v>15</v>
      </c>
      <c r="D70">
        <v>113</v>
      </c>
      <c r="E70">
        <v>0.16</v>
      </c>
      <c r="F70" s="2">
        <v>44904</v>
      </c>
      <c r="G70" s="2" t="str">
        <f>TEXT(LayoffsData[[#This Row],[date]],"yyyy-mm")</f>
        <v>2022-12</v>
      </c>
      <c r="H70" s="1" t="s">
        <v>28</v>
      </c>
      <c r="I70" s="1" t="s">
        <v>38</v>
      </c>
      <c r="J70">
        <v>174</v>
      </c>
    </row>
    <row r="71" spans="1:10" x14ac:dyDescent="0.25">
      <c r="A71" s="1" t="s">
        <v>142</v>
      </c>
      <c r="B71" s="1" t="s">
        <v>143</v>
      </c>
      <c r="C71" s="1" t="s">
        <v>29</v>
      </c>
      <c r="D71">
        <v>400</v>
      </c>
      <c r="E71">
        <v>0.4</v>
      </c>
      <c r="F71" s="2">
        <v>44695</v>
      </c>
      <c r="G71" s="2" t="str">
        <f>TEXT(LayoffsData[[#This Row],[date]],"yyyy-mm")</f>
        <v>2022-05</v>
      </c>
      <c r="H71" s="1" t="s">
        <v>57</v>
      </c>
      <c r="I71" s="1" t="s">
        <v>144</v>
      </c>
      <c r="J71">
        <v>60</v>
      </c>
    </row>
    <row r="72" spans="1:10" x14ac:dyDescent="0.25">
      <c r="A72" s="1" t="s">
        <v>145</v>
      </c>
      <c r="B72" s="1" t="s">
        <v>14</v>
      </c>
      <c r="C72" s="1" t="s">
        <v>29</v>
      </c>
      <c r="D72">
        <v>23</v>
      </c>
      <c r="F72" s="2">
        <v>44770</v>
      </c>
      <c r="G72" s="2" t="str">
        <f>TEXT(LayoffsData[[#This Row],[date]],"yyyy-mm")</f>
        <v>2022-07</v>
      </c>
      <c r="H72" s="1" t="s">
        <v>11</v>
      </c>
      <c r="I72" s="1" t="s">
        <v>17</v>
      </c>
      <c r="J72">
        <v>202</v>
      </c>
    </row>
    <row r="73" spans="1:10" x14ac:dyDescent="0.25">
      <c r="A73" s="1" t="s">
        <v>146</v>
      </c>
      <c r="B73" s="1" t="s">
        <v>14</v>
      </c>
      <c r="C73" s="1" t="s">
        <v>147</v>
      </c>
      <c r="F73" s="2">
        <v>43924</v>
      </c>
      <c r="G73" s="2" t="str">
        <f>TEXT(LayoffsData[[#This Row],[date]],"yyyy-mm")</f>
        <v>2020-04</v>
      </c>
      <c r="H73" s="1" t="s">
        <v>24</v>
      </c>
      <c r="I73" s="1" t="s">
        <v>17</v>
      </c>
      <c r="J73">
        <v>64</v>
      </c>
    </row>
    <row r="74" spans="1:10" x14ac:dyDescent="0.25">
      <c r="A74" s="1" t="s">
        <v>148</v>
      </c>
      <c r="B74" s="1" t="s">
        <v>14</v>
      </c>
      <c r="C74" s="1" t="s">
        <v>149</v>
      </c>
      <c r="F74" s="2">
        <v>44786</v>
      </c>
      <c r="G74" s="2" t="str">
        <f>TEXT(LayoffsData[[#This Row],[date]],"yyyy-mm")</f>
        <v>2022-08</v>
      </c>
      <c r="H74" s="1" t="s">
        <v>21</v>
      </c>
      <c r="I74" s="1" t="s">
        <v>17</v>
      </c>
      <c r="J74">
        <v>45</v>
      </c>
    </row>
    <row r="75" spans="1:10" x14ac:dyDescent="0.25">
      <c r="A75" s="1" t="s">
        <v>150</v>
      </c>
      <c r="B75" s="1" t="s">
        <v>14</v>
      </c>
      <c r="C75" s="1" t="s">
        <v>15</v>
      </c>
      <c r="F75" s="2">
        <v>44756</v>
      </c>
      <c r="G75" s="2" t="str">
        <f>TEXT(LayoffsData[[#This Row],[date]],"yyyy-mm")</f>
        <v>2022-07</v>
      </c>
      <c r="H75" s="1" t="s">
        <v>16</v>
      </c>
      <c r="I75" s="1" t="s">
        <v>17</v>
      </c>
      <c r="J75">
        <v>560</v>
      </c>
    </row>
    <row r="76" spans="1:10" x14ac:dyDescent="0.25">
      <c r="A76" s="1" t="s">
        <v>150</v>
      </c>
      <c r="B76" s="1" t="s">
        <v>14</v>
      </c>
      <c r="C76" s="1" t="s">
        <v>15</v>
      </c>
      <c r="D76">
        <v>47</v>
      </c>
      <c r="E76">
        <v>0.06</v>
      </c>
      <c r="F76" s="2">
        <v>44103</v>
      </c>
      <c r="G76" s="2" t="str">
        <f>TEXT(LayoffsData[[#This Row],[date]],"yyyy-mm")</f>
        <v>2020-09</v>
      </c>
      <c r="H76" s="1" t="s">
        <v>33</v>
      </c>
      <c r="I76" s="1" t="s">
        <v>17</v>
      </c>
      <c r="J76">
        <v>356</v>
      </c>
    </row>
    <row r="77" spans="1:10" x14ac:dyDescent="0.25">
      <c r="A77" s="1" t="s">
        <v>151</v>
      </c>
      <c r="B77" s="1" t="s">
        <v>55</v>
      </c>
      <c r="C77" s="1" t="s">
        <v>29</v>
      </c>
      <c r="D77">
        <v>150</v>
      </c>
      <c r="F77" s="2">
        <v>44862</v>
      </c>
      <c r="G77" s="2" t="str">
        <f>TEXT(LayoffsData[[#This Row],[date]],"yyyy-mm")</f>
        <v>2022-10</v>
      </c>
      <c r="H77" s="1" t="s">
        <v>11</v>
      </c>
      <c r="I77" s="1" t="s">
        <v>17</v>
      </c>
      <c r="J77">
        <v>108</v>
      </c>
    </row>
    <row r="78" spans="1:10" x14ac:dyDescent="0.25">
      <c r="A78" s="1" t="s">
        <v>151</v>
      </c>
      <c r="B78" s="1" t="s">
        <v>55</v>
      </c>
      <c r="C78" s="1" t="s">
        <v>29</v>
      </c>
      <c r="D78">
        <v>8000</v>
      </c>
      <c r="E78">
        <v>0.02</v>
      </c>
      <c r="F78" s="2">
        <v>44930</v>
      </c>
      <c r="G78" s="2" t="str">
        <f>TEXT(LayoffsData[[#This Row],[date]],"yyyy-mm")</f>
        <v>2023-01</v>
      </c>
      <c r="H78" s="1" t="s">
        <v>11</v>
      </c>
      <c r="I78" s="1" t="s">
        <v>17</v>
      </c>
      <c r="J78">
        <v>108</v>
      </c>
    </row>
    <row r="79" spans="1:10" x14ac:dyDescent="0.25">
      <c r="A79" s="1" t="s">
        <v>151</v>
      </c>
      <c r="B79" s="1" t="s">
        <v>55</v>
      </c>
      <c r="C79" s="1" t="s">
        <v>29</v>
      </c>
      <c r="D79">
        <v>10000</v>
      </c>
      <c r="E79">
        <v>0.03</v>
      </c>
      <c r="F79" s="2">
        <v>44881</v>
      </c>
      <c r="G79" s="2" t="str">
        <f>TEXT(LayoffsData[[#This Row],[date]],"yyyy-mm")</f>
        <v>2022-11</v>
      </c>
      <c r="H79" s="1" t="s">
        <v>11</v>
      </c>
      <c r="I79" s="1" t="s">
        <v>17</v>
      </c>
      <c r="J79">
        <v>108</v>
      </c>
    </row>
    <row r="80" spans="1:10" x14ac:dyDescent="0.25">
      <c r="A80" s="1" t="s">
        <v>152</v>
      </c>
      <c r="B80" s="1" t="s">
        <v>153</v>
      </c>
      <c r="C80" s="1" t="s">
        <v>36</v>
      </c>
      <c r="E80">
        <v>0.1</v>
      </c>
      <c r="F80" s="2">
        <v>44813</v>
      </c>
      <c r="G80" s="2" t="str">
        <f>TEXT(LayoffsData[[#This Row],[date]],"yyyy-mm")</f>
        <v>2022-09</v>
      </c>
      <c r="H80" s="1" t="s">
        <v>24</v>
      </c>
      <c r="I80" s="1" t="s">
        <v>153</v>
      </c>
      <c r="J80">
        <v>328</v>
      </c>
    </row>
    <row r="81" spans="1:10" x14ac:dyDescent="0.25">
      <c r="A81" s="1" t="s">
        <v>154</v>
      </c>
      <c r="B81" s="1" t="s">
        <v>155</v>
      </c>
      <c r="C81" s="1" t="s">
        <v>51</v>
      </c>
      <c r="D81">
        <v>50</v>
      </c>
      <c r="F81" s="2">
        <v>44987</v>
      </c>
      <c r="G81" s="2" t="str">
        <f>TEXT(LayoffsData[[#This Row],[date]],"yyyy-mm")</f>
        <v>2023-03</v>
      </c>
      <c r="H81" s="1" t="s">
        <v>57</v>
      </c>
      <c r="I81" s="1" t="s">
        <v>38</v>
      </c>
    </row>
    <row r="82" spans="1:10" x14ac:dyDescent="0.25">
      <c r="A82" s="1" t="s">
        <v>156</v>
      </c>
      <c r="B82" s="1" t="s">
        <v>157</v>
      </c>
      <c r="C82" s="1" t="s">
        <v>53</v>
      </c>
      <c r="D82">
        <v>700</v>
      </c>
      <c r="E82">
        <v>0.03</v>
      </c>
      <c r="F82" s="2">
        <v>44928</v>
      </c>
      <c r="G82" s="2" t="str">
        <f>TEXT(LayoffsData[[#This Row],[date]],"yyyy-mm")</f>
        <v>2023-01</v>
      </c>
      <c r="H82" s="1" t="s">
        <v>11</v>
      </c>
      <c r="I82" s="1" t="s">
        <v>17</v>
      </c>
    </row>
    <row r="83" spans="1:10" x14ac:dyDescent="0.25">
      <c r="A83" s="1" t="s">
        <v>158</v>
      </c>
      <c r="B83" s="1" t="s">
        <v>73</v>
      </c>
      <c r="C83" s="1" t="s">
        <v>149</v>
      </c>
      <c r="D83">
        <v>50</v>
      </c>
      <c r="E83">
        <v>0.65</v>
      </c>
      <c r="F83" s="2">
        <v>44943</v>
      </c>
      <c r="G83" s="2" t="str">
        <f>TEXT(LayoffsData[[#This Row],[date]],"yyyy-mm")</f>
        <v>2023-01</v>
      </c>
      <c r="H83" s="1" t="s">
        <v>57</v>
      </c>
      <c r="I83" s="1" t="s">
        <v>17</v>
      </c>
      <c r="J83">
        <v>92</v>
      </c>
    </row>
    <row r="84" spans="1:10" x14ac:dyDescent="0.25">
      <c r="A84" s="1" t="s">
        <v>159</v>
      </c>
      <c r="B84" s="1" t="s">
        <v>14</v>
      </c>
      <c r="C84" s="1" t="s">
        <v>20</v>
      </c>
      <c r="F84" s="2">
        <v>44874</v>
      </c>
      <c r="G84" s="2" t="str">
        <f>TEXT(LayoffsData[[#This Row],[date]],"yyyy-mm")</f>
        <v>2022-11</v>
      </c>
      <c r="H84" s="1" t="s">
        <v>57</v>
      </c>
      <c r="I84" s="1" t="s">
        <v>17</v>
      </c>
      <c r="J84">
        <v>72</v>
      </c>
    </row>
    <row r="85" spans="1:10" x14ac:dyDescent="0.25">
      <c r="A85" s="1" t="s">
        <v>160</v>
      </c>
      <c r="B85" s="1" t="s">
        <v>76</v>
      </c>
      <c r="C85" s="1" t="s">
        <v>68</v>
      </c>
      <c r="E85">
        <v>0.18</v>
      </c>
      <c r="F85" s="2">
        <v>44739</v>
      </c>
      <c r="G85" s="2" t="str">
        <f>TEXT(LayoffsData[[#This Row],[date]],"yyyy-mm")</f>
        <v>2022-06</v>
      </c>
      <c r="H85" s="1" t="s">
        <v>37</v>
      </c>
      <c r="I85" s="1" t="s">
        <v>17</v>
      </c>
      <c r="J85">
        <v>283</v>
      </c>
    </row>
    <row r="86" spans="1:10" x14ac:dyDescent="0.25">
      <c r="A86" s="1" t="s">
        <v>160</v>
      </c>
      <c r="B86" s="1" t="s">
        <v>76</v>
      </c>
      <c r="C86" s="1" t="s">
        <v>68</v>
      </c>
      <c r="D86">
        <v>130</v>
      </c>
      <c r="E86">
        <v>0.25</v>
      </c>
      <c r="F86" s="2">
        <v>44984</v>
      </c>
      <c r="G86" s="2" t="str">
        <f>TEXT(LayoffsData[[#This Row],[date]],"yyyy-mm")</f>
        <v>2023-02</v>
      </c>
      <c r="H86" s="1" t="s">
        <v>37</v>
      </c>
      <c r="I86" s="1" t="s">
        <v>17</v>
      </c>
      <c r="J86">
        <v>283</v>
      </c>
    </row>
    <row r="87" spans="1:10" x14ac:dyDescent="0.25">
      <c r="A87" s="1" t="s">
        <v>161</v>
      </c>
      <c r="B87" s="1" t="s">
        <v>55</v>
      </c>
      <c r="C87" s="1" t="s">
        <v>20</v>
      </c>
      <c r="D87">
        <v>13</v>
      </c>
      <c r="E87">
        <v>0.03</v>
      </c>
      <c r="F87" s="2">
        <v>44793</v>
      </c>
      <c r="G87" s="2" t="str">
        <f>TEXT(LayoffsData[[#This Row],[date]],"yyyy-mm")</f>
        <v>2022-08</v>
      </c>
      <c r="H87" s="1" t="s">
        <v>33</v>
      </c>
      <c r="I87" s="1" t="s">
        <v>17</v>
      </c>
      <c r="J87">
        <v>187</v>
      </c>
    </row>
    <row r="88" spans="1:10" x14ac:dyDescent="0.25">
      <c r="A88" s="1" t="s">
        <v>162</v>
      </c>
      <c r="B88" s="1" t="s">
        <v>55</v>
      </c>
      <c r="C88" s="1" t="s">
        <v>20</v>
      </c>
      <c r="D88">
        <v>17</v>
      </c>
      <c r="E88">
        <v>1</v>
      </c>
      <c r="F88" s="2">
        <v>43919</v>
      </c>
      <c r="G88" s="2" t="str">
        <f>TEXT(LayoffsData[[#This Row],[date]],"yyyy-mm")</f>
        <v>2020-03</v>
      </c>
      <c r="H88" s="1" t="s">
        <v>24</v>
      </c>
      <c r="I88" s="1" t="s">
        <v>17</v>
      </c>
      <c r="J88">
        <v>25</v>
      </c>
    </row>
    <row r="89" spans="1:10" x14ac:dyDescent="0.25">
      <c r="A89" s="1" t="s">
        <v>163</v>
      </c>
      <c r="B89" s="1" t="s">
        <v>26</v>
      </c>
      <c r="C89" s="1" t="s">
        <v>15</v>
      </c>
      <c r="D89">
        <v>17</v>
      </c>
      <c r="F89" s="2">
        <v>43924</v>
      </c>
      <c r="G89" s="2" t="str">
        <f>TEXT(LayoffsData[[#This Row],[date]],"yyyy-mm")</f>
        <v>2020-04</v>
      </c>
      <c r="H89" s="1" t="s">
        <v>21</v>
      </c>
      <c r="I89" s="1" t="s">
        <v>17</v>
      </c>
      <c r="J89">
        <v>14</v>
      </c>
    </row>
    <row r="90" spans="1:10" x14ac:dyDescent="0.25">
      <c r="A90" s="1" t="s">
        <v>164</v>
      </c>
      <c r="B90" s="1" t="s">
        <v>32</v>
      </c>
      <c r="C90" s="1" t="s">
        <v>165</v>
      </c>
      <c r="D90">
        <v>135</v>
      </c>
      <c r="E90">
        <v>0.1</v>
      </c>
      <c r="F90" s="2">
        <v>43956</v>
      </c>
      <c r="G90" s="2" t="str">
        <f>TEXT(LayoffsData[[#This Row],[date]],"yyyy-mm")</f>
        <v>2020-05</v>
      </c>
      <c r="H90" s="1" t="s">
        <v>33</v>
      </c>
      <c r="I90" s="1" t="s">
        <v>17</v>
      </c>
      <c r="J90">
        <v>181</v>
      </c>
    </row>
    <row r="91" spans="1:10" x14ac:dyDescent="0.25">
      <c r="A91" s="1" t="s">
        <v>166</v>
      </c>
      <c r="B91" s="1" t="s">
        <v>14</v>
      </c>
      <c r="C91" s="1" t="s">
        <v>165</v>
      </c>
      <c r="D91">
        <v>20</v>
      </c>
      <c r="F91" s="2">
        <v>43921</v>
      </c>
      <c r="G91" s="2" t="str">
        <f>TEXT(LayoffsData[[#This Row],[date]],"yyyy-mm")</f>
        <v>2020-03</v>
      </c>
      <c r="H91" s="1" t="s">
        <v>24</v>
      </c>
      <c r="I91" s="1" t="s">
        <v>17</v>
      </c>
      <c r="J91">
        <v>26</v>
      </c>
    </row>
    <row r="92" spans="1:10" x14ac:dyDescent="0.25">
      <c r="A92" s="1" t="s">
        <v>167</v>
      </c>
      <c r="B92" s="1" t="s">
        <v>168</v>
      </c>
      <c r="C92" s="1" t="s">
        <v>74</v>
      </c>
      <c r="D92">
        <v>35</v>
      </c>
      <c r="E92">
        <v>0.27</v>
      </c>
      <c r="F92" s="2">
        <v>44748</v>
      </c>
      <c r="G92" s="2" t="str">
        <f>TEXT(LayoffsData[[#This Row],[date]],"yyyy-mm")</f>
        <v>2022-07</v>
      </c>
      <c r="H92" s="1" t="s">
        <v>28</v>
      </c>
      <c r="I92" s="1" t="s">
        <v>17</v>
      </c>
      <c r="J92">
        <v>64</v>
      </c>
    </row>
    <row r="93" spans="1:10" x14ac:dyDescent="0.25">
      <c r="A93" s="1" t="s">
        <v>169</v>
      </c>
      <c r="B93" s="1" t="s">
        <v>168</v>
      </c>
      <c r="C93" s="1" t="s">
        <v>15</v>
      </c>
      <c r="D93">
        <v>23</v>
      </c>
      <c r="E93">
        <v>0.38</v>
      </c>
      <c r="F93" s="2">
        <v>44857</v>
      </c>
      <c r="G93" s="2" t="str">
        <f>TEXT(LayoffsData[[#This Row],[date]],"yyyy-mm")</f>
        <v>2022-10</v>
      </c>
      <c r="H93" s="1" t="s">
        <v>37</v>
      </c>
      <c r="I93" s="1" t="s">
        <v>170</v>
      </c>
      <c r="J93">
        <v>36</v>
      </c>
    </row>
    <row r="94" spans="1:10" x14ac:dyDescent="0.25">
      <c r="A94" s="1" t="s">
        <v>171</v>
      </c>
      <c r="B94" s="1" t="s">
        <v>168</v>
      </c>
      <c r="C94" s="1" t="s">
        <v>172</v>
      </c>
      <c r="F94" s="2">
        <v>43909</v>
      </c>
      <c r="G94" s="2" t="str">
        <f>TEXT(LayoffsData[[#This Row],[date]],"yyyy-mm")</f>
        <v>2020-03</v>
      </c>
      <c r="H94" s="1" t="s">
        <v>21</v>
      </c>
      <c r="I94" s="1" t="s">
        <v>170</v>
      </c>
      <c r="J94">
        <v>74</v>
      </c>
    </row>
    <row r="95" spans="1:10" x14ac:dyDescent="0.25">
      <c r="A95" s="1" t="s">
        <v>173</v>
      </c>
      <c r="B95" s="1" t="s">
        <v>168</v>
      </c>
      <c r="C95" s="1" t="s">
        <v>174</v>
      </c>
      <c r="D95">
        <v>11</v>
      </c>
      <c r="F95" s="2">
        <v>44787</v>
      </c>
      <c r="G95" s="2" t="str">
        <f>TEXT(LayoffsData[[#This Row],[date]],"yyyy-mm")</f>
        <v>2022-08</v>
      </c>
      <c r="H95" s="1" t="s">
        <v>21</v>
      </c>
      <c r="I95" s="1" t="s">
        <v>170</v>
      </c>
      <c r="J95">
        <v>15</v>
      </c>
    </row>
    <row r="96" spans="1:10" x14ac:dyDescent="0.25">
      <c r="A96" s="1" t="s">
        <v>175</v>
      </c>
      <c r="B96" s="1" t="s">
        <v>14</v>
      </c>
      <c r="C96" s="1" t="s">
        <v>174</v>
      </c>
      <c r="D96">
        <v>29</v>
      </c>
      <c r="E96">
        <v>0.1</v>
      </c>
      <c r="F96" s="2">
        <v>44804</v>
      </c>
      <c r="G96" s="2" t="str">
        <f>TEXT(LayoffsData[[#This Row],[date]],"yyyy-mm")</f>
        <v>2022-08</v>
      </c>
      <c r="H96" s="1" t="s">
        <v>33</v>
      </c>
      <c r="I96" s="1" t="s">
        <v>17</v>
      </c>
      <c r="J96">
        <v>169</v>
      </c>
    </row>
    <row r="97" spans="1:10" x14ac:dyDescent="0.25">
      <c r="A97" s="1" t="s">
        <v>176</v>
      </c>
      <c r="B97" s="1" t="s">
        <v>177</v>
      </c>
      <c r="C97" s="1" t="s">
        <v>51</v>
      </c>
      <c r="F97" s="2">
        <v>44753</v>
      </c>
      <c r="G97" s="2" t="str">
        <f>TEXT(LayoffsData[[#This Row],[date]],"yyyy-mm")</f>
        <v>2022-07</v>
      </c>
      <c r="H97" s="1" t="s">
        <v>16</v>
      </c>
      <c r="I97" s="1" t="s">
        <v>17</v>
      </c>
      <c r="J97">
        <v>640</v>
      </c>
    </row>
    <row r="98" spans="1:10" x14ac:dyDescent="0.25">
      <c r="A98" s="1" t="s">
        <v>178</v>
      </c>
      <c r="B98" s="1" t="s">
        <v>14</v>
      </c>
      <c r="C98" s="1" t="s">
        <v>113</v>
      </c>
      <c r="E98">
        <v>0.15</v>
      </c>
      <c r="F98" s="2">
        <v>44910</v>
      </c>
      <c r="G98" s="2" t="str">
        <f>TEXT(LayoffsData[[#This Row],[date]],"yyyy-mm")</f>
        <v>2022-12</v>
      </c>
      <c r="H98" s="1" t="s">
        <v>33</v>
      </c>
      <c r="I98" s="1" t="s">
        <v>17</v>
      </c>
      <c r="J98">
        <v>183</v>
      </c>
    </row>
    <row r="99" spans="1:10" x14ac:dyDescent="0.25">
      <c r="A99" s="1" t="s">
        <v>179</v>
      </c>
      <c r="B99" s="1" t="s">
        <v>60</v>
      </c>
      <c r="C99" s="1" t="s">
        <v>68</v>
      </c>
      <c r="E99">
        <v>0.25</v>
      </c>
      <c r="F99" s="2">
        <v>44880</v>
      </c>
      <c r="G99" s="2" t="str">
        <f>TEXT(LayoffsData[[#This Row],[date]],"yyyy-mm")</f>
        <v>2022-11</v>
      </c>
      <c r="H99" s="1" t="s">
        <v>24</v>
      </c>
      <c r="I99" s="1" t="s">
        <v>12</v>
      </c>
      <c r="J99">
        <v>11</v>
      </c>
    </row>
    <row r="100" spans="1:10" x14ac:dyDescent="0.25">
      <c r="A100" s="1" t="s">
        <v>180</v>
      </c>
      <c r="B100" s="1" t="s">
        <v>14</v>
      </c>
      <c r="C100" s="1" t="s">
        <v>74</v>
      </c>
      <c r="D100">
        <v>80</v>
      </c>
      <c r="E100">
        <v>0.18</v>
      </c>
      <c r="F100" s="2">
        <v>43949</v>
      </c>
      <c r="G100" s="2" t="str">
        <f>TEXT(LayoffsData[[#This Row],[date]],"yyyy-mm")</f>
        <v>2020-04</v>
      </c>
      <c r="H100" s="1" t="s">
        <v>37</v>
      </c>
      <c r="I100" s="1" t="s">
        <v>17</v>
      </c>
      <c r="J100">
        <v>156</v>
      </c>
    </row>
    <row r="101" spans="1:10" x14ac:dyDescent="0.25">
      <c r="A101" s="1" t="s">
        <v>181</v>
      </c>
      <c r="B101" s="1" t="s">
        <v>182</v>
      </c>
      <c r="C101" s="1" t="s">
        <v>172</v>
      </c>
      <c r="D101">
        <v>34</v>
      </c>
      <c r="E101">
        <v>0.08</v>
      </c>
      <c r="F101" s="2">
        <v>44958</v>
      </c>
      <c r="G101" s="2" t="str">
        <f>TEXT(LayoffsData[[#This Row],[date]],"yyyy-mm")</f>
        <v>2023-02</v>
      </c>
      <c r="H101" s="1" t="s">
        <v>11</v>
      </c>
      <c r="I101" s="1" t="s">
        <v>17</v>
      </c>
    </row>
    <row r="102" spans="1:10" x14ac:dyDescent="0.25">
      <c r="A102" s="1" t="s">
        <v>183</v>
      </c>
      <c r="B102" s="1" t="s">
        <v>182</v>
      </c>
      <c r="C102" s="1" t="s">
        <v>172</v>
      </c>
      <c r="D102">
        <v>130</v>
      </c>
      <c r="E102">
        <v>0.22</v>
      </c>
      <c r="F102" s="2">
        <v>44763</v>
      </c>
      <c r="G102" s="2" t="str">
        <f>TEXT(LayoffsData[[#This Row],[date]],"yyyy-mm")</f>
        <v>2022-07</v>
      </c>
      <c r="H102" s="1" t="s">
        <v>11</v>
      </c>
      <c r="I102" s="1" t="s">
        <v>17</v>
      </c>
    </row>
    <row r="103" spans="1:10" x14ac:dyDescent="0.25">
      <c r="A103" s="1" t="s">
        <v>184</v>
      </c>
      <c r="B103" s="1" t="s">
        <v>14</v>
      </c>
      <c r="C103" s="1" t="s">
        <v>20</v>
      </c>
      <c r="D103">
        <v>300</v>
      </c>
      <c r="E103">
        <v>0.12</v>
      </c>
      <c r="F103" s="2">
        <v>44739</v>
      </c>
      <c r="G103" s="2" t="str">
        <f>TEXT(LayoffsData[[#This Row],[date]],"yyyy-mm")</f>
        <v>2022-06</v>
      </c>
      <c r="H103" s="1" t="s">
        <v>11</v>
      </c>
      <c r="I103" s="1" t="s">
        <v>17</v>
      </c>
      <c r="J103">
        <v>1600</v>
      </c>
    </row>
    <row r="104" spans="1:10" x14ac:dyDescent="0.25">
      <c r="A104" s="1" t="s">
        <v>185</v>
      </c>
      <c r="B104" s="1" t="s">
        <v>186</v>
      </c>
      <c r="C104" s="1" t="s">
        <v>41</v>
      </c>
      <c r="D104">
        <v>90</v>
      </c>
      <c r="E104">
        <v>0.06</v>
      </c>
      <c r="F104" s="2">
        <v>44893</v>
      </c>
      <c r="G104" s="2" t="str">
        <f>TEXT(LayoffsData[[#This Row],[date]],"yyyy-mm")</f>
        <v>2022-11</v>
      </c>
      <c r="H104" s="1" t="s">
        <v>33</v>
      </c>
      <c r="I104" s="1" t="s">
        <v>12</v>
      </c>
      <c r="J104">
        <v>483</v>
      </c>
    </row>
    <row r="105" spans="1:10" x14ac:dyDescent="0.25">
      <c r="A105" s="1" t="s">
        <v>187</v>
      </c>
      <c r="B105" s="1" t="s">
        <v>188</v>
      </c>
      <c r="C105" s="1" t="s">
        <v>51</v>
      </c>
      <c r="D105">
        <v>80</v>
      </c>
      <c r="E105">
        <v>0.3</v>
      </c>
      <c r="F105" s="2">
        <v>44732</v>
      </c>
      <c r="G105" s="2" t="str">
        <f>TEXT(LayoffsData[[#This Row],[date]],"yyyy-mm")</f>
        <v>2022-06</v>
      </c>
      <c r="H105" s="1" t="s">
        <v>37</v>
      </c>
      <c r="I105" s="1" t="s">
        <v>69</v>
      </c>
      <c r="J105">
        <v>12</v>
      </c>
    </row>
    <row r="106" spans="1:10" x14ac:dyDescent="0.25">
      <c r="A106" s="1" t="s">
        <v>189</v>
      </c>
      <c r="B106" s="1" t="s">
        <v>73</v>
      </c>
      <c r="C106" s="1" t="s">
        <v>172</v>
      </c>
      <c r="D106">
        <v>65</v>
      </c>
      <c r="E106">
        <v>0.1</v>
      </c>
      <c r="F106" s="2">
        <v>44900</v>
      </c>
      <c r="G106" s="2" t="str">
        <f>TEXT(LayoffsData[[#This Row],[date]],"yyyy-mm")</f>
        <v>2022-12</v>
      </c>
      <c r="H106" s="1" t="s">
        <v>16</v>
      </c>
      <c r="I106" s="1" t="s">
        <v>17</v>
      </c>
      <c r="J106">
        <v>265</v>
      </c>
    </row>
    <row r="107" spans="1:10" x14ac:dyDescent="0.25">
      <c r="A107" s="1" t="s">
        <v>189</v>
      </c>
      <c r="B107" s="1" t="s">
        <v>168</v>
      </c>
      <c r="C107" s="1" t="s">
        <v>172</v>
      </c>
      <c r="D107">
        <v>24</v>
      </c>
      <c r="E107">
        <v>0.09</v>
      </c>
      <c r="F107" s="2">
        <v>43922</v>
      </c>
      <c r="G107" s="2" t="str">
        <f>TEXT(LayoffsData[[#This Row],[date]],"yyyy-mm")</f>
        <v>2020-04</v>
      </c>
      <c r="H107" s="1" t="s">
        <v>28</v>
      </c>
      <c r="I107" s="1" t="s">
        <v>170</v>
      </c>
      <c r="J107">
        <v>100</v>
      </c>
    </row>
    <row r="108" spans="1:10" x14ac:dyDescent="0.25">
      <c r="A108" s="1" t="s">
        <v>190</v>
      </c>
      <c r="B108" s="1" t="s">
        <v>14</v>
      </c>
      <c r="C108" s="1" t="s">
        <v>147</v>
      </c>
      <c r="D108">
        <v>13</v>
      </c>
      <c r="F108" s="2">
        <v>44762</v>
      </c>
      <c r="G108" s="2" t="str">
        <f>TEXT(LayoffsData[[#This Row],[date]],"yyyy-mm")</f>
        <v>2022-07</v>
      </c>
      <c r="H108" s="1" t="s">
        <v>131</v>
      </c>
      <c r="I108" s="1" t="s">
        <v>17</v>
      </c>
      <c r="J108">
        <v>1</v>
      </c>
    </row>
    <row r="109" spans="1:10" x14ac:dyDescent="0.25">
      <c r="A109" s="1" t="s">
        <v>191</v>
      </c>
      <c r="B109" s="1" t="s">
        <v>192</v>
      </c>
      <c r="C109" s="1" t="s">
        <v>15</v>
      </c>
      <c r="E109">
        <v>1</v>
      </c>
      <c r="F109" s="2">
        <v>44939</v>
      </c>
      <c r="G109" s="2" t="str">
        <f>TEXT(LayoffsData[[#This Row],[date]],"yyyy-mm")</f>
        <v>2023-01</v>
      </c>
      <c r="H109" s="1" t="s">
        <v>28</v>
      </c>
      <c r="I109" s="1" t="s">
        <v>17</v>
      </c>
      <c r="J109">
        <v>155</v>
      </c>
    </row>
    <row r="110" spans="1:10" x14ac:dyDescent="0.25">
      <c r="A110" s="1" t="s">
        <v>191</v>
      </c>
      <c r="B110" s="1" t="s">
        <v>157</v>
      </c>
      <c r="C110" s="1" t="s">
        <v>15</v>
      </c>
      <c r="F110" s="2">
        <v>44979</v>
      </c>
      <c r="G110" s="2" t="str">
        <f>TEXT(LayoffsData[[#This Row],[date]],"yyyy-mm")</f>
        <v>2023-02</v>
      </c>
      <c r="H110" s="1" t="s">
        <v>28</v>
      </c>
      <c r="I110" s="1" t="s">
        <v>17</v>
      </c>
      <c r="J110">
        <v>155</v>
      </c>
    </row>
    <row r="111" spans="1:10" x14ac:dyDescent="0.25">
      <c r="A111" s="1" t="s">
        <v>193</v>
      </c>
      <c r="B111" s="1" t="s">
        <v>182</v>
      </c>
      <c r="C111" s="1" t="s">
        <v>172</v>
      </c>
      <c r="F111" s="2">
        <v>44764</v>
      </c>
      <c r="G111" s="2" t="str">
        <f>TEXT(LayoffsData[[#This Row],[date]],"yyyy-mm")</f>
        <v>2022-07</v>
      </c>
      <c r="H111" s="1" t="s">
        <v>37</v>
      </c>
      <c r="I111" s="1" t="s">
        <v>17</v>
      </c>
    </row>
    <row r="112" spans="1:10" x14ac:dyDescent="0.25">
      <c r="A112" s="1" t="s">
        <v>194</v>
      </c>
      <c r="B112" s="1" t="s">
        <v>195</v>
      </c>
      <c r="C112" s="1" t="s">
        <v>10</v>
      </c>
      <c r="D112">
        <v>100</v>
      </c>
      <c r="F112" s="2">
        <v>44011</v>
      </c>
      <c r="G112" s="2" t="str">
        <f>TEXT(LayoffsData[[#This Row],[date]],"yyyy-mm")</f>
        <v>2020-06</v>
      </c>
      <c r="H112" s="1" t="s">
        <v>37</v>
      </c>
      <c r="I112" s="1" t="s">
        <v>80</v>
      </c>
      <c r="J112">
        <v>3600</v>
      </c>
    </row>
    <row r="113" spans="1:10" x14ac:dyDescent="0.25">
      <c r="A113" s="1" t="s">
        <v>194</v>
      </c>
      <c r="B113" s="1" t="s">
        <v>196</v>
      </c>
      <c r="C113" s="1" t="s">
        <v>10</v>
      </c>
      <c r="D113">
        <v>150</v>
      </c>
      <c r="E113">
        <v>0.05</v>
      </c>
      <c r="F113" s="2">
        <v>44749</v>
      </c>
      <c r="G113" s="2" t="str">
        <f>TEXT(LayoffsData[[#This Row],[date]],"yyyy-mm")</f>
        <v>2022-07</v>
      </c>
      <c r="H113" s="1" t="s">
        <v>37</v>
      </c>
      <c r="I113" s="1" t="s">
        <v>17</v>
      </c>
      <c r="J113">
        <v>3600</v>
      </c>
    </row>
    <row r="114" spans="1:10" x14ac:dyDescent="0.25">
      <c r="A114" s="1" t="s">
        <v>194</v>
      </c>
      <c r="B114" s="1" t="s">
        <v>196</v>
      </c>
      <c r="C114" s="1" t="s">
        <v>10</v>
      </c>
      <c r="D114">
        <v>173</v>
      </c>
      <c r="F114" s="2">
        <v>44860</v>
      </c>
      <c r="G114" s="2" t="str">
        <f>TEXT(LayoffsData[[#This Row],[date]],"yyyy-mm")</f>
        <v>2022-10</v>
      </c>
      <c r="H114" s="1" t="s">
        <v>37</v>
      </c>
      <c r="I114" s="1" t="s">
        <v>17</v>
      </c>
      <c r="J114">
        <v>3600</v>
      </c>
    </row>
    <row r="115" spans="1:10" x14ac:dyDescent="0.25">
      <c r="A115" s="1" t="s">
        <v>194</v>
      </c>
      <c r="B115" s="1" t="s">
        <v>14</v>
      </c>
      <c r="C115" s="1" t="s">
        <v>10</v>
      </c>
      <c r="D115">
        <v>259</v>
      </c>
      <c r="F115" s="2">
        <v>44866</v>
      </c>
      <c r="G115" s="2" t="str">
        <f>TEXT(LayoffsData[[#This Row],[date]],"yyyy-mm")</f>
        <v>2022-11</v>
      </c>
      <c r="H115" s="1" t="s">
        <v>37</v>
      </c>
      <c r="I115" s="1" t="s">
        <v>17</v>
      </c>
      <c r="J115">
        <v>3600</v>
      </c>
    </row>
    <row r="116" spans="1:10" x14ac:dyDescent="0.25">
      <c r="A116" s="1" t="s">
        <v>197</v>
      </c>
      <c r="B116" s="1" t="s">
        <v>32</v>
      </c>
      <c r="C116" s="1" t="s">
        <v>68</v>
      </c>
      <c r="D116">
        <v>20</v>
      </c>
      <c r="E116">
        <v>7.0000000000000007E-2</v>
      </c>
      <c r="F116" s="2">
        <v>44799</v>
      </c>
      <c r="G116" s="2" t="str">
        <f>TEXT(LayoffsData[[#This Row],[date]],"yyyy-mm")</f>
        <v>2022-08</v>
      </c>
      <c r="H116" s="1" t="s">
        <v>24</v>
      </c>
      <c r="I116" s="1" t="s">
        <v>17</v>
      </c>
      <c r="J116">
        <v>78</v>
      </c>
    </row>
    <row r="117" spans="1:10" x14ac:dyDescent="0.25">
      <c r="A117" s="1" t="s">
        <v>198</v>
      </c>
      <c r="B117" s="1" t="s">
        <v>14</v>
      </c>
      <c r="C117" s="1" t="s">
        <v>172</v>
      </c>
      <c r="D117">
        <v>25</v>
      </c>
      <c r="E117">
        <v>0.04</v>
      </c>
      <c r="F117" s="2">
        <v>44903</v>
      </c>
      <c r="G117" s="2" t="str">
        <f>TEXT(LayoffsData[[#This Row],[date]],"yyyy-mm")</f>
        <v>2022-12</v>
      </c>
      <c r="H117" s="1" t="s">
        <v>105</v>
      </c>
      <c r="I117" s="1" t="s">
        <v>17</v>
      </c>
      <c r="J117">
        <v>537</v>
      </c>
    </row>
    <row r="118" spans="1:10" x14ac:dyDescent="0.25">
      <c r="A118" s="1" t="s">
        <v>199</v>
      </c>
      <c r="B118" s="1" t="s">
        <v>200</v>
      </c>
      <c r="C118" s="1" t="s">
        <v>10</v>
      </c>
      <c r="F118" s="2">
        <v>44854</v>
      </c>
      <c r="G118" s="2" t="str">
        <f>TEXT(LayoffsData[[#This Row],[date]],"yyyy-mm")</f>
        <v>2022-10</v>
      </c>
      <c r="H118" s="1" t="s">
        <v>11</v>
      </c>
      <c r="I118" s="1" t="s">
        <v>201</v>
      </c>
      <c r="J118">
        <v>629</v>
      </c>
    </row>
    <row r="119" spans="1:10" x14ac:dyDescent="0.25">
      <c r="A119" s="1" t="s">
        <v>199</v>
      </c>
      <c r="B119" s="1" t="s">
        <v>200</v>
      </c>
      <c r="C119" s="1" t="s">
        <v>10</v>
      </c>
      <c r="E119">
        <v>0.3</v>
      </c>
      <c r="F119" s="2">
        <v>44755</v>
      </c>
      <c r="G119" s="2" t="str">
        <f>TEXT(LayoffsData[[#This Row],[date]],"yyyy-mm")</f>
        <v>2022-07</v>
      </c>
      <c r="H119" s="1" t="s">
        <v>11</v>
      </c>
      <c r="I119" s="1" t="s">
        <v>201</v>
      </c>
      <c r="J119">
        <v>629</v>
      </c>
    </row>
    <row r="120" spans="1:10" x14ac:dyDescent="0.25">
      <c r="A120" s="1" t="s">
        <v>199</v>
      </c>
      <c r="B120" s="1" t="s">
        <v>200</v>
      </c>
      <c r="C120" s="1" t="s">
        <v>10</v>
      </c>
      <c r="D120">
        <v>800</v>
      </c>
      <c r="E120">
        <v>0.5</v>
      </c>
      <c r="F120" s="2">
        <v>44956</v>
      </c>
      <c r="G120" s="2" t="str">
        <f>TEXT(LayoffsData[[#This Row],[date]],"yyyy-mm")</f>
        <v>2023-01</v>
      </c>
      <c r="H120" s="1" t="s">
        <v>11</v>
      </c>
      <c r="I120" s="1" t="s">
        <v>201</v>
      </c>
      <c r="J120">
        <v>629</v>
      </c>
    </row>
    <row r="121" spans="1:10" x14ac:dyDescent="0.25">
      <c r="A121" s="1" t="s">
        <v>202</v>
      </c>
      <c r="B121" s="1" t="s">
        <v>137</v>
      </c>
      <c r="C121" s="1" t="s">
        <v>108</v>
      </c>
      <c r="D121">
        <v>75</v>
      </c>
      <c r="E121">
        <v>7.0000000000000007E-2</v>
      </c>
      <c r="F121" s="2">
        <v>43924</v>
      </c>
      <c r="G121" s="2" t="str">
        <f>TEXT(LayoffsData[[#This Row],[date]],"yyyy-mm")</f>
        <v>2020-04</v>
      </c>
      <c r="H121" s="1" t="s">
        <v>24</v>
      </c>
      <c r="I121" s="1" t="s">
        <v>17</v>
      </c>
      <c r="J121">
        <v>35</v>
      </c>
    </row>
    <row r="122" spans="1:10" x14ac:dyDescent="0.25">
      <c r="A122" s="1" t="s">
        <v>203</v>
      </c>
      <c r="B122" s="1" t="s">
        <v>60</v>
      </c>
      <c r="C122" s="1" t="s">
        <v>29</v>
      </c>
      <c r="D122">
        <v>216</v>
      </c>
      <c r="E122">
        <v>0.17</v>
      </c>
      <c r="F122" s="2">
        <v>44777</v>
      </c>
      <c r="G122" s="2" t="str">
        <f>TEXT(LayoffsData[[#This Row],[date]],"yyyy-mm")</f>
        <v>2022-08</v>
      </c>
      <c r="H122" s="1" t="s">
        <v>24</v>
      </c>
      <c r="I122" s="1" t="s">
        <v>12</v>
      </c>
    </row>
    <row r="123" spans="1:10" x14ac:dyDescent="0.25">
      <c r="A123" s="1" t="s">
        <v>204</v>
      </c>
      <c r="B123" s="1" t="s">
        <v>32</v>
      </c>
      <c r="C123" s="1" t="s">
        <v>41</v>
      </c>
      <c r="D123">
        <v>38</v>
      </c>
      <c r="F123" s="2">
        <v>44959</v>
      </c>
      <c r="G123" s="2" t="str">
        <f>TEXT(LayoffsData[[#This Row],[date]],"yyyy-mm")</f>
        <v>2023-02</v>
      </c>
      <c r="H123" s="1" t="s">
        <v>21</v>
      </c>
      <c r="I123" s="1" t="s">
        <v>17</v>
      </c>
      <c r="J123">
        <v>1500</v>
      </c>
    </row>
    <row r="124" spans="1:10" x14ac:dyDescent="0.25">
      <c r="A124" s="1" t="s">
        <v>205</v>
      </c>
      <c r="B124" s="1" t="s">
        <v>79</v>
      </c>
      <c r="C124" s="1" t="s">
        <v>29</v>
      </c>
      <c r="D124">
        <v>26</v>
      </c>
      <c r="E124">
        <v>0.36</v>
      </c>
      <c r="F124" s="2">
        <v>44804</v>
      </c>
      <c r="G124" s="2" t="str">
        <f>TEXT(LayoffsData[[#This Row],[date]],"yyyy-mm")</f>
        <v>2022-08</v>
      </c>
      <c r="H124" s="1" t="s">
        <v>37</v>
      </c>
      <c r="I124" s="1" t="s">
        <v>80</v>
      </c>
    </row>
    <row r="125" spans="1:10" x14ac:dyDescent="0.25">
      <c r="A125" s="1" t="s">
        <v>206</v>
      </c>
      <c r="B125" s="1" t="s">
        <v>14</v>
      </c>
      <c r="C125" s="1" t="s">
        <v>149</v>
      </c>
      <c r="D125">
        <v>180</v>
      </c>
      <c r="E125">
        <v>0.09</v>
      </c>
      <c r="F125" s="2">
        <v>44880</v>
      </c>
      <c r="G125" s="2" t="str">
        <f>TEXT(LayoffsData[[#This Row],[date]],"yyyy-mm")</f>
        <v>2022-11</v>
      </c>
      <c r="H125" s="1" t="s">
        <v>11</v>
      </c>
      <c r="I125" s="1" t="s">
        <v>17</v>
      </c>
      <c r="J125">
        <v>453</v>
      </c>
    </row>
    <row r="126" spans="1:10" x14ac:dyDescent="0.25">
      <c r="A126" s="1" t="s">
        <v>207</v>
      </c>
      <c r="B126" s="1" t="s">
        <v>71</v>
      </c>
      <c r="C126" s="1" t="s">
        <v>53</v>
      </c>
      <c r="F126" s="2">
        <v>43928</v>
      </c>
      <c r="G126" s="2" t="str">
        <f>TEXT(LayoffsData[[#This Row],[date]],"yyyy-mm")</f>
        <v>2020-04</v>
      </c>
      <c r="H126" s="1" t="s">
        <v>21</v>
      </c>
      <c r="I126" s="1" t="s">
        <v>17</v>
      </c>
      <c r="J126">
        <v>15</v>
      </c>
    </row>
    <row r="127" spans="1:10" x14ac:dyDescent="0.25">
      <c r="A127" s="1" t="s">
        <v>208</v>
      </c>
      <c r="B127" s="1" t="s">
        <v>14</v>
      </c>
      <c r="C127" s="1" t="s">
        <v>20</v>
      </c>
      <c r="D127">
        <v>23</v>
      </c>
      <c r="F127" s="2">
        <v>44757</v>
      </c>
      <c r="G127" s="2" t="str">
        <f>TEXT(LayoffsData[[#This Row],[date]],"yyyy-mm")</f>
        <v>2022-07</v>
      </c>
      <c r="H127" s="1" t="s">
        <v>21</v>
      </c>
      <c r="I127" s="1" t="s">
        <v>17</v>
      </c>
      <c r="J127">
        <v>27</v>
      </c>
    </row>
    <row r="128" spans="1:10" x14ac:dyDescent="0.25">
      <c r="A128" s="1" t="s">
        <v>209</v>
      </c>
      <c r="B128" s="1" t="s">
        <v>92</v>
      </c>
      <c r="C128" s="1" t="s">
        <v>68</v>
      </c>
      <c r="E128">
        <v>1</v>
      </c>
      <c r="F128" s="2">
        <v>44888</v>
      </c>
      <c r="G128" s="2" t="str">
        <f>TEXT(LayoffsData[[#This Row],[date]],"yyyy-mm")</f>
        <v>2022-11</v>
      </c>
      <c r="H128" s="1" t="s">
        <v>131</v>
      </c>
      <c r="I128" s="1" t="s">
        <v>17</v>
      </c>
      <c r="J128">
        <v>2</v>
      </c>
    </row>
    <row r="129" spans="1:10" x14ac:dyDescent="0.25">
      <c r="A129" s="1" t="s">
        <v>210</v>
      </c>
      <c r="B129" s="1" t="s">
        <v>14</v>
      </c>
      <c r="C129" s="1" t="s">
        <v>111</v>
      </c>
      <c r="E129">
        <v>0.16</v>
      </c>
      <c r="F129" s="2">
        <v>44873</v>
      </c>
      <c r="G129" s="2" t="str">
        <f>TEXT(LayoffsData[[#This Row],[date]],"yyyy-mm")</f>
        <v>2022-11</v>
      </c>
      <c r="H129" s="1" t="s">
        <v>11</v>
      </c>
      <c r="I129" s="1" t="s">
        <v>17</v>
      </c>
      <c r="J129">
        <v>300</v>
      </c>
    </row>
    <row r="130" spans="1:10" x14ac:dyDescent="0.25">
      <c r="A130" s="1" t="s">
        <v>210</v>
      </c>
      <c r="B130" s="1" t="s">
        <v>14</v>
      </c>
      <c r="C130" s="1" t="s">
        <v>111</v>
      </c>
      <c r="D130">
        <v>40</v>
      </c>
      <c r="E130">
        <v>0.25</v>
      </c>
      <c r="F130" s="2">
        <v>43926</v>
      </c>
      <c r="G130" s="2" t="str">
        <f>TEXT(LayoffsData[[#This Row],[date]],"yyyy-mm")</f>
        <v>2020-04</v>
      </c>
      <c r="H130" s="1" t="s">
        <v>37</v>
      </c>
      <c r="I130" s="1" t="s">
        <v>17</v>
      </c>
      <c r="J130">
        <v>100</v>
      </c>
    </row>
    <row r="131" spans="1:10" x14ac:dyDescent="0.25">
      <c r="A131" s="1" t="s">
        <v>211</v>
      </c>
      <c r="B131" s="1" t="s">
        <v>50</v>
      </c>
      <c r="C131" s="1" t="s">
        <v>74</v>
      </c>
      <c r="D131">
        <v>76</v>
      </c>
      <c r="E131">
        <v>0.2</v>
      </c>
      <c r="F131" s="2">
        <v>44930</v>
      </c>
      <c r="G131" s="2" t="str">
        <f>TEXT(LayoffsData[[#This Row],[date]],"yyyy-mm")</f>
        <v>2023-01</v>
      </c>
      <c r="H131" s="1" t="s">
        <v>28</v>
      </c>
      <c r="I131" s="1" t="s">
        <v>17</v>
      </c>
      <c r="J131">
        <v>282</v>
      </c>
    </row>
    <row r="132" spans="1:10" x14ac:dyDescent="0.25">
      <c r="A132" s="1" t="s">
        <v>212</v>
      </c>
      <c r="B132" s="1" t="s">
        <v>213</v>
      </c>
      <c r="C132" s="1" t="s">
        <v>174</v>
      </c>
      <c r="E132">
        <v>0.5</v>
      </c>
      <c r="F132" s="2">
        <v>43923</v>
      </c>
      <c r="G132" s="2" t="str">
        <f>TEXT(LayoffsData[[#This Row],[date]],"yyyy-mm")</f>
        <v>2020-04</v>
      </c>
      <c r="H132" s="1" t="s">
        <v>37</v>
      </c>
      <c r="I132" s="1" t="s">
        <v>17</v>
      </c>
    </row>
    <row r="133" spans="1:10" x14ac:dyDescent="0.25">
      <c r="A133" s="1" t="s">
        <v>214</v>
      </c>
      <c r="B133" s="1" t="s">
        <v>32</v>
      </c>
      <c r="C133" s="1" t="s">
        <v>63</v>
      </c>
      <c r="D133">
        <v>15</v>
      </c>
      <c r="F133" s="2">
        <v>44000</v>
      </c>
      <c r="G133" s="2" t="str">
        <f>TEXT(LayoffsData[[#This Row],[date]],"yyyy-mm")</f>
        <v>2020-06</v>
      </c>
      <c r="H133" s="1" t="s">
        <v>24</v>
      </c>
      <c r="I133" s="1" t="s">
        <v>17</v>
      </c>
      <c r="J133">
        <v>32</v>
      </c>
    </row>
    <row r="134" spans="1:10" x14ac:dyDescent="0.25">
      <c r="A134" s="1" t="s">
        <v>215</v>
      </c>
      <c r="B134" s="1" t="s">
        <v>44</v>
      </c>
      <c r="C134" s="1" t="s">
        <v>149</v>
      </c>
      <c r="D134">
        <v>500</v>
      </c>
      <c r="E134">
        <v>0.05</v>
      </c>
      <c r="F134" s="2">
        <v>44991</v>
      </c>
      <c r="G134" s="2" t="str">
        <f>TEXT(LayoffsData[[#This Row],[date]],"yyyy-mm")</f>
        <v>2023-03</v>
      </c>
      <c r="H134" s="1" t="s">
        <v>11</v>
      </c>
      <c r="I134" s="1" t="s">
        <v>46</v>
      </c>
      <c r="J134">
        <v>210</v>
      </c>
    </row>
    <row r="135" spans="1:10" x14ac:dyDescent="0.25">
      <c r="A135" s="1" t="s">
        <v>216</v>
      </c>
      <c r="B135" s="1" t="s">
        <v>14</v>
      </c>
      <c r="C135" s="1" t="s">
        <v>68</v>
      </c>
      <c r="D135">
        <v>32</v>
      </c>
      <c r="E135">
        <v>0.3</v>
      </c>
      <c r="F135" s="2">
        <v>44853</v>
      </c>
      <c r="G135" s="2" t="str">
        <f>TEXT(LayoffsData[[#This Row],[date]],"yyyy-mm")</f>
        <v>2022-10</v>
      </c>
      <c r="H135" s="1" t="s">
        <v>24</v>
      </c>
      <c r="I135" s="1" t="s">
        <v>17</v>
      </c>
      <c r="J135">
        <v>177</v>
      </c>
    </row>
    <row r="136" spans="1:10" x14ac:dyDescent="0.25">
      <c r="A136" s="1" t="s">
        <v>217</v>
      </c>
      <c r="B136" s="1" t="s">
        <v>101</v>
      </c>
      <c r="C136" s="1" t="s">
        <v>68</v>
      </c>
      <c r="F136" s="2">
        <v>44840</v>
      </c>
      <c r="G136" s="2" t="str">
        <f>TEXT(LayoffsData[[#This Row],[date]],"yyyy-mm")</f>
        <v>2022-10</v>
      </c>
      <c r="H136" s="1" t="s">
        <v>37</v>
      </c>
      <c r="I136" s="1" t="s">
        <v>101</v>
      </c>
      <c r="J136">
        <v>645</v>
      </c>
    </row>
    <row r="137" spans="1:10" x14ac:dyDescent="0.25">
      <c r="A137" s="1" t="s">
        <v>218</v>
      </c>
      <c r="B137" s="1" t="s">
        <v>55</v>
      </c>
      <c r="C137" s="1" t="s">
        <v>124</v>
      </c>
      <c r="D137">
        <v>6</v>
      </c>
      <c r="E137">
        <v>1</v>
      </c>
      <c r="F137" s="2">
        <v>43931</v>
      </c>
      <c r="G137" s="2" t="str">
        <f>TEXT(LayoffsData[[#This Row],[date]],"yyyy-mm")</f>
        <v>2020-04</v>
      </c>
      <c r="H137" s="1" t="s">
        <v>37</v>
      </c>
      <c r="I137" s="1" t="s">
        <v>17</v>
      </c>
      <c r="J137">
        <v>1</v>
      </c>
    </row>
    <row r="138" spans="1:10" x14ac:dyDescent="0.25">
      <c r="A138" s="1" t="s">
        <v>219</v>
      </c>
      <c r="B138" s="1" t="s">
        <v>32</v>
      </c>
      <c r="C138" s="1" t="s">
        <v>20</v>
      </c>
      <c r="E138">
        <v>0.15</v>
      </c>
      <c r="F138" s="2">
        <v>44931</v>
      </c>
      <c r="G138" s="2" t="str">
        <f>TEXT(LayoffsData[[#This Row],[date]],"yyyy-mm")</f>
        <v>2023-01</v>
      </c>
      <c r="H138" s="1" t="s">
        <v>16</v>
      </c>
      <c r="I138" s="1" t="s">
        <v>17</v>
      </c>
      <c r="J138">
        <v>863</v>
      </c>
    </row>
    <row r="139" spans="1:10" x14ac:dyDescent="0.25">
      <c r="A139" s="1" t="s">
        <v>220</v>
      </c>
      <c r="B139" s="1" t="s">
        <v>168</v>
      </c>
      <c r="C139" s="1" t="s">
        <v>172</v>
      </c>
      <c r="D139">
        <v>19</v>
      </c>
      <c r="E139">
        <v>0.09</v>
      </c>
      <c r="F139" s="2">
        <v>44957</v>
      </c>
      <c r="G139" s="2" t="str">
        <f>TEXT(LayoffsData[[#This Row],[date]],"yyyy-mm")</f>
        <v>2023-01</v>
      </c>
      <c r="H139" s="1" t="s">
        <v>37</v>
      </c>
      <c r="I139" s="1" t="s">
        <v>170</v>
      </c>
      <c r="J139">
        <v>80</v>
      </c>
    </row>
    <row r="140" spans="1:10" x14ac:dyDescent="0.25">
      <c r="A140" s="1" t="s">
        <v>221</v>
      </c>
      <c r="B140" s="1" t="s">
        <v>32</v>
      </c>
      <c r="C140" s="1" t="s">
        <v>222</v>
      </c>
      <c r="D140">
        <v>20</v>
      </c>
      <c r="E140">
        <v>0.05</v>
      </c>
      <c r="F140" s="2">
        <v>44930</v>
      </c>
      <c r="G140" s="2" t="str">
        <f>TEXT(LayoffsData[[#This Row],[date]],"yyyy-mm")</f>
        <v>2023-01</v>
      </c>
      <c r="H140" s="1" t="s">
        <v>16</v>
      </c>
      <c r="I140" s="1" t="s">
        <v>17</v>
      </c>
      <c r="J140">
        <v>274</v>
      </c>
    </row>
    <row r="141" spans="1:10" x14ac:dyDescent="0.25">
      <c r="A141" s="1" t="s">
        <v>223</v>
      </c>
      <c r="B141" s="1" t="s">
        <v>73</v>
      </c>
      <c r="C141" s="1" t="s">
        <v>172</v>
      </c>
      <c r="D141">
        <v>70</v>
      </c>
      <c r="E141">
        <v>0.09</v>
      </c>
      <c r="F141" s="2">
        <v>44735</v>
      </c>
      <c r="G141" s="2" t="str">
        <f>TEXT(LayoffsData[[#This Row],[date]],"yyyy-mm")</f>
        <v>2022-06</v>
      </c>
      <c r="H141" s="1" t="s">
        <v>86</v>
      </c>
      <c r="I141" s="1" t="s">
        <v>17</v>
      </c>
      <c r="J141">
        <v>500</v>
      </c>
    </row>
    <row r="142" spans="1:10" x14ac:dyDescent="0.25">
      <c r="A142" s="1" t="s">
        <v>224</v>
      </c>
      <c r="B142" s="1" t="s">
        <v>14</v>
      </c>
      <c r="C142" s="1" t="s">
        <v>68</v>
      </c>
      <c r="F142" s="2">
        <v>43935</v>
      </c>
      <c r="G142" s="2" t="str">
        <f>TEXT(LayoffsData[[#This Row],[date]],"yyyy-mm")</f>
        <v>2020-04</v>
      </c>
      <c r="H142" s="1" t="s">
        <v>37</v>
      </c>
      <c r="I142" s="1" t="s">
        <v>17</v>
      </c>
      <c r="J142">
        <v>584</v>
      </c>
    </row>
    <row r="143" spans="1:10" x14ac:dyDescent="0.25">
      <c r="A143" s="1" t="s">
        <v>224</v>
      </c>
      <c r="B143" s="1" t="s">
        <v>14</v>
      </c>
      <c r="C143" s="1" t="s">
        <v>68</v>
      </c>
      <c r="E143">
        <v>1</v>
      </c>
      <c r="F143" s="2">
        <v>44207</v>
      </c>
      <c r="G143" s="2" t="str">
        <f>TEXT(LayoffsData[[#This Row],[date]],"yyyy-mm")</f>
        <v>2021-01</v>
      </c>
      <c r="H143" s="1" t="s">
        <v>37</v>
      </c>
      <c r="I143" s="1" t="s">
        <v>17</v>
      </c>
      <c r="J143">
        <v>584</v>
      </c>
    </row>
    <row r="144" spans="1:10" x14ac:dyDescent="0.25">
      <c r="A144" s="1" t="s">
        <v>225</v>
      </c>
      <c r="B144" s="1" t="s">
        <v>226</v>
      </c>
      <c r="C144" s="1" t="s">
        <v>68</v>
      </c>
      <c r="F144" s="2">
        <v>44905</v>
      </c>
      <c r="G144" s="2" t="str">
        <f>TEXT(LayoffsData[[#This Row],[date]],"yyyy-mm")</f>
        <v>2022-12</v>
      </c>
      <c r="H144" s="1" t="s">
        <v>28</v>
      </c>
      <c r="I144" s="1" t="s">
        <v>17</v>
      </c>
      <c r="J144">
        <v>97</v>
      </c>
    </row>
    <row r="145" spans="1:10" x14ac:dyDescent="0.25">
      <c r="A145" s="1" t="s">
        <v>227</v>
      </c>
      <c r="B145" s="1" t="s">
        <v>14</v>
      </c>
      <c r="C145" s="1" t="s">
        <v>149</v>
      </c>
      <c r="D145">
        <v>250</v>
      </c>
      <c r="E145">
        <v>0.02</v>
      </c>
      <c r="F145" s="2">
        <v>44959</v>
      </c>
      <c r="G145" s="2" t="str">
        <f>TEXT(LayoffsData[[#This Row],[date]],"yyyy-mm")</f>
        <v>2023-02</v>
      </c>
      <c r="H145" s="1" t="s">
        <v>11</v>
      </c>
      <c r="I145" s="1" t="s">
        <v>17</v>
      </c>
    </row>
    <row r="146" spans="1:10" x14ac:dyDescent="0.25">
      <c r="A146" s="1" t="s">
        <v>228</v>
      </c>
      <c r="B146" s="1" t="s">
        <v>26</v>
      </c>
      <c r="C146" s="1" t="s">
        <v>36</v>
      </c>
      <c r="F146" s="2">
        <v>44911</v>
      </c>
      <c r="G146" s="2" t="str">
        <f>TEXT(LayoffsData[[#This Row],[date]],"yyyy-mm")</f>
        <v>2022-12</v>
      </c>
      <c r="H146" s="1" t="s">
        <v>24</v>
      </c>
      <c r="I146" s="1" t="s">
        <v>17</v>
      </c>
      <c r="J146">
        <v>205</v>
      </c>
    </row>
    <row r="147" spans="1:10" x14ac:dyDescent="0.25">
      <c r="A147" s="1" t="s">
        <v>229</v>
      </c>
      <c r="B147" s="1" t="s">
        <v>14</v>
      </c>
      <c r="C147" s="1" t="s">
        <v>10</v>
      </c>
      <c r="E147">
        <v>1</v>
      </c>
      <c r="F147" s="2">
        <v>43952</v>
      </c>
      <c r="G147" s="2" t="str">
        <f>TEXT(LayoffsData[[#This Row],[date]],"yyyy-mm")</f>
        <v>2020-05</v>
      </c>
      <c r="H147" s="1" t="s">
        <v>57</v>
      </c>
      <c r="I147" s="1" t="s">
        <v>17</v>
      </c>
      <c r="J147">
        <v>24</v>
      </c>
    </row>
    <row r="148" spans="1:10" x14ac:dyDescent="0.25">
      <c r="A148" s="1" t="s">
        <v>230</v>
      </c>
      <c r="B148" s="1" t="s">
        <v>14</v>
      </c>
      <c r="C148" s="1" t="s">
        <v>149</v>
      </c>
      <c r="D148">
        <v>260</v>
      </c>
      <c r="E148">
        <v>0.1</v>
      </c>
      <c r="F148" s="2">
        <v>43948</v>
      </c>
      <c r="G148" s="2" t="str">
        <f>TEXT(LayoffsData[[#This Row],[date]],"yyyy-mm")</f>
        <v>2020-04</v>
      </c>
      <c r="H148" s="1" t="s">
        <v>24</v>
      </c>
      <c r="I148" s="1" t="s">
        <v>17</v>
      </c>
      <c r="J148">
        <v>840</v>
      </c>
    </row>
    <row r="149" spans="1:10" x14ac:dyDescent="0.25">
      <c r="A149" s="1" t="s">
        <v>231</v>
      </c>
      <c r="B149" s="1" t="s">
        <v>232</v>
      </c>
      <c r="C149" s="1" t="s">
        <v>124</v>
      </c>
      <c r="F149" s="2">
        <v>44725</v>
      </c>
      <c r="G149" s="2" t="str">
        <f>TEXT(LayoffsData[[#This Row],[date]],"yyyy-mm")</f>
        <v>2022-06</v>
      </c>
      <c r="H149" s="1" t="s">
        <v>28</v>
      </c>
      <c r="I149" s="1" t="s">
        <v>17</v>
      </c>
      <c r="J149">
        <v>152</v>
      </c>
    </row>
    <row r="150" spans="1:10" x14ac:dyDescent="0.25">
      <c r="A150" s="1" t="s">
        <v>231</v>
      </c>
      <c r="B150" s="1" t="s">
        <v>232</v>
      </c>
      <c r="C150" s="1" t="s">
        <v>124</v>
      </c>
      <c r="E150">
        <v>0.11</v>
      </c>
      <c r="F150" s="2">
        <v>44669</v>
      </c>
      <c r="G150" s="2" t="str">
        <f>TEXT(LayoffsData[[#This Row],[date]],"yyyy-mm")</f>
        <v>2022-04</v>
      </c>
      <c r="H150" s="1" t="s">
        <v>28</v>
      </c>
      <c r="I150" s="1" t="s">
        <v>17</v>
      </c>
      <c r="J150">
        <v>152</v>
      </c>
    </row>
    <row r="151" spans="1:10" x14ac:dyDescent="0.25">
      <c r="A151" s="1" t="s">
        <v>233</v>
      </c>
      <c r="B151" s="1" t="s">
        <v>55</v>
      </c>
      <c r="C151" s="1" t="s">
        <v>68</v>
      </c>
      <c r="F151" s="2">
        <v>44946</v>
      </c>
      <c r="G151" s="2" t="str">
        <f>TEXT(LayoffsData[[#This Row],[date]],"yyyy-mm")</f>
        <v>2023-01</v>
      </c>
      <c r="H151" s="1" t="s">
        <v>57</v>
      </c>
      <c r="I151" s="1" t="s">
        <v>17</v>
      </c>
      <c r="J151">
        <v>341</v>
      </c>
    </row>
    <row r="152" spans="1:10" x14ac:dyDescent="0.25">
      <c r="A152" s="1" t="s">
        <v>234</v>
      </c>
      <c r="B152" s="1" t="s">
        <v>235</v>
      </c>
      <c r="C152" s="1" t="s">
        <v>63</v>
      </c>
      <c r="D152">
        <v>5</v>
      </c>
      <c r="E152">
        <v>0.2</v>
      </c>
      <c r="F152" s="2">
        <v>43924</v>
      </c>
      <c r="G152" s="2" t="str">
        <f>TEXT(LayoffsData[[#This Row],[date]],"yyyy-mm")</f>
        <v>2020-04</v>
      </c>
      <c r="H152" s="1" t="s">
        <v>37</v>
      </c>
      <c r="I152" s="1" t="s">
        <v>17</v>
      </c>
    </row>
    <row r="153" spans="1:10" x14ac:dyDescent="0.25">
      <c r="A153" s="1" t="s">
        <v>236</v>
      </c>
      <c r="B153" s="1" t="s">
        <v>26</v>
      </c>
      <c r="C153" s="1" t="s">
        <v>84</v>
      </c>
      <c r="D153">
        <v>80</v>
      </c>
      <c r="F153" s="2">
        <v>44741</v>
      </c>
      <c r="G153" s="2" t="str">
        <f>TEXT(LayoffsData[[#This Row],[date]],"yyyy-mm")</f>
        <v>2022-06</v>
      </c>
      <c r="H153" s="1" t="s">
        <v>37</v>
      </c>
      <c r="I153" s="1" t="s">
        <v>17</v>
      </c>
      <c r="J153">
        <v>811</v>
      </c>
    </row>
    <row r="154" spans="1:10" x14ac:dyDescent="0.25">
      <c r="A154" s="1" t="s">
        <v>236</v>
      </c>
      <c r="B154" s="1" t="s">
        <v>26</v>
      </c>
      <c r="C154" s="1" t="s">
        <v>84</v>
      </c>
      <c r="D154">
        <v>144</v>
      </c>
      <c r="E154">
        <v>0.22</v>
      </c>
      <c r="F154" s="2">
        <v>44874</v>
      </c>
      <c r="G154" s="2" t="str">
        <f>TEXT(LayoffsData[[#This Row],[date]],"yyyy-mm")</f>
        <v>2022-11</v>
      </c>
      <c r="H154" s="1" t="s">
        <v>105</v>
      </c>
      <c r="I154" s="1" t="s">
        <v>17</v>
      </c>
      <c r="J154">
        <v>686</v>
      </c>
    </row>
    <row r="155" spans="1:10" x14ac:dyDescent="0.25">
      <c r="A155" s="1" t="s">
        <v>237</v>
      </c>
      <c r="B155" s="1" t="s">
        <v>238</v>
      </c>
      <c r="C155" s="1" t="s">
        <v>172</v>
      </c>
      <c r="E155">
        <v>0.25</v>
      </c>
      <c r="F155" s="2">
        <v>44875</v>
      </c>
      <c r="G155" s="2" t="str">
        <f>TEXT(LayoffsData[[#This Row],[date]],"yyyy-mm")</f>
        <v>2022-11</v>
      </c>
      <c r="H155" s="1" t="s">
        <v>37</v>
      </c>
      <c r="I155" s="1" t="s">
        <v>17</v>
      </c>
    </row>
    <row r="156" spans="1:10" x14ac:dyDescent="0.25">
      <c r="A156" s="1" t="s">
        <v>239</v>
      </c>
      <c r="B156" s="1" t="s">
        <v>168</v>
      </c>
      <c r="C156" s="1" t="s">
        <v>51</v>
      </c>
      <c r="D156">
        <v>500</v>
      </c>
      <c r="E156">
        <v>0.67</v>
      </c>
      <c r="F156" s="2">
        <v>44682</v>
      </c>
      <c r="G156" s="2" t="str">
        <f>TEXT(LayoffsData[[#This Row],[date]],"yyyy-mm")</f>
        <v>2022-05</v>
      </c>
      <c r="H156" s="1" t="s">
        <v>24</v>
      </c>
      <c r="I156" s="1" t="s">
        <v>170</v>
      </c>
      <c r="J156">
        <v>45</v>
      </c>
    </row>
    <row r="157" spans="1:10" x14ac:dyDescent="0.25">
      <c r="A157" s="1" t="s">
        <v>240</v>
      </c>
      <c r="B157" s="1" t="s">
        <v>241</v>
      </c>
      <c r="C157" s="1" t="s">
        <v>172</v>
      </c>
      <c r="F157" s="2">
        <v>44932</v>
      </c>
      <c r="G157" s="2" t="str">
        <f>TEXT(LayoffsData[[#This Row],[date]],"yyyy-mm")</f>
        <v>2023-01</v>
      </c>
      <c r="H157" s="1" t="s">
        <v>28</v>
      </c>
      <c r="I157" s="1" t="s">
        <v>17</v>
      </c>
      <c r="J157">
        <v>88</v>
      </c>
    </row>
    <row r="158" spans="1:10" x14ac:dyDescent="0.25">
      <c r="A158" s="1" t="s">
        <v>242</v>
      </c>
      <c r="B158" s="1" t="s">
        <v>32</v>
      </c>
      <c r="C158" s="1" t="s">
        <v>29</v>
      </c>
      <c r="D158">
        <v>60</v>
      </c>
      <c r="E158">
        <v>0.1</v>
      </c>
      <c r="F158" s="2">
        <v>43928</v>
      </c>
      <c r="G158" s="2" t="str">
        <f>TEXT(LayoffsData[[#This Row],[date]],"yyyy-mm")</f>
        <v>2020-04</v>
      </c>
      <c r="H158" s="1" t="s">
        <v>33</v>
      </c>
      <c r="I158" s="1" t="s">
        <v>17</v>
      </c>
      <c r="J158">
        <v>181</v>
      </c>
    </row>
    <row r="159" spans="1:10" x14ac:dyDescent="0.25">
      <c r="A159" s="1" t="s">
        <v>243</v>
      </c>
      <c r="B159" s="1" t="s">
        <v>244</v>
      </c>
      <c r="C159" s="1" t="s">
        <v>29</v>
      </c>
      <c r="E159">
        <v>1</v>
      </c>
      <c r="F159" s="2">
        <v>44076</v>
      </c>
      <c r="G159" s="2" t="str">
        <f>TEXT(LayoffsData[[#This Row],[date]],"yyyy-mm")</f>
        <v>2020-09</v>
      </c>
      <c r="H159" s="1" t="s">
        <v>21</v>
      </c>
      <c r="I159" s="1" t="s">
        <v>245</v>
      </c>
      <c r="J159">
        <v>30</v>
      </c>
    </row>
    <row r="160" spans="1:10" x14ac:dyDescent="0.25">
      <c r="A160" s="1" t="s">
        <v>246</v>
      </c>
      <c r="B160" s="1" t="s">
        <v>9</v>
      </c>
      <c r="C160" s="1" t="s">
        <v>68</v>
      </c>
      <c r="D160">
        <v>5</v>
      </c>
      <c r="E160">
        <v>0.25</v>
      </c>
      <c r="F160" s="2">
        <v>44154</v>
      </c>
      <c r="G160" s="2" t="str">
        <f>TEXT(LayoffsData[[#This Row],[date]],"yyyy-mm")</f>
        <v>2020-11</v>
      </c>
      <c r="H160" s="1" t="s">
        <v>131</v>
      </c>
      <c r="I160" s="1" t="s">
        <v>17</v>
      </c>
      <c r="J160">
        <v>3</v>
      </c>
    </row>
    <row r="161" spans="1:10" x14ac:dyDescent="0.25">
      <c r="A161" s="1" t="s">
        <v>247</v>
      </c>
      <c r="B161" s="1" t="s">
        <v>14</v>
      </c>
      <c r="C161" s="1" t="s">
        <v>29</v>
      </c>
      <c r="D161">
        <v>250</v>
      </c>
      <c r="E161">
        <v>0.5</v>
      </c>
      <c r="F161" s="2">
        <v>43916</v>
      </c>
      <c r="G161" s="2" t="str">
        <f>TEXT(LayoffsData[[#This Row],[date]],"yyyy-mm")</f>
        <v>2020-03</v>
      </c>
      <c r="H161" s="1" t="s">
        <v>28</v>
      </c>
      <c r="I161" s="1" t="s">
        <v>17</v>
      </c>
      <c r="J161">
        <v>88</v>
      </c>
    </row>
    <row r="162" spans="1:10" x14ac:dyDescent="0.25">
      <c r="A162" s="1" t="s">
        <v>248</v>
      </c>
      <c r="B162" s="1" t="s">
        <v>200</v>
      </c>
      <c r="C162" s="1" t="s">
        <v>15</v>
      </c>
      <c r="D162">
        <v>100</v>
      </c>
      <c r="F162" s="2">
        <v>44754</v>
      </c>
      <c r="G162" s="2" t="str">
        <f>TEXT(LayoffsData[[#This Row],[date]],"yyyy-mm")</f>
        <v>2022-07</v>
      </c>
      <c r="H162" s="1" t="s">
        <v>11</v>
      </c>
      <c r="I162" s="1" t="s">
        <v>201</v>
      </c>
      <c r="J162">
        <v>1100</v>
      </c>
    </row>
    <row r="163" spans="1:10" x14ac:dyDescent="0.25">
      <c r="A163" s="1" t="s">
        <v>249</v>
      </c>
      <c r="B163" s="1" t="s">
        <v>250</v>
      </c>
      <c r="C163" s="1" t="s">
        <v>29</v>
      </c>
      <c r="D163">
        <v>93</v>
      </c>
      <c r="E163">
        <v>0.13</v>
      </c>
      <c r="F163" s="2">
        <v>44918</v>
      </c>
      <c r="G163" s="2" t="str">
        <f>TEXT(LayoffsData[[#This Row],[date]],"yyyy-mm")</f>
        <v>2022-12</v>
      </c>
      <c r="H163" s="1" t="s">
        <v>16</v>
      </c>
      <c r="I163" s="1" t="s">
        <v>251</v>
      </c>
      <c r="J163">
        <v>1000</v>
      </c>
    </row>
    <row r="164" spans="1:10" x14ac:dyDescent="0.25">
      <c r="A164" s="1" t="s">
        <v>252</v>
      </c>
      <c r="B164" s="1" t="s">
        <v>213</v>
      </c>
      <c r="C164" s="1" t="s">
        <v>36</v>
      </c>
      <c r="E164">
        <v>0.15</v>
      </c>
      <c r="F164" s="2">
        <v>44903</v>
      </c>
      <c r="G164" s="2" t="str">
        <f>TEXT(LayoffsData[[#This Row],[date]],"yyyy-mm")</f>
        <v>2022-12</v>
      </c>
      <c r="H164" s="1" t="s">
        <v>11</v>
      </c>
      <c r="I164" s="1" t="s">
        <v>17</v>
      </c>
      <c r="J164">
        <v>932</v>
      </c>
    </row>
    <row r="165" spans="1:10" x14ac:dyDescent="0.25">
      <c r="A165" s="1" t="s">
        <v>253</v>
      </c>
      <c r="B165" s="1" t="s">
        <v>254</v>
      </c>
      <c r="C165" s="1" t="s">
        <v>94</v>
      </c>
      <c r="E165">
        <v>0.15</v>
      </c>
      <c r="F165" s="2">
        <v>44944</v>
      </c>
      <c r="G165" s="2" t="str">
        <f>TEXT(LayoffsData[[#This Row],[date]],"yyyy-mm")</f>
        <v>2023-01</v>
      </c>
      <c r="H165" s="1" t="s">
        <v>11</v>
      </c>
      <c r="I165" s="1" t="s">
        <v>17</v>
      </c>
      <c r="J165">
        <v>946</v>
      </c>
    </row>
    <row r="166" spans="1:10" x14ac:dyDescent="0.25">
      <c r="A166" s="1" t="s">
        <v>255</v>
      </c>
      <c r="B166" s="1" t="s">
        <v>157</v>
      </c>
      <c r="C166" s="1" t="s">
        <v>48</v>
      </c>
      <c r="D166">
        <v>30</v>
      </c>
      <c r="F166" s="2">
        <v>44734</v>
      </c>
      <c r="G166" s="2" t="str">
        <f>TEXT(LayoffsData[[#This Row],[date]],"yyyy-mm")</f>
        <v>2022-06</v>
      </c>
      <c r="H166" s="1" t="s">
        <v>24</v>
      </c>
      <c r="I166" s="1" t="s">
        <v>17</v>
      </c>
      <c r="J166">
        <v>51</v>
      </c>
    </row>
    <row r="167" spans="1:10" x14ac:dyDescent="0.25">
      <c r="A167" s="1" t="s">
        <v>255</v>
      </c>
      <c r="B167" s="1" t="s">
        <v>157</v>
      </c>
      <c r="C167" s="1" t="s">
        <v>48</v>
      </c>
      <c r="D167">
        <v>35</v>
      </c>
      <c r="F167" s="2">
        <v>44907</v>
      </c>
      <c r="G167" s="2" t="str">
        <f>TEXT(LayoffsData[[#This Row],[date]],"yyyy-mm")</f>
        <v>2022-12</v>
      </c>
      <c r="H167" s="1" t="s">
        <v>24</v>
      </c>
      <c r="I167" s="1" t="s">
        <v>17</v>
      </c>
      <c r="J167">
        <v>51</v>
      </c>
    </row>
    <row r="168" spans="1:10" x14ac:dyDescent="0.25">
      <c r="A168" s="1" t="s">
        <v>256</v>
      </c>
      <c r="B168" s="1" t="s">
        <v>257</v>
      </c>
      <c r="C168" s="1" t="s">
        <v>15</v>
      </c>
      <c r="D168">
        <v>52</v>
      </c>
      <c r="F168" s="2">
        <v>44743</v>
      </c>
      <c r="G168" s="2" t="str">
        <f>TEXT(LayoffsData[[#This Row],[date]],"yyyy-mm")</f>
        <v>2022-07</v>
      </c>
      <c r="H168" s="1" t="s">
        <v>37</v>
      </c>
      <c r="I168" s="1" t="s">
        <v>17</v>
      </c>
    </row>
    <row r="169" spans="1:10" x14ac:dyDescent="0.25">
      <c r="A169" s="1" t="s">
        <v>258</v>
      </c>
      <c r="B169" s="1" t="s">
        <v>259</v>
      </c>
      <c r="C169" s="1" t="s">
        <v>36</v>
      </c>
      <c r="D169">
        <v>70</v>
      </c>
      <c r="E169">
        <v>0.3</v>
      </c>
      <c r="F169" s="2">
        <v>44739</v>
      </c>
      <c r="G169" s="2" t="str">
        <f>TEXT(LayoffsData[[#This Row],[date]],"yyyy-mm")</f>
        <v>2022-06</v>
      </c>
      <c r="H169" s="1" t="s">
        <v>11</v>
      </c>
      <c r="I169" s="1" t="s">
        <v>46</v>
      </c>
      <c r="J169">
        <v>13</v>
      </c>
    </row>
    <row r="170" spans="1:10" x14ac:dyDescent="0.25">
      <c r="A170" s="1" t="s">
        <v>260</v>
      </c>
      <c r="B170" s="1" t="s">
        <v>44</v>
      </c>
      <c r="C170" s="1" t="s">
        <v>10</v>
      </c>
      <c r="E170">
        <v>0.75</v>
      </c>
      <c r="F170" s="2">
        <v>44965</v>
      </c>
      <c r="G170" s="2" t="str">
        <f>TEXT(LayoffsData[[#This Row],[date]],"yyyy-mm")</f>
        <v>2023-02</v>
      </c>
      <c r="H170" s="1" t="s">
        <v>37</v>
      </c>
      <c r="I170" s="1" t="s">
        <v>46</v>
      </c>
      <c r="J170">
        <v>63</v>
      </c>
    </row>
    <row r="171" spans="1:10" x14ac:dyDescent="0.25">
      <c r="A171" s="1" t="s">
        <v>261</v>
      </c>
      <c r="B171" s="1" t="s">
        <v>32</v>
      </c>
      <c r="C171" s="1" t="s">
        <v>29</v>
      </c>
      <c r="D171">
        <v>126</v>
      </c>
      <c r="E171">
        <v>0.12</v>
      </c>
      <c r="F171" s="2">
        <v>44966</v>
      </c>
      <c r="G171" s="2" t="str">
        <f>TEXT(LayoffsData[[#This Row],[date]],"yyyy-mm")</f>
        <v>2023-02</v>
      </c>
      <c r="H171" s="1" t="s">
        <v>11</v>
      </c>
      <c r="I171" s="1" t="s">
        <v>17</v>
      </c>
    </row>
    <row r="172" spans="1:10" x14ac:dyDescent="0.25">
      <c r="A172" s="1" t="s">
        <v>262</v>
      </c>
      <c r="B172" s="1" t="s">
        <v>14</v>
      </c>
      <c r="C172" s="1" t="s">
        <v>10</v>
      </c>
      <c r="D172">
        <v>16</v>
      </c>
      <c r="E172">
        <v>0.25</v>
      </c>
      <c r="F172" s="2">
        <v>44741</v>
      </c>
      <c r="G172" s="2" t="str">
        <f>TEXT(LayoffsData[[#This Row],[date]],"yyyy-mm")</f>
        <v>2022-06</v>
      </c>
      <c r="H172" s="1" t="s">
        <v>21</v>
      </c>
      <c r="I172" s="1" t="s">
        <v>17</v>
      </c>
      <c r="J172">
        <v>13</v>
      </c>
    </row>
    <row r="173" spans="1:10" x14ac:dyDescent="0.25">
      <c r="A173" s="1" t="s">
        <v>263</v>
      </c>
      <c r="B173" s="1" t="s">
        <v>264</v>
      </c>
      <c r="C173" s="1" t="s">
        <v>68</v>
      </c>
      <c r="F173" s="2">
        <v>43917</v>
      </c>
      <c r="G173" s="2" t="str">
        <f>TEXT(LayoffsData[[#This Row],[date]],"yyyy-mm")</f>
        <v>2020-03</v>
      </c>
      <c r="H173" s="1" t="s">
        <v>21</v>
      </c>
      <c r="I173" s="1" t="s">
        <v>38</v>
      </c>
    </row>
    <row r="174" spans="1:10" x14ac:dyDescent="0.25">
      <c r="A174" s="1" t="s">
        <v>265</v>
      </c>
      <c r="B174" s="1" t="s">
        <v>241</v>
      </c>
      <c r="C174" s="1" t="s">
        <v>15</v>
      </c>
      <c r="D174">
        <v>31</v>
      </c>
      <c r="E174">
        <v>0.08</v>
      </c>
      <c r="F174" s="2">
        <v>44965</v>
      </c>
      <c r="G174" s="2" t="str">
        <f>TEXT(LayoffsData[[#This Row],[date]],"yyyy-mm")</f>
        <v>2023-02</v>
      </c>
      <c r="H174" s="1" t="s">
        <v>16</v>
      </c>
      <c r="I174" s="1" t="s">
        <v>17</v>
      </c>
      <c r="J174">
        <v>168</v>
      </c>
    </row>
    <row r="175" spans="1:10" x14ac:dyDescent="0.25">
      <c r="A175" s="1" t="s">
        <v>266</v>
      </c>
      <c r="B175" s="1" t="s">
        <v>200</v>
      </c>
      <c r="C175" s="1" t="s">
        <v>147</v>
      </c>
      <c r="E175">
        <v>0.12</v>
      </c>
      <c r="F175" s="2">
        <v>44936</v>
      </c>
      <c r="G175" s="2" t="str">
        <f>TEXT(LayoffsData[[#This Row],[date]],"yyyy-mm")</f>
        <v>2023-01</v>
      </c>
      <c r="H175" s="1" t="s">
        <v>33</v>
      </c>
      <c r="I175" s="1" t="s">
        <v>17</v>
      </c>
      <c r="J175">
        <v>223</v>
      </c>
    </row>
    <row r="176" spans="1:10" x14ac:dyDescent="0.25">
      <c r="A176" s="1" t="s">
        <v>267</v>
      </c>
      <c r="B176" s="1" t="s">
        <v>268</v>
      </c>
      <c r="C176" s="1" t="s">
        <v>10</v>
      </c>
      <c r="F176" s="2">
        <v>44873</v>
      </c>
      <c r="G176" s="2" t="str">
        <f>TEXT(LayoffsData[[#This Row],[date]],"yyyy-mm")</f>
        <v>2022-11</v>
      </c>
      <c r="H176" s="1" t="s">
        <v>24</v>
      </c>
      <c r="I176" s="1" t="s">
        <v>269</v>
      </c>
      <c r="J176">
        <v>6</v>
      </c>
    </row>
    <row r="177" spans="1:10" x14ac:dyDescent="0.25">
      <c r="A177" s="1" t="s">
        <v>270</v>
      </c>
      <c r="B177" s="1" t="s">
        <v>35</v>
      </c>
      <c r="C177" s="1" t="s">
        <v>68</v>
      </c>
      <c r="D177">
        <v>30</v>
      </c>
      <c r="F177" s="2">
        <v>43931</v>
      </c>
      <c r="G177" s="2" t="str">
        <f>TEXT(LayoffsData[[#This Row],[date]],"yyyy-mm")</f>
        <v>2020-04</v>
      </c>
      <c r="H177" s="1" t="s">
        <v>24</v>
      </c>
      <c r="I177" s="1" t="s">
        <v>38</v>
      </c>
      <c r="J177">
        <v>14</v>
      </c>
    </row>
    <row r="178" spans="1:10" x14ac:dyDescent="0.25">
      <c r="A178" s="1" t="s">
        <v>271</v>
      </c>
      <c r="B178" s="1" t="s">
        <v>60</v>
      </c>
      <c r="C178" s="1" t="s">
        <v>68</v>
      </c>
      <c r="D178">
        <v>47</v>
      </c>
      <c r="E178">
        <v>0.1</v>
      </c>
      <c r="F178" s="2">
        <v>43917</v>
      </c>
      <c r="G178" s="2" t="str">
        <f>TEXT(LayoffsData[[#This Row],[date]],"yyyy-mm")</f>
        <v>2020-03</v>
      </c>
      <c r="H178" s="1" t="s">
        <v>24</v>
      </c>
      <c r="I178" s="1" t="s">
        <v>12</v>
      </c>
      <c r="J178">
        <v>49</v>
      </c>
    </row>
    <row r="179" spans="1:10" x14ac:dyDescent="0.25">
      <c r="A179" s="1" t="s">
        <v>272</v>
      </c>
      <c r="B179" s="1" t="s">
        <v>273</v>
      </c>
      <c r="C179" s="1" t="s">
        <v>149</v>
      </c>
      <c r="D179">
        <v>137</v>
      </c>
      <c r="E179">
        <v>0.14000000000000001</v>
      </c>
      <c r="F179" s="2">
        <v>44944</v>
      </c>
      <c r="G179" s="2" t="str">
        <f>TEXT(LayoffsData[[#This Row],[date]],"yyyy-mm")</f>
        <v>2023-01</v>
      </c>
      <c r="H179" s="1" t="s">
        <v>37</v>
      </c>
      <c r="I179" s="1" t="s">
        <v>12</v>
      </c>
      <c r="J179">
        <v>69</v>
      </c>
    </row>
    <row r="180" spans="1:10" x14ac:dyDescent="0.25">
      <c r="A180" s="1" t="s">
        <v>274</v>
      </c>
      <c r="B180" s="1" t="s">
        <v>32</v>
      </c>
      <c r="C180" s="1" t="s">
        <v>29</v>
      </c>
      <c r="E180">
        <v>0.14000000000000001</v>
      </c>
      <c r="F180" s="2">
        <v>44869</v>
      </c>
      <c r="G180" s="2" t="str">
        <f>TEXT(LayoffsData[[#This Row],[date]],"yyyy-mm")</f>
        <v>2022-11</v>
      </c>
      <c r="H180" s="1" t="s">
        <v>21</v>
      </c>
      <c r="I180" s="1" t="s">
        <v>17</v>
      </c>
      <c r="J180">
        <v>380</v>
      </c>
    </row>
    <row r="181" spans="1:10" x14ac:dyDescent="0.25">
      <c r="A181" s="1" t="s">
        <v>275</v>
      </c>
      <c r="B181" s="1" t="s">
        <v>14</v>
      </c>
      <c r="C181" s="1" t="s">
        <v>15</v>
      </c>
      <c r="E181">
        <v>0.12</v>
      </c>
      <c r="F181" s="2">
        <v>44782</v>
      </c>
      <c r="G181" s="2" t="str">
        <f>TEXT(LayoffsData[[#This Row],[date]],"yyyy-mm")</f>
        <v>2022-08</v>
      </c>
      <c r="H181" s="1" t="s">
        <v>11</v>
      </c>
      <c r="I181" s="1" t="s">
        <v>17</v>
      </c>
      <c r="J181">
        <v>272</v>
      </c>
    </row>
    <row r="182" spans="1:10" x14ac:dyDescent="0.25">
      <c r="A182" s="1" t="s">
        <v>276</v>
      </c>
      <c r="B182" s="1" t="s">
        <v>79</v>
      </c>
      <c r="C182" s="1" t="s">
        <v>29</v>
      </c>
      <c r="D182">
        <v>100</v>
      </c>
      <c r="E182">
        <v>0.1</v>
      </c>
      <c r="F182" s="2">
        <v>44722</v>
      </c>
      <c r="G182" s="2" t="str">
        <f>TEXT(LayoffsData[[#This Row],[date]],"yyyy-mm")</f>
        <v>2022-06</v>
      </c>
      <c r="H182" s="1" t="s">
        <v>37</v>
      </c>
      <c r="I182" s="1" t="s">
        <v>80</v>
      </c>
      <c r="J182">
        <v>1000</v>
      </c>
    </row>
    <row r="183" spans="1:10" x14ac:dyDescent="0.25">
      <c r="A183" s="1" t="s">
        <v>277</v>
      </c>
      <c r="B183" s="1" t="s">
        <v>278</v>
      </c>
      <c r="C183" s="1" t="s">
        <v>68</v>
      </c>
      <c r="D183">
        <v>41</v>
      </c>
      <c r="E183">
        <v>0.14000000000000001</v>
      </c>
      <c r="F183" s="2">
        <v>44736</v>
      </c>
      <c r="G183" s="2" t="str">
        <f>TEXT(LayoffsData[[#This Row],[date]],"yyyy-mm")</f>
        <v>2022-06</v>
      </c>
      <c r="H183" s="1" t="s">
        <v>28</v>
      </c>
      <c r="I183" s="1" t="s">
        <v>17</v>
      </c>
      <c r="J183">
        <v>137</v>
      </c>
    </row>
    <row r="184" spans="1:10" x14ac:dyDescent="0.25">
      <c r="A184" s="1" t="s">
        <v>279</v>
      </c>
      <c r="B184" s="1" t="s">
        <v>32</v>
      </c>
      <c r="C184" s="1" t="s">
        <v>174</v>
      </c>
      <c r="F184" s="2">
        <v>44670</v>
      </c>
      <c r="G184" s="2" t="str">
        <f>TEXT(LayoffsData[[#This Row],[date]],"yyyy-mm")</f>
        <v>2022-04</v>
      </c>
      <c r="H184" s="1" t="s">
        <v>37</v>
      </c>
      <c r="I184" s="1" t="s">
        <v>17</v>
      </c>
      <c r="J184">
        <v>905</v>
      </c>
    </row>
    <row r="185" spans="1:10" x14ac:dyDescent="0.25">
      <c r="A185" s="1" t="s">
        <v>279</v>
      </c>
      <c r="B185" s="1" t="s">
        <v>32</v>
      </c>
      <c r="C185" s="1" t="s">
        <v>174</v>
      </c>
      <c r="F185" s="2">
        <v>44799</v>
      </c>
      <c r="G185" s="2" t="str">
        <f>TEXT(LayoffsData[[#This Row],[date]],"yyyy-mm")</f>
        <v>2022-08</v>
      </c>
      <c r="H185" s="1" t="s">
        <v>37</v>
      </c>
      <c r="I185" s="1" t="s">
        <v>17</v>
      </c>
      <c r="J185">
        <v>905</v>
      </c>
    </row>
    <row r="186" spans="1:10" x14ac:dyDescent="0.25">
      <c r="A186" s="1" t="s">
        <v>279</v>
      </c>
      <c r="B186" s="1" t="s">
        <v>32</v>
      </c>
      <c r="C186" s="1" t="s">
        <v>174</v>
      </c>
      <c r="D186">
        <v>900</v>
      </c>
      <c r="E186">
        <v>0.09</v>
      </c>
      <c r="F186" s="2">
        <v>44531</v>
      </c>
      <c r="G186" s="2" t="str">
        <f>TEXT(LayoffsData[[#This Row],[date]],"yyyy-mm")</f>
        <v>2021-12</v>
      </c>
      <c r="H186" s="1" t="s">
        <v>37</v>
      </c>
      <c r="I186" s="1" t="s">
        <v>17</v>
      </c>
      <c r="J186">
        <v>905</v>
      </c>
    </row>
    <row r="187" spans="1:10" x14ac:dyDescent="0.25">
      <c r="A187" s="1" t="s">
        <v>279</v>
      </c>
      <c r="B187" s="1" t="s">
        <v>32</v>
      </c>
      <c r="C187" s="1" t="s">
        <v>174</v>
      </c>
      <c r="D187">
        <v>3000</v>
      </c>
      <c r="E187">
        <v>0.33</v>
      </c>
      <c r="F187" s="2">
        <v>44628</v>
      </c>
      <c r="G187" s="2" t="str">
        <f>TEXT(LayoffsData[[#This Row],[date]],"yyyy-mm")</f>
        <v>2022-03</v>
      </c>
      <c r="H187" s="1" t="s">
        <v>37</v>
      </c>
      <c r="I187" s="1" t="s">
        <v>17</v>
      </c>
      <c r="J187">
        <v>905</v>
      </c>
    </row>
    <row r="188" spans="1:10" x14ac:dyDescent="0.25">
      <c r="A188" s="1" t="s">
        <v>280</v>
      </c>
      <c r="B188" s="1" t="s">
        <v>32</v>
      </c>
      <c r="C188" s="1" t="s">
        <v>172</v>
      </c>
      <c r="F188" s="2">
        <v>43964</v>
      </c>
      <c r="G188" s="2" t="str">
        <f>TEXT(LayoffsData[[#This Row],[date]],"yyyy-mm")</f>
        <v>2020-05</v>
      </c>
      <c r="H188" s="1" t="s">
        <v>16</v>
      </c>
      <c r="I188" s="1" t="s">
        <v>17</v>
      </c>
      <c r="J188">
        <v>111</v>
      </c>
    </row>
    <row r="189" spans="1:10" x14ac:dyDescent="0.25">
      <c r="A189" s="1" t="s">
        <v>281</v>
      </c>
      <c r="B189" s="1" t="s">
        <v>282</v>
      </c>
      <c r="C189" s="1" t="s">
        <v>15</v>
      </c>
      <c r="E189">
        <v>0.3</v>
      </c>
      <c r="F189" s="2">
        <v>44944</v>
      </c>
      <c r="G189" s="2" t="str">
        <f>TEXT(LayoffsData[[#This Row],[date]],"yyyy-mm")</f>
        <v>2023-01</v>
      </c>
      <c r="H189" s="1" t="s">
        <v>28</v>
      </c>
      <c r="I189" s="1" t="s">
        <v>283</v>
      </c>
      <c r="J189">
        <v>204</v>
      </c>
    </row>
    <row r="190" spans="1:10" x14ac:dyDescent="0.25">
      <c r="A190" s="1" t="s">
        <v>281</v>
      </c>
      <c r="B190" s="1" t="s">
        <v>282</v>
      </c>
      <c r="C190" s="1" t="s">
        <v>15</v>
      </c>
      <c r="D190">
        <v>30</v>
      </c>
      <c r="F190" s="2">
        <v>44784</v>
      </c>
      <c r="G190" s="2" t="str">
        <f>TEXT(LayoffsData[[#This Row],[date]],"yyyy-mm")</f>
        <v>2022-08</v>
      </c>
      <c r="H190" s="1" t="s">
        <v>28</v>
      </c>
      <c r="I190" s="1" t="s">
        <v>283</v>
      </c>
      <c r="J190">
        <v>204</v>
      </c>
    </row>
    <row r="191" spans="1:10" x14ac:dyDescent="0.25">
      <c r="A191" s="1" t="s">
        <v>284</v>
      </c>
      <c r="B191" s="1" t="s">
        <v>32</v>
      </c>
      <c r="C191" s="1" t="s">
        <v>68</v>
      </c>
      <c r="D191">
        <v>28</v>
      </c>
      <c r="F191" s="2">
        <v>44972</v>
      </c>
      <c r="G191" s="2" t="str">
        <f>TEXT(LayoffsData[[#This Row],[date]],"yyyy-mm")</f>
        <v>2023-02</v>
      </c>
      <c r="H191" s="1" t="s">
        <v>86</v>
      </c>
      <c r="I191" s="1" t="s">
        <v>17</v>
      </c>
      <c r="J191">
        <v>435</v>
      </c>
    </row>
    <row r="192" spans="1:10" x14ac:dyDescent="0.25">
      <c r="A192" s="1" t="s">
        <v>285</v>
      </c>
      <c r="B192" s="1" t="s">
        <v>73</v>
      </c>
      <c r="C192" s="1" t="s">
        <v>51</v>
      </c>
      <c r="D192">
        <v>30</v>
      </c>
      <c r="E192">
        <v>0.2</v>
      </c>
      <c r="F192" s="2">
        <v>43917</v>
      </c>
      <c r="G192" s="2" t="str">
        <f>TEXT(LayoffsData[[#This Row],[date]],"yyyy-mm")</f>
        <v>2020-03</v>
      </c>
      <c r="H192" s="1" t="s">
        <v>28</v>
      </c>
      <c r="I192" s="1" t="s">
        <v>17</v>
      </c>
      <c r="J192">
        <v>60</v>
      </c>
    </row>
    <row r="193" spans="1:10" x14ac:dyDescent="0.25">
      <c r="A193" s="1" t="s">
        <v>286</v>
      </c>
      <c r="B193" s="1" t="s">
        <v>26</v>
      </c>
      <c r="C193" s="1" t="s">
        <v>51</v>
      </c>
      <c r="D193">
        <v>40</v>
      </c>
      <c r="F193" s="2">
        <v>44776</v>
      </c>
      <c r="G193" s="2" t="str">
        <f>TEXT(LayoffsData[[#This Row],[date]],"yyyy-mm")</f>
        <v>2022-08</v>
      </c>
      <c r="H193" s="1" t="s">
        <v>11</v>
      </c>
      <c r="I193" s="1" t="s">
        <v>17</v>
      </c>
      <c r="J193">
        <v>122</v>
      </c>
    </row>
    <row r="194" spans="1:10" x14ac:dyDescent="0.25">
      <c r="A194" s="1" t="s">
        <v>286</v>
      </c>
      <c r="B194" s="1" t="s">
        <v>26</v>
      </c>
      <c r="C194" s="1" t="s">
        <v>51</v>
      </c>
      <c r="D194">
        <v>200</v>
      </c>
      <c r="E194">
        <v>0.19</v>
      </c>
      <c r="F194" s="2">
        <v>44848</v>
      </c>
      <c r="G194" s="2" t="str">
        <f>TEXT(LayoffsData[[#This Row],[date]],"yyyy-mm")</f>
        <v>2022-10</v>
      </c>
      <c r="H194" s="1" t="s">
        <v>11</v>
      </c>
      <c r="I194" s="1" t="s">
        <v>17</v>
      </c>
      <c r="J194">
        <v>122</v>
      </c>
    </row>
    <row r="195" spans="1:10" x14ac:dyDescent="0.25">
      <c r="A195" s="1" t="s">
        <v>287</v>
      </c>
      <c r="B195" s="1" t="s">
        <v>168</v>
      </c>
      <c r="C195" s="1" t="s">
        <v>74</v>
      </c>
      <c r="D195">
        <v>65</v>
      </c>
      <c r="E195">
        <v>1</v>
      </c>
      <c r="F195" s="2">
        <v>44704</v>
      </c>
      <c r="G195" s="2" t="str">
        <f>TEXT(LayoffsData[[#This Row],[date]],"yyyy-mm")</f>
        <v>2022-05</v>
      </c>
      <c r="H195" s="1" t="s">
        <v>21</v>
      </c>
      <c r="I195" s="1" t="s">
        <v>170</v>
      </c>
      <c r="J195">
        <v>16</v>
      </c>
    </row>
    <row r="196" spans="1:10" x14ac:dyDescent="0.25">
      <c r="A196" s="1" t="s">
        <v>288</v>
      </c>
      <c r="B196" s="1" t="s">
        <v>67</v>
      </c>
      <c r="C196" s="1" t="s">
        <v>51</v>
      </c>
      <c r="D196">
        <v>40</v>
      </c>
      <c r="E196">
        <v>0.43</v>
      </c>
      <c r="F196" s="2">
        <v>44941</v>
      </c>
      <c r="G196" s="2" t="str">
        <f>TEXT(LayoffsData[[#This Row],[date]],"yyyy-mm")</f>
        <v>2023-01</v>
      </c>
      <c r="H196" s="1" t="s">
        <v>21</v>
      </c>
      <c r="I196" s="1" t="s">
        <v>69</v>
      </c>
      <c r="J196">
        <v>21</v>
      </c>
    </row>
    <row r="197" spans="1:10" x14ac:dyDescent="0.25">
      <c r="A197" s="1" t="s">
        <v>289</v>
      </c>
      <c r="B197" s="1" t="s">
        <v>55</v>
      </c>
      <c r="C197" s="1" t="s">
        <v>63</v>
      </c>
      <c r="D197">
        <v>250</v>
      </c>
      <c r="F197" s="2">
        <v>44075</v>
      </c>
      <c r="G197" s="2" t="str">
        <f>TEXT(LayoffsData[[#This Row],[date]],"yyyy-mm")</f>
        <v>2020-09</v>
      </c>
      <c r="H197" s="1" t="s">
        <v>57</v>
      </c>
      <c r="I197" s="1" t="s">
        <v>17</v>
      </c>
      <c r="J197">
        <v>95</v>
      </c>
    </row>
    <row r="198" spans="1:10" x14ac:dyDescent="0.25">
      <c r="A198" s="1" t="s">
        <v>290</v>
      </c>
      <c r="B198" s="1" t="s">
        <v>130</v>
      </c>
      <c r="C198" s="1" t="s">
        <v>74</v>
      </c>
      <c r="E198">
        <v>7.0000000000000007E-2</v>
      </c>
      <c r="F198" s="2">
        <v>44812</v>
      </c>
      <c r="G198" s="2" t="str">
        <f>TEXT(LayoffsData[[#This Row],[date]],"yyyy-mm")</f>
        <v>2022-09</v>
      </c>
      <c r="H198" s="1" t="s">
        <v>11</v>
      </c>
      <c r="I198" s="1" t="s">
        <v>17</v>
      </c>
      <c r="J198">
        <v>200</v>
      </c>
    </row>
    <row r="199" spans="1:10" x14ac:dyDescent="0.25">
      <c r="A199" s="1" t="s">
        <v>291</v>
      </c>
      <c r="B199" s="1" t="s">
        <v>137</v>
      </c>
      <c r="C199" s="1" t="s">
        <v>29</v>
      </c>
      <c r="D199">
        <v>180</v>
      </c>
      <c r="E199">
        <v>0.13</v>
      </c>
      <c r="F199" s="2">
        <v>44910</v>
      </c>
      <c r="G199" s="2" t="str">
        <f>TEXT(LayoffsData[[#This Row],[date]],"yyyy-mm")</f>
        <v>2022-12</v>
      </c>
      <c r="H199" s="1" t="s">
        <v>11</v>
      </c>
      <c r="I199" s="1" t="s">
        <v>17</v>
      </c>
      <c r="J199">
        <v>224</v>
      </c>
    </row>
    <row r="200" spans="1:10" x14ac:dyDescent="0.25">
      <c r="A200" s="1" t="s">
        <v>292</v>
      </c>
      <c r="B200" s="1" t="s">
        <v>293</v>
      </c>
      <c r="C200" s="1" t="s">
        <v>29</v>
      </c>
      <c r="F200" s="2">
        <v>44770</v>
      </c>
      <c r="G200" s="2" t="str">
        <f>TEXT(LayoffsData[[#This Row],[date]],"yyyy-mm")</f>
        <v>2022-07</v>
      </c>
      <c r="H200" s="1" t="s">
        <v>21</v>
      </c>
      <c r="I200" s="1" t="s">
        <v>69</v>
      </c>
      <c r="J200">
        <v>12</v>
      </c>
    </row>
    <row r="201" spans="1:10" x14ac:dyDescent="0.25">
      <c r="A201" s="1" t="s">
        <v>294</v>
      </c>
      <c r="B201" s="1" t="s">
        <v>295</v>
      </c>
      <c r="C201" s="1" t="s">
        <v>63</v>
      </c>
      <c r="E201">
        <v>0.3</v>
      </c>
      <c r="F201" s="2">
        <v>44922</v>
      </c>
      <c r="G201" s="2" t="str">
        <f>TEXT(LayoffsData[[#This Row],[date]],"yyyy-mm")</f>
        <v>2022-12</v>
      </c>
      <c r="H201" s="1" t="s">
        <v>11</v>
      </c>
      <c r="I201" s="1" t="s">
        <v>296</v>
      </c>
      <c r="J201">
        <v>3700</v>
      </c>
    </row>
    <row r="202" spans="1:10" x14ac:dyDescent="0.25">
      <c r="A202" s="1" t="s">
        <v>297</v>
      </c>
      <c r="B202" s="1" t="s">
        <v>14</v>
      </c>
      <c r="C202" s="1" t="s">
        <v>15</v>
      </c>
      <c r="D202">
        <v>120</v>
      </c>
      <c r="E202">
        <v>0.04</v>
      </c>
      <c r="F202" s="2">
        <v>44841</v>
      </c>
      <c r="G202" s="2" t="str">
        <f>TEXT(LayoffsData[[#This Row],[date]],"yyyy-mm")</f>
        <v>2022-10</v>
      </c>
      <c r="H202" s="1" t="s">
        <v>11</v>
      </c>
      <c r="I202" s="1" t="s">
        <v>17</v>
      </c>
      <c r="J202">
        <v>585</v>
      </c>
    </row>
    <row r="203" spans="1:10" x14ac:dyDescent="0.25">
      <c r="A203" s="1" t="s">
        <v>298</v>
      </c>
      <c r="B203" s="1" t="s">
        <v>26</v>
      </c>
      <c r="C203" s="1" t="s">
        <v>10</v>
      </c>
      <c r="D203">
        <v>138</v>
      </c>
      <c r="E203">
        <v>0.23</v>
      </c>
      <c r="F203" s="2">
        <v>44719</v>
      </c>
      <c r="G203" s="2" t="str">
        <f>TEXT(LayoffsData[[#This Row],[date]],"yyyy-mm")</f>
        <v>2022-06</v>
      </c>
      <c r="H203" s="1" t="s">
        <v>11</v>
      </c>
      <c r="I203" s="1" t="s">
        <v>17</v>
      </c>
      <c r="J203">
        <v>783</v>
      </c>
    </row>
    <row r="204" spans="1:10" x14ac:dyDescent="0.25">
      <c r="A204" s="1" t="s">
        <v>298</v>
      </c>
      <c r="B204" s="1" t="s">
        <v>26</v>
      </c>
      <c r="C204" s="1" t="s">
        <v>10</v>
      </c>
      <c r="D204">
        <v>406</v>
      </c>
      <c r="E204">
        <v>0.3</v>
      </c>
      <c r="F204" s="2">
        <v>43917</v>
      </c>
      <c r="G204" s="2" t="str">
        <f>TEXT(LayoffsData[[#This Row],[date]],"yyyy-mm")</f>
        <v>2020-03</v>
      </c>
      <c r="H204" s="1" t="s">
        <v>33</v>
      </c>
      <c r="I204" s="1" t="s">
        <v>17</v>
      </c>
      <c r="J204">
        <v>623</v>
      </c>
    </row>
    <row r="205" spans="1:10" x14ac:dyDescent="0.25">
      <c r="A205" s="1" t="s">
        <v>299</v>
      </c>
      <c r="B205" s="1" t="s">
        <v>300</v>
      </c>
      <c r="C205" s="1" t="s">
        <v>36</v>
      </c>
      <c r="F205" s="2">
        <v>43927</v>
      </c>
      <c r="G205" s="2" t="str">
        <f>TEXT(LayoffsData[[#This Row],[date]],"yyyy-mm")</f>
        <v>2020-04</v>
      </c>
      <c r="H205" s="1" t="s">
        <v>11</v>
      </c>
      <c r="I205" s="1" t="s">
        <v>12</v>
      </c>
      <c r="J205">
        <v>25</v>
      </c>
    </row>
    <row r="206" spans="1:10" x14ac:dyDescent="0.25">
      <c r="A206" s="1" t="s">
        <v>301</v>
      </c>
      <c r="B206" s="1" t="s">
        <v>14</v>
      </c>
      <c r="C206" s="1" t="s">
        <v>36</v>
      </c>
      <c r="E206">
        <v>1</v>
      </c>
      <c r="F206" s="2">
        <v>44894</v>
      </c>
      <c r="G206" s="2" t="str">
        <f>TEXT(LayoffsData[[#This Row],[date]],"yyyy-mm")</f>
        <v>2022-11</v>
      </c>
      <c r="H206" s="1" t="s">
        <v>37</v>
      </c>
      <c r="I206" s="1" t="s">
        <v>17</v>
      </c>
    </row>
    <row r="207" spans="1:10" x14ac:dyDescent="0.25">
      <c r="A207" s="1" t="s">
        <v>302</v>
      </c>
      <c r="B207" s="1" t="s">
        <v>14</v>
      </c>
      <c r="C207" s="1" t="s">
        <v>36</v>
      </c>
      <c r="E207">
        <v>0.12</v>
      </c>
      <c r="F207" s="2">
        <v>43938</v>
      </c>
      <c r="G207" s="2" t="str">
        <f>TEXT(LayoffsData[[#This Row],[date]],"yyyy-mm")</f>
        <v>2020-04</v>
      </c>
      <c r="H207" s="1" t="s">
        <v>24</v>
      </c>
      <c r="I207" s="1" t="s">
        <v>17</v>
      </c>
      <c r="J207">
        <v>69</v>
      </c>
    </row>
    <row r="208" spans="1:10" x14ac:dyDescent="0.25">
      <c r="A208" s="1" t="s">
        <v>303</v>
      </c>
      <c r="B208" s="1" t="s">
        <v>304</v>
      </c>
      <c r="C208" s="1" t="s">
        <v>36</v>
      </c>
      <c r="E208">
        <v>0.3</v>
      </c>
      <c r="F208" s="2">
        <v>44867</v>
      </c>
      <c r="G208" s="2" t="str">
        <f>TEXT(LayoffsData[[#This Row],[date]],"yyyy-mm")</f>
        <v>2022-11</v>
      </c>
      <c r="H208" s="1" t="s">
        <v>131</v>
      </c>
      <c r="I208" s="1" t="s">
        <v>305</v>
      </c>
      <c r="J208">
        <v>0</v>
      </c>
    </row>
    <row r="209" spans="1:10" x14ac:dyDescent="0.25">
      <c r="A209" s="1" t="s">
        <v>303</v>
      </c>
      <c r="B209" s="1" t="s">
        <v>304</v>
      </c>
      <c r="C209" s="1" t="s">
        <v>36</v>
      </c>
      <c r="D209">
        <v>75</v>
      </c>
      <c r="E209">
        <v>0.25</v>
      </c>
      <c r="F209" s="2">
        <v>44655</v>
      </c>
      <c r="G209" s="2" t="str">
        <f>TEXT(LayoffsData[[#This Row],[date]],"yyyy-mm")</f>
        <v>2022-04</v>
      </c>
      <c r="H209" s="1" t="s">
        <v>131</v>
      </c>
      <c r="I209" s="1" t="s">
        <v>305</v>
      </c>
      <c r="J209">
        <v>0</v>
      </c>
    </row>
    <row r="210" spans="1:10" x14ac:dyDescent="0.25">
      <c r="A210" s="1" t="s">
        <v>306</v>
      </c>
      <c r="B210" s="1" t="s">
        <v>244</v>
      </c>
      <c r="C210" s="1" t="s">
        <v>36</v>
      </c>
      <c r="D210">
        <v>9</v>
      </c>
      <c r="E210">
        <v>0.05</v>
      </c>
      <c r="F210" s="2">
        <v>44731</v>
      </c>
      <c r="G210" s="2" t="str">
        <f>TEXT(LayoffsData[[#This Row],[date]],"yyyy-mm")</f>
        <v>2022-06</v>
      </c>
      <c r="H210" s="1" t="s">
        <v>24</v>
      </c>
      <c r="I210" s="1" t="s">
        <v>245</v>
      </c>
      <c r="J210">
        <v>30</v>
      </c>
    </row>
    <row r="211" spans="1:10" x14ac:dyDescent="0.25">
      <c r="A211" s="1" t="s">
        <v>307</v>
      </c>
      <c r="B211" s="1" t="s">
        <v>308</v>
      </c>
      <c r="C211" s="1" t="s">
        <v>36</v>
      </c>
      <c r="D211">
        <v>270</v>
      </c>
      <c r="E211">
        <v>0.27</v>
      </c>
      <c r="F211" s="2">
        <v>44736</v>
      </c>
      <c r="G211" s="2" t="str">
        <f>TEXT(LayoffsData[[#This Row],[date]],"yyyy-mm")</f>
        <v>2022-06</v>
      </c>
      <c r="H211" s="1" t="s">
        <v>28</v>
      </c>
      <c r="I211" s="1" t="s">
        <v>309</v>
      </c>
      <c r="J211">
        <v>546</v>
      </c>
    </row>
    <row r="212" spans="1:10" x14ac:dyDescent="0.25">
      <c r="A212" s="1" t="s">
        <v>310</v>
      </c>
      <c r="B212" s="1" t="s">
        <v>311</v>
      </c>
      <c r="C212" s="1" t="s">
        <v>124</v>
      </c>
      <c r="E212">
        <v>0.14000000000000001</v>
      </c>
      <c r="F212" s="2">
        <v>44818</v>
      </c>
      <c r="G212" s="2" t="str">
        <f>TEXT(LayoffsData[[#This Row],[date]],"yyyy-mm")</f>
        <v>2022-09</v>
      </c>
      <c r="H212" s="1" t="s">
        <v>28</v>
      </c>
      <c r="I212" s="1" t="s">
        <v>312</v>
      </c>
      <c r="J212">
        <v>83</v>
      </c>
    </row>
    <row r="213" spans="1:10" x14ac:dyDescent="0.25">
      <c r="A213" s="1" t="s">
        <v>313</v>
      </c>
      <c r="B213" s="1" t="s">
        <v>168</v>
      </c>
      <c r="C213" s="1" t="s">
        <v>172</v>
      </c>
      <c r="D213">
        <v>40</v>
      </c>
      <c r="F213" s="2">
        <v>44983</v>
      </c>
      <c r="G213" s="2" t="str">
        <f>TEXT(LayoffsData[[#This Row],[date]],"yyyy-mm")</f>
        <v>2023-02</v>
      </c>
      <c r="H213" s="1" t="s">
        <v>37</v>
      </c>
      <c r="I213" s="1" t="s">
        <v>170</v>
      </c>
      <c r="J213">
        <v>401</v>
      </c>
    </row>
    <row r="214" spans="1:10" x14ac:dyDescent="0.25">
      <c r="A214" s="1" t="s">
        <v>314</v>
      </c>
      <c r="B214" s="1" t="s">
        <v>315</v>
      </c>
      <c r="C214" s="1" t="s">
        <v>36</v>
      </c>
      <c r="D214">
        <v>80</v>
      </c>
      <c r="E214">
        <v>0.11</v>
      </c>
      <c r="F214" s="2">
        <v>44707</v>
      </c>
      <c r="G214" s="2" t="str">
        <f>TEXT(LayoffsData[[#This Row],[date]],"yyyy-mm")</f>
        <v>2022-05</v>
      </c>
      <c r="H214" s="1" t="s">
        <v>28</v>
      </c>
      <c r="I214" s="1" t="s">
        <v>316</v>
      </c>
      <c r="J214">
        <v>378</v>
      </c>
    </row>
    <row r="215" spans="1:10" x14ac:dyDescent="0.25">
      <c r="A215" s="1" t="s">
        <v>314</v>
      </c>
      <c r="B215" s="1" t="s">
        <v>315</v>
      </c>
      <c r="C215" s="1" t="s">
        <v>36</v>
      </c>
      <c r="D215">
        <v>100</v>
      </c>
      <c r="F215" s="2">
        <v>44894</v>
      </c>
      <c r="G215" s="2" t="str">
        <f>TEXT(LayoffsData[[#This Row],[date]],"yyyy-mm")</f>
        <v>2022-11</v>
      </c>
      <c r="H215" s="1" t="s">
        <v>28</v>
      </c>
      <c r="I215" s="1" t="s">
        <v>316</v>
      </c>
      <c r="J215">
        <v>378</v>
      </c>
    </row>
    <row r="216" spans="1:10" x14ac:dyDescent="0.25">
      <c r="A216" s="1" t="s">
        <v>317</v>
      </c>
      <c r="B216" s="1" t="s">
        <v>55</v>
      </c>
      <c r="C216" s="1" t="s">
        <v>74</v>
      </c>
      <c r="D216">
        <v>70</v>
      </c>
      <c r="E216">
        <v>0.27</v>
      </c>
      <c r="F216" s="2">
        <v>44518</v>
      </c>
      <c r="G216" s="2" t="str">
        <f>TEXT(LayoffsData[[#This Row],[date]],"yyyy-mm")</f>
        <v>2021-11</v>
      </c>
      <c r="H216" s="1" t="s">
        <v>57</v>
      </c>
      <c r="I216" s="1" t="s">
        <v>17</v>
      </c>
      <c r="J216">
        <v>46</v>
      </c>
    </row>
    <row r="217" spans="1:10" x14ac:dyDescent="0.25">
      <c r="A217" s="1" t="s">
        <v>318</v>
      </c>
      <c r="B217" s="1" t="s">
        <v>14</v>
      </c>
      <c r="C217" s="1" t="s">
        <v>124</v>
      </c>
      <c r="D217">
        <v>92</v>
      </c>
      <c r="F217" s="2">
        <v>44946</v>
      </c>
      <c r="G217" s="2" t="str">
        <f>TEXT(LayoffsData[[#This Row],[date]],"yyyy-mm")</f>
        <v>2023-01</v>
      </c>
      <c r="H217" s="1" t="s">
        <v>57</v>
      </c>
      <c r="I217" s="1" t="s">
        <v>17</v>
      </c>
    </row>
    <row r="218" spans="1:10" x14ac:dyDescent="0.25">
      <c r="A218" s="1" t="s">
        <v>319</v>
      </c>
      <c r="B218" s="1" t="s">
        <v>55</v>
      </c>
      <c r="C218" s="1" t="s">
        <v>36</v>
      </c>
      <c r="D218">
        <v>80</v>
      </c>
      <c r="F218" s="2">
        <v>44959</v>
      </c>
      <c r="G218" s="2" t="str">
        <f>TEXT(LayoffsData[[#This Row],[date]],"yyyy-mm")</f>
        <v>2023-02</v>
      </c>
      <c r="H218" s="1" t="s">
        <v>37</v>
      </c>
      <c r="I218" s="1" t="s">
        <v>17</v>
      </c>
    </row>
    <row r="219" spans="1:10" x14ac:dyDescent="0.25">
      <c r="A219" s="1" t="s">
        <v>320</v>
      </c>
      <c r="B219" s="1" t="s">
        <v>67</v>
      </c>
      <c r="C219" s="1" t="s">
        <v>108</v>
      </c>
      <c r="D219">
        <v>140</v>
      </c>
      <c r="F219" s="2">
        <v>44022</v>
      </c>
      <c r="G219" s="2" t="str">
        <f>TEXT(LayoffsData[[#This Row],[date]],"yyyy-mm")</f>
        <v>2020-07</v>
      </c>
      <c r="H219" s="1" t="s">
        <v>28</v>
      </c>
      <c r="I219" s="1" t="s">
        <v>69</v>
      </c>
      <c r="J219">
        <v>70</v>
      </c>
    </row>
    <row r="220" spans="1:10" x14ac:dyDescent="0.25">
      <c r="A220" s="1" t="s">
        <v>321</v>
      </c>
      <c r="B220" s="1" t="s">
        <v>44</v>
      </c>
      <c r="C220" s="1" t="s">
        <v>68</v>
      </c>
      <c r="E220">
        <v>0.3</v>
      </c>
      <c r="F220" s="2">
        <v>44685</v>
      </c>
      <c r="G220" s="2" t="str">
        <f>TEXT(LayoffsData[[#This Row],[date]],"yyyy-mm")</f>
        <v>2022-05</v>
      </c>
      <c r="H220" s="1" t="s">
        <v>37</v>
      </c>
      <c r="I220" s="1" t="s">
        <v>46</v>
      </c>
      <c r="J220">
        <v>45</v>
      </c>
    </row>
    <row r="221" spans="1:10" x14ac:dyDescent="0.25">
      <c r="A221" s="1" t="s">
        <v>322</v>
      </c>
      <c r="B221" s="1" t="s">
        <v>32</v>
      </c>
      <c r="C221" s="1" t="s">
        <v>20</v>
      </c>
      <c r="D221">
        <v>100</v>
      </c>
      <c r="E221">
        <v>0.37</v>
      </c>
      <c r="F221" s="2">
        <v>44896</v>
      </c>
      <c r="G221" s="2" t="str">
        <f>TEXT(LayoffsData[[#This Row],[date]],"yyyy-mm")</f>
        <v>2022-12</v>
      </c>
      <c r="H221" s="1" t="s">
        <v>16</v>
      </c>
      <c r="I221" s="1" t="s">
        <v>17</v>
      </c>
      <c r="J221">
        <v>194</v>
      </c>
    </row>
    <row r="222" spans="1:10" x14ac:dyDescent="0.25">
      <c r="A222" s="1" t="s">
        <v>322</v>
      </c>
      <c r="B222" s="1" t="s">
        <v>32</v>
      </c>
      <c r="C222" s="1" t="s">
        <v>20</v>
      </c>
      <c r="D222">
        <v>120</v>
      </c>
      <c r="E222">
        <v>0.3</v>
      </c>
      <c r="F222" s="2">
        <v>44747</v>
      </c>
      <c r="G222" s="2" t="str">
        <f>TEXT(LayoffsData[[#This Row],[date]],"yyyy-mm")</f>
        <v>2022-07</v>
      </c>
      <c r="H222" s="1" t="s">
        <v>16</v>
      </c>
      <c r="I222" s="1" t="s">
        <v>17</v>
      </c>
      <c r="J222">
        <v>194</v>
      </c>
    </row>
    <row r="223" spans="1:10" x14ac:dyDescent="0.25">
      <c r="A223" s="1" t="s">
        <v>323</v>
      </c>
      <c r="B223" s="1" t="s">
        <v>324</v>
      </c>
      <c r="C223" s="1" t="s">
        <v>325</v>
      </c>
      <c r="D223">
        <v>900</v>
      </c>
      <c r="F223" s="2">
        <v>44939</v>
      </c>
      <c r="G223" s="2" t="str">
        <f>TEXT(LayoffsData[[#This Row],[date]],"yyyy-mm")</f>
        <v>2023-01</v>
      </c>
      <c r="H223" s="1" t="s">
        <v>37</v>
      </c>
      <c r="I223" s="1" t="s">
        <v>296</v>
      </c>
    </row>
    <row r="224" spans="1:10" x14ac:dyDescent="0.25">
      <c r="A224" s="1" t="s">
        <v>326</v>
      </c>
      <c r="B224" s="1" t="s">
        <v>327</v>
      </c>
      <c r="C224" s="1" t="s">
        <v>149</v>
      </c>
      <c r="D224">
        <v>500</v>
      </c>
      <c r="E224">
        <v>0.14000000000000001</v>
      </c>
      <c r="F224" s="2"/>
      <c r="G224" s="2" t="str">
        <f>TEXT(LayoffsData[[#This Row],[date]],"yyyy-mm")</f>
        <v>1900-01</v>
      </c>
      <c r="H224" s="1" t="s">
        <v>11</v>
      </c>
      <c r="I224" s="1" t="s">
        <v>17</v>
      </c>
    </row>
    <row r="225" spans="1:10" x14ac:dyDescent="0.25">
      <c r="A225" s="1" t="s">
        <v>328</v>
      </c>
      <c r="B225" s="1" t="s">
        <v>293</v>
      </c>
      <c r="C225" s="1" t="s">
        <v>108</v>
      </c>
      <c r="D225">
        <v>200</v>
      </c>
      <c r="F225" s="2">
        <v>43938</v>
      </c>
      <c r="G225" s="2" t="str">
        <f>TEXT(LayoffsData[[#This Row],[date]],"yyyy-mm")</f>
        <v>2020-04</v>
      </c>
      <c r="H225" s="1" t="s">
        <v>33</v>
      </c>
      <c r="I225" s="1" t="s">
        <v>69</v>
      </c>
      <c r="J225">
        <v>293</v>
      </c>
    </row>
    <row r="226" spans="1:10" x14ac:dyDescent="0.25">
      <c r="A226" s="1" t="s">
        <v>329</v>
      </c>
      <c r="B226" s="1" t="s">
        <v>26</v>
      </c>
      <c r="C226" s="1" t="s">
        <v>68</v>
      </c>
      <c r="D226">
        <v>95</v>
      </c>
      <c r="E226">
        <v>0.05</v>
      </c>
      <c r="F226" s="2">
        <v>44903</v>
      </c>
      <c r="G226" s="2" t="str">
        <f>TEXT(LayoffsData[[#This Row],[date]],"yyyy-mm")</f>
        <v>2022-12</v>
      </c>
      <c r="H226" s="1" t="s">
        <v>105</v>
      </c>
      <c r="I226" s="1" t="s">
        <v>17</v>
      </c>
      <c r="J226">
        <v>220</v>
      </c>
    </row>
    <row r="227" spans="1:10" x14ac:dyDescent="0.25">
      <c r="A227" s="1" t="s">
        <v>330</v>
      </c>
      <c r="B227" s="1" t="s">
        <v>200</v>
      </c>
      <c r="C227" s="1" t="s">
        <v>63</v>
      </c>
      <c r="D227">
        <v>20</v>
      </c>
      <c r="F227" s="2">
        <v>44085</v>
      </c>
      <c r="G227" s="2" t="str">
        <f>TEXT(LayoffsData[[#This Row],[date]],"yyyy-mm")</f>
        <v>2020-09</v>
      </c>
      <c r="H227" s="1" t="s">
        <v>57</v>
      </c>
      <c r="I227" s="1" t="s">
        <v>201</v>
      </c>
      <c r="J227">
        <v>41</v>
      </c>
    </row>
    <row r="228" spans="1:10" x14ac:dyDescent="0.25">
      <c r="A228" s="1" t="s">
        <v>331</v>
      </c>
      <c r="B228" s="1" t="s">
        <v>14</v>
      </c>
      <c r="C228" s="1" t="s">
        <v>68</v>
      </c>
      <c r="D228">
        <v>100</v>
      </c>
      <c r="E228">
        <v>0.06</v>
      </c>
      <c r="F228" s="2">
        <v>44875</v>
      </c>
      <c r="G228" s="2" t="str">
        <f>TEXT(LayoffsData[[#This Row],[date]],"yyyy-mm")</f>
        <v>2022-11</v>
      </c>
      <c r="H228" s="1" t="s">
        <v>11</v>
      </c>
      <c r="I228" s="1" t="s">
        <v>17</v>
      </c>
      <c r="J228">
        <v>665</v>
      </c>
    </row>
    <row r="229" spans="1:10" x14ac:dyDescent="0.25">
      <c r="A229" s="1" t="s">
        <v>331</v>
      </c>
      <c r="B229" s="1" t="s">
        <v>14</v>
      </c>
      <c r="C229" s="1" t="s">
        <v>68</v>
      </c>
      <c r="D229">
        <v>200</v>
      </c>
      <c r="E229">
        <v>0.1</v>
      </c>
      <c r="F229" s="2">
        <v>44670</v>
      </c>
      <c r="G229" s="2" t="str">
        <f>TEXT(LayoffsData[[#This Row],[date]],"yyyy-mm")</f>
        <v>2022-04</v>
      </c>
      <c r="H229" s="1" t="s">
        <v>11</v>
      </c>
      <c r="I229" s="1" t="s">
        <v>17</v>
      </c>
      <c r="J229">
        <v>665</v>
      </c>
    </row>
    <row r="230" spans="1:10" x14ac:dyDescent="0.25">
      <c r="A230" s="1" t="s">
        <v>331</v>
      </c>
      <c r="B230" s="1" t="s">
        <v>14</v>
      </c>
      <c r="C230" s="1" t="s">
        <v>68</v>
      </c>
      <c r="D230">
        <v>220</v>
      </c>
      <c r="E230">
        <v>0.12</v>
      </c>
      <c r="F230" s="2">
        <v>44788</v>
      </c>
      <c r="G230" s="2" t="str">
        <f>TEXT(LayoffsData[[#This Row],[date]],"yyyy-mm")</f>
        <v>2022-08</v>
      </c>
      <c r="H230" s="1" t="s">
        <v>11</v>
      </c>
      <c r="I230" s="1" t="s">
        <v>17</v>
      </c>
      <c r="J230">
        <v>665</v>
      </c>
    </row>
    <row r="231" spans="1:10" x14ac:dyDescent="0.25">
      <c r="A231" s="1" t="s">
        <v>331</v>
      </c>
      <c r="B231" s="1" t="s">
        <v>14</v>
      </c>
      <c r="C231" s="1" t="s">
        <v>68</v>
      </c>
      <c r="D231">
        <v>340</v>
      </c>
      <c r="E231">
        <v>0.28000000000000003</v>
      </c>
      <c r="F231" s="2">
        <v>44936</v>
      </c>
      <c r="G231" s="2" t="str">
        <f>TEXT(LayoffsData[[#This Row],[date]],"yyyy-mm")</f>
        <v>2023-01</v>
      </c>
      <c r="H231" s="1" t="s">
        <v>11</v>
      </c>
      <c r="I231" s="1" t="s">
        <v>17</v>
      </c>
      <c r="J231">
        <v>665</v>
      </c>
    </row>
    <row r="232" spans="1:10" x14ac:dyDescent="0.25">
      <c r="A232" s="1" t="s">
        <v>332</v>
      </c>
      <c r="B232" s="1" t="s">
        <v>200</v>
      </c>
      <c r="C232" s="1" t="s">
        <v>36</v>
      </c>
      <c r="D232">
        <v>110</v>
      </c>
      <c r="E232">
        <v>0.28000000000000003</v>
      </c>
      <c r="F232" s="2">
        <v>44938</v>
      </c>
      <c r="G232" s="2" t="str">
        <f>TEXT(LayoffsData[[#This Row],[date]],"yyyy-mm")</f>
        <v>2023-01</v>
      </c>
      <c r="H232" s="1" t="s">
        <v>33</v>
      </c>
      <c r="I232" s="1" t="s">
        <v>201</v>
      </c>
      <c r="J232">
        <v>490</v>
      </c>
    </row>
    <row r="233" spans="1:10" x14ac:dyDescent="0.25">
      <c r="A233" s="1" t="s">
        <v>332</v>
      </c>
      <c r="B233" s="1" t="s">
        <v>200</v>
      </c>
      <c r="C233" s="1" t="s">
        <v>36</v>
      </c>
      <c r="D233">
        <v>150</v>
      </c>
      <c r="E233">
        <v>0.25</v>
      </c>
      <c r="F233" s="2">
        <v>44763</v>
      </c>
      <c r="G233" s="2" t="str">
        <f>TEXT(LayoffsData[[#This Row],[date]],"yyyy-mm")</f>
        <v>2022-07</v>
      </c>
      <c r="H233" s="1" t="s">
        <v>33</v>
      </c>
      <c r="I233" s="1" t="s">
        <v>201</v>
      </c>
      <c r="J233">
        <v>490</v>
      </c>
    </row>
    <row r="234" spans="1:10" x14ac:dyDescent="0.25">
      <c r="A234" s="1" t="s">
        <v>333</v>
      </c>
      <c r="B234" s="1" t="s">
        <v>32</v>
      </c>
      <c r="C234" s="1" t="s">
        <v>36</v>
      </c>
      <c r="E234">
        <v>1</v>
      </c>
      <c r="F234" s="2">
        <v>44893</v>
      </c>
      <c r="G234" s="2" t="str">
        <f>TEXT(LayoffsData[[#This Row],[date]],"yyyy-mm")</f>
        <v>2022-11</v>
      </c>
      <c r="H234" s="1" t="s">
        <v>16</v>
      </c>
      <c r="I234" s="1" t="s">
        <v>17</v>
      </c>
      <c r="J234">
        <v>1000</v>
      </c>
    </row>
    <row r="235" spans="1:10" x14ac:dyDescent="0.25">
      <c r="A235" s="1" t="s">
        <v>333</v>
      </c>
      <c r="B235" s="1" t="s">
        <v>32</v>
      </c>
      <c r="C235" s="1" t="s">
        <v>36</v>
      </c>
      <c r="D235">
        <v>250</v>
      </c>
      <c r="E235">
        <v>0.2</v>
      </c>
      <c r="F235" s="2">
        <v>44725</v>
      </c>
      <c r="G235" s="2" t="str">
        <f>TEXT(LayoffsData[[#This Row],[date]],"yyyy-mm")</f>
        <v>2022-06</v>
      </c>
      <c r="H235" s="1" t="s">
        <v>16</v>
      </c>
      <c r="I235" s="1" t="s">
        <v>17</v>
      </c>
      <c r="J235">
        <v>1000</v>
      </c>
    </row>
    <row r="236" spans="1:10" x14ac:dyDescent="0.25">
      <c r="A236" s="1" t="s">
        <v>334</v>
      </c>
      <c r="B236" s="1" t="s">
        <v>14</v>
      </c>
      <c r="C236" s="1" t="s">
        <v>41</v>
      </c>
      <c r="D236">
        <v>88</v>
      </c>
      <c r="E236">
        <v>0.5</v>
      </c>
      <c r="F236" s="2">
        <v>44896</v>
      </c>
      <c r="G236" s="2" t="str">
        <f>TEXT(LayoffsData[[#This Row],[date]],"yyyy-mm")</f>
        <v>2022-12</v>
      </c>
      <c r="H236" s="1" t="s">
        <v>37</v>
      </c>
      <c r="I236" s="1" t="s">
        <v>17</v>
      </c>
    </row>
    <row r="237" spans="1:10" x14ac:dyDescent="0.25">
      <c r="A237" s="1" t="s">
        <v>335</v>
      </c>
      <c r="B237" s="1" t="s">
        <v>32</v>
      </c>
      <c r="C237" s="1" t="s">
        <v>51</v>
      </c>
      <c r="E237">
        <v>0.1</v>
      </c>
      <c r="F237" s="2">
        <v>44903</v>
      </c>
      <c r="G237" s="2" t="str">
        <f>TEXT(LayoffsData[[#This Row],[date]],"yyyy-mm")</f>
        <v>2022-12</v>
      </c>
      <c r="H237" s="1" t="s">
        <v>11</v>
      </c>
      <c r="I237" s="1" t="s">
        <v>17</v>
      </c>
      <c r="J237">
        <v>352</v>
      </c>
    </row>
    <row r="238" spans="1:10" x14ac:dyDescent="0.25">
      <c r="A238" s="1" t="s">
        <v>336</v>
      </c>
      <c r="B238" s="1" t="s">
        <v>32</v>
      </c>
      <c r="C238" s="1" t="s">
        <v>174</v>
      </c>
      <c r="D238">
        <v>130</v>
      </c>
      <c r="E238">
        <v>0.25</v>
      </c>
      <c r="F238" s="2">
        <v>43917</v>
      </c>
      <c r="G238" s="2" t="str">
        <f>TEXT(LayoffsData[[#This Row],[date]],"yyyy-mm")</f>
        <v>2020-03</v>
      </c>
      <c r="H238" s="1" t="s">
        <v>24</v>
      </c>
      <c r="I238" s="1" t="s">
        <v>17</v>
      </c>
      <c r="J238">
        <v>77</v>
      </c>
    </row>
    <row r="239" spans="1:10" x14ac:dyDescent="0.25">
      <c r="A239" s="1" t="s">
        <v>337</v>
      </c>
      <c r="B239" s="1" t="s">
        <v>14</v>
      </c>
      <c r="C239" s="1" t="s">
        <v>149</v>
      </c>
      <c r="D239">
        <v>60</v>
      </c>
      <c r="F239" s="2">
        <v>44762</v>
      </c>
      <c r="G239" s="2" t="str">
        <f>TEXT(LayoffsData[[#This Row],[date]],"yyyy-mm")</f>
        <v>2022-07</v>
      </c>
      <c r="H239" s="1" t="s">
        <v>28</v>
      </c>
      <c r="I239" s="1" t="s">
        <v>17</v>
      </c>
      <c r="J239">
        <v>48</v>
      </c>
    </row>
    <row r="240" spans="1:10" x14ac:dyDescent="0.25">
      <c r="A240" s="1" t="s">
        <v>338</v>
      </c>
      <c r="B240" s="1" t="s">
        <v>14</v>
      </c>
      <c r="C240" s="1" t="s">
        <v>108</v>
      </c>
      <c r="D240">
        <v>30</v>
      </c>
      <c r="E240">
        <v>0.1</v>
      </c>
      <c r="F240" s="2">
        <v>43920</v>
      </c>
      <c r="G240" s="2" t="str">
        <f>TEXT(LayoffsData[[#This Row],[date]],"yyyy-mm")</f>
        <v>2020-03</v>
      </c>
      <c r="H240" s="1" t="s">
        <v>37</v>
      </c>
      <c r="I240" s="1" t="s">
        <v>17</v>
      </c>
    </row>
    <row r="241" spans="1:10" x14ac:dyDescent="0.25">
      <c r="A241" s="1" t="s">
        <v>339</v>
      </c>
      <c r="B241" s="1" t="s">
        <v>128</v>
      </c>
      <c r="C241" s="1" t="s">
        <v>41</v>
      </c>
      <c r="D241">
        <v>137</v>
      </c>
      <c r="E241">
        <v>1</v>
      </c>
      <c r="F241" s="2">
        <v>43977</v>
      </c>
      <c r="G241" s="2" t="str">
        <f>TEXT(LayoffsData[[#This Row],[date]],"yyyy-mm")</f>
        <v>2020-05</v>
      </c>
      <c r="H241" s="1" t="s">
        <v>57</v>
      </c>
      <c r="I241" s="1" t="s">
        <v>17</v>
      </c>
      <c r="J241">
        <v>108</v>
      </c>
    </row>
    <row r="242" spans="1:10" x14ac:dyDescent="0.25">
      <c r="A242" s="1" t="s">
        <v>340</v>
      </c>
      <c r="B242" s="1" t="s">
        <v>341</v>
      </c>
      <c r="C242" s="1" t="s">
        <v>68</v>
      </c>
      <c r="E242">
        <v>0.25</v>
      </c>
      <c r="F242" s="2">
        <v>44956</v>
      </c>
      <c r="G242" s="2" t="str">
        <f>TEXT(LayoffsData[[#This Row],[date]],"yyyy-mm")</f>
        <v>2023-01</v>
      </c>
      <c r="H242" s="1" t="s">
        <v>11</v>
      </c>
      <c r="I242" s="1" t="s">
        <v>17</v>
      </c>
    </row>
    <row r="243" spans="1:10" x14ac:dyDescent="0.25">
      <c r="A243" s="1" t="s">
        <v>342</v>
      </c>
      <c r="B243" s="1" t="s">
        <v>343</v>
      </c>
      <c r="C243" s="1" t="s">
        <v>10</v>
      </c>
      <c r="D243">
        <v>17</v>
      </c>
      <c r="F243" s="2">
        <v>44978</v>
      </c>
      <c r="G243" s="2" t="str">
        <f>TEXT(LayoffsData[[#This Row],[date]],"yyyy-mm")</f>
        <v>2023-02</v>
      </c>
      <c r="H243" s="1" t="s">
        <v>86</v>
      </c>
      <c r="I243" s="1" t="s">
        <v>140</v>
      </c>
    </row>
    <row r="244" spans="1:10" x14ac:dyDescent="0.25">
      <c r="A244" s="1" t="s">
        <v>342</v>
      </c>
      <c r="B244" s="1" t="s">
        <v>14</v>
      </c>
      <c r="C244" s="1" t="s">
        <v>68</v>
      </c>
      <c r="D244">
        <v>50</v>
      </c>
      <c r="E244">
        <v>0.1</v>
      </c>
      <c r="F244" s="2">
        <v>44950</v>
      </c>
      <c r="G244" s="2" t="str">
        <f>TEXT(LayoffsData[[#This Row],[date]],"yyyy-mm")</f>
        <v>2023-01</v>
      </c>
      <c r="H244" s="1" t="s">
        <v>16</v>
      </c>
      <c r="I244" s="1" t="s">
        <v>17</v>
      </c>
      <c r="J244">
        <v>1300</v>
      </c>
    </row>
    <row r="245" spans="1:10" x14ac:dyDescent="0.25">
      <c r="A245" s="1" t="s">
        <v>342</v>
      </c>
      <c r="B245" s="1" t="s">
        <v>14</v>
      </c>
      <c r="C245" s="1" t="s">
        <v>68</v>
      </c>
      <c r="D245">
        <v>240</v>
      </c>
      <c r="E245">
        <v>0.27</v>
      </c>
      <c r="F245" s="2">
        <v>44706</v>
      </c>
      <c r="G245" s="2" t="str">
        <f>TEXT(LayoffsData[[#This Row],[date]],"yyyy-mm")</f>
        <v>2022-05</v>
      </c>
      <c r="H245" s="1" t="s">
        <v>16</v>
      </c>
      <c r="I245" s="1" t="s">
        <v>17</v>
      </c>
      <c r="J245">
        <v>1300</v>
      </c>
    </row>
    <row r="246" spans="1:10" x14ac:dyDescent="0.25">
      <c r="A246" s="1" t="s">
        <v>344</v>
      </c>
      <c r="B246" s="1" t="s">
        <v>14</v>
      </c>
      <c r="C246" s="1" t="s">
        <v>68</v>
      </c>
      <c r="F246" s="2">
        <v>44719</v>
      </c>
      <c r="G246" s="2" t="str">
        <f>TEXT(LayoffsData[[#This Row],[date]],"yyyy-mm")</f>
        <v>2022-06</v>
      </c>
      <c r="H246" s="1" t="s">
        <v>21</v>
      </c>
      <c r="I246" s="1" t="s">
        <v>17</v>
      </c>
      <c r="J246">
        <v>42</v>
      </c>
    </row>
    <row r="247" spans="1:10" x14ac:dyDescent="0.25">
      <c r="A247" s="1" t="s">
        <v>345</v>
      </c>
      <c r="B247" s="1" t="s">
        <v>9</v>
      </c>
      <c r="C247" s="1" t="s">
        <v>29</v>
      </c>
      <c r="D247">
        <v>29</v>
      </c>
      <c r="E247">
        <v>0.34</v>
      </c>
      <c r="F247" s="2">
        <v>44677</v>
      </c>
      <c r="G247" s="2" t="str">
        <f>TEXT(LayoffsData[[#This Row],[date]],"yyyy-mm")</f>
        <v>2022-04</v>
      </c>
      <c r="H247" s="1" t="s">
        <v>21</v>
      </c>
      <c r="I247" s="1" t="s">
        <v>12</v>
      </c>
      <c r="J247">
        <v>27</v>
      </c>
    </row>
    <row r="248" spans="1:10" x14ac:dyDescent="0.25">
      <c r="A248" s="1" t="s">
        <v>345</v>
      </c>
      <c r="B248" s="1" t="s">
        <v>9</v>
      </c>
      <c r="C248" s="1" t="s">
        <v>29</v>
      </c>
      <c r="D248">
        <v>30</v>
      </c>
      <c r="E248">
        <v>0.55000000000000004</v>
      </c>
      <c r="F248" s="2">
        <v>44732</v>
      </c>
      <c r="G248" s="2" t="str">
        <f>TEXT(LayoffsData[[#This Row],[date]],"yyyy-mm")</f>
        <v>2022-06</v>
      </c>
      <c r="H248" s="1" t="s">
        <v>21</v>
      </c>
      <c r="I248" s="1" t="s">
        <v>12</v>
      </c>
      <c r="J248">
        <v>27</v>
      </c>
    </row>
    <row r="249" spans="1:10" x14ac:dyDescent="0.25">
      <c r="A249" s="1" t="s">
        <v>346</v>
      </c>
      <c r="B249" s="1" t="s">
        <v>137</v>
      </c>
      <c r="C249" s="1" t="s">
        <v>149</v>
      </c>
      <c r="D249">
        <v>140</v>
      </c>
      <c r="E249">
        <v>0.1</v>
      </c>
      <c r="F249" s="2">
        <v>44939</v>
      </c>
      <c r="G249" s="2" t="str">
        <f>TEXT(LayoffsData[[#This Row],[date]],"yyyy-mm")</f>
        <v>2023-01</v>
      </c>
      <c r="H249" s="1" t="s">
        <v>37</v>
      </c>
      <c r="I249" s="1" t="s">
        <v>17</v>
      </c>
    </row>
    <row r="250" spans="1:10" x14ac:dyDescent="0.25">
      <c r="A250" s="1" t="s">
        <v>347</v>
      </c>
      <c r="B250" s="1" t="s">
        <v>92</v>
      </c>
      <c r="C250" s="1" t="s">
        <v>41</v>
      </c>
      <c r="D250">
        <v>12</v>
      </c>
      <c r="E250">
        <v>0.25</v>
      </c>
      <c r="F250" s="2">
        <v>44712</v>
      </c>
      <c r="G250" s="2" t="str">
        <f>TEXT(LayoffsData[[#This Row],[date]],"yyyy-mm")</f>
        <v>2022-05</v>
      </c>
      <c r="H250" s="1" t="s">
        <v>21</v>
      </c>
      <c r="I250" s="1" t="s">
        <v>17</v>
      </c>
      <c r="J250">
        <v>26</v>
      </c>
    </row>
    <row r="251" spans="1:10" x14ac:dyDescent="0.25">
      <c r="A251" s="1" t="s">
        <v>348</v>
      </c>
      <c r="B251" s="1" t="s">
        <v>349</v>
      </c>
      <c r="C251" s="1" t="s">
        <v>84</v>
      </c>
      <c r="D251">
        <v>4375</v>
      </c>
      <c r="E251">
        <v>0.25</v>
      </c>
      <c r="F251" s="2">
        <v>44042</v>
      </c>
      <c r="G251" s="2" t="str">
        <f>TEXT(LayoffsData[[#This Row],[date]],"yyyy-mm")</f>
        <v>2020-07</v>
      </c>
      <c r="H251" s="1" t="s">
        <v>57</v>
      </c>
      <c r="I251" s="1" t="s">
        <v>350</v>
      </c>
    </row>
    <row r="252" spans="1:10" x14ac:dyDescent="0.25">
      <c r="A252" s="1" t="s">
        <v>348</v>
      </c>
      <c r="B252" s="1" t="s">
        <v>351</v>
      </c>
      <c r="C252" s="1" t="s">
        <v>84</v>
      </c>
      <c r="D252">
        <v>226</v>
      </c>
      <c r="F252" s="2">
        <v>44866</v>
      </c>
      <c r="G252" s="2" t="str">
        <f>TEXT(LayoffsData[[#This Row],[date]],"yyyy-mm")</f>
        <v>2022-11</v>
      </c>
      <c r="H252" s="1" t="s">
        <v>57</v>
      </c>
      <c r="I252" s="1" t="s">
        <v>17</v>
      </c>
    </row>
    <row r="253" spans="1:10" x14ac:dyDescent="0.25">
      <c r="A253" s="1" t="s">
        <v>352</v>
      </c>
      <c r="B253" s="1" t="s">
        <v>67</v>
      </c>
      <c r="C253" s="1" t="s">
        <v>27</v>
      </c>
      <c r="D253">
        <v>270</v>
      </c>
      <c r="E253">
        <v>0.18</v>
      </c>
      <c r="F253" s="2">
        <v>43979</v>
      </c>
      <c r="G253" s="2" t="str">
        <f>TEXT(LayoffsData[[#This Row],[date]],"yyyy-mm")</f>
        <v>2020-05</v>
      </c>
      <c r="H253" s="1" t="s">
        <v>37</v>
      </c>
      <c r="I253" s="1" t="s">
        <v>69</v>
      </c>
      <c r="J253">
        <v>224</v>
      </c>
    </row>
    <row r="254" spans="1:10" x14ac:dyDescent="0.25">
      <c r="A254" s="1" t="s">
        <v>353</v>
      </c>
      <c r="B254" s="1" t="s">
        <v>14</v>
      </c>
      <c r="C254" s="1" t="s">
        <v>27</v>
      </c>
      <c r="D254">
        <v>200</v>
      </c>
      <c r="F254" s="2">
        <v>43922</v>
      </c>
      <c r="G254" s="2" t="str">
        <f>TEXT(LayoffsData[[#This Row],[date]],"yyyy-mm")</f>
        <v>2020-04</v>
      </c>
      <c r="H254" s="1" t="s">
        <v>24</v>
      </c>
      <c r="I254" s="1" t="s">
        <v>17</v>
      </c>
      <c r="J254">
        <v>48</v>
      </c>
    </row>
    <row r="255" spans="1:10" x14ac:dyDescent="0.25">
      <c r="A255" s="1" t="s">
        <v>354</v>
      </c>
      <c r="B255" s="1" t="s">
        <v>44</v>
      </c>
      <c r="C255" s="1" t="s">
        <v>29</v>
      </c>
      <c r="F255" s="2">
        <v>44740</v>
      </c>
      <c r="G255" s="2" t="str">
        <f>TEXT(LayoffsData[[#This Row],[date]],"yyyy-mm")</f>
        <v>2022-06</v>
      </c>
      <c r="H255" s="1" t="s">
        <v>21</v>
      </c>
      <c r="I255" s="1" t="s">
        <v>46</v>
      </c>
      <c r="J255">
        <v>23</v>
      </c>
    </row>
    <row r="256" spans="1:10" x14ac:dyDescent="0.25">
      <c r="A256" s="1" t="s">
        <v>354</v>
      </c>
      <c r="B256" s="1" t="s">
        <v>44</v>
      </c>
      <c r="C256" s="1" t="s">
        <v>29</v>
      </c>
      <c r="D256">
        <v>30</v>
      </c>
      <c r="F256" s="2">
        <v>44949</v>
      </c>
      <c r="G256" s="2" t="str">
        <f>TEXT(LayoffsData[[#This Row],[date]],"yyyy-mm")</f>
        <v>2023-01</v>
      </c>
      <c r="H256" s="1" t="s">
        <v>21</v>
      </c>
      <c r="I256" s="1" t="s">
        <v>46</v>
      </c>
      <c r="J256">
        <v>23</v>
      </c>
    </row>
    <row r="257" spans="1:10" x14ac:dyDescent="0.25">
      <c r="A257" s="1" t="s">
        <v>355</v>
      </c>
      <c r="B257" s="1" t="s">
        <v>26</v>
      </c>
      <c r="C257" s="1" t="s">
        <v>29</v>
      </c>
      <c r="E257">
        <v>0.05</v>
      </c>
      <c r="F257" s="2">
        <v>44764</v>
      </c>
      <c r="G257" s="2" t="str">
        <f>TEXT(LayoffsData[[#This Row],[date]],"yyyy-mm")</f>
        <v>2022-07</v>
      </c>
      <c r="H257" s="1" t="s">
        <v>24</v>
      </c>
      <c r="I257" s="1" t="s">
        <v>17</v>
      </c>
      <c r="J257">
        <v>137</v>
      </c>
    </row>
    <row r="258" spans="1:10" x14ac:dyDescent="0.25">
      <c r="A258" s="1" t="s">
        <v>356</v>
      </c>
      <c r="B258" s="1" t="s">
        <v>357</v>
      </c>
      <c r="C258" s="1" t="s">
        <v>29</v>
      </c>
      <c r="D258">
        <v>70</v>
      </c>
      <c r="E258">
        <v>0.05</v>
      </c>
      <c r="F258" s="2">
        <v>44721</v>
      </c>
      <c r="G258" s="2" t="str">
        <f>TEXT(LayoffsData[[#This Row],[date]],"yyyy-mm")</f>
        <v>2022-06</v>
      </c>
      <c r="H258" s="1" t="s">
        <v>11</v>
      </c>
      <c r="I258" s="1" t="s">
        <v>64</v>
      </c>
      <c r="J258">
        <v>56</v>
      </c>
    </row>
    <row r="259" spans="1:10" x14ac:dyDescent="0.25">
      <c r="A259" s="1" t="s">
        <v>358</v>
      </c>
      <c r="B259" s="1" t="s">
        <v>9</v>
      </c>
      <c r="C259" s="1" t="s">
        <v>68</v>
      </c>
      <c r="D259">
        <v>15</v>
      </c>
      <c r="E259">
        <v>0.2</v>
      </c>
      <c r="F259" s="2">
        <v>43927</v>
      </c>
      <c r="G259" s="2" t="str">
        <f>TEXT(LayoffsData[[#This Row],[date]],"yyyy-mm")</f>
        <v>2020-04</v>
      </c>
      <c r="H259" s="1" t="s">
        <v>24</v>
      </c>
      <c r="I259" s="1" t="s">
        <v>12</v>
      </c>
      <c r="J259">
        <v>72</v>
      </c>
    </row>
    <row r="260" spans="1:10" x14ac:dyDescent="0.25">
      <c r="A260" s="1" t="s">
        <v>359</v>
      </c>
      <c r="B260" s="1" t="s">
        <v>14</v>
      </c>
      <c r="C260" s="1" t="s">
        <v>29</v>
      </c>
      <c r="E260">
        <v>0.5</v>
      </c>
      <c r="F260" s="2">
        <v>44137</v>
      </c>
      <c r="G260" s="2" t="str">
        <f>TEXT(LayoffsData[[#This Row],[date]],"yyyy-mm")</f>
        <v>2020-11</v>
      </c>
      <c r="H260" s="1" t="s">
        <v>37</v>
      </c>
      <c r="I260" s="1" t="s">
        <v>17</v>
      </c>
      <c r="J260">
        <v>102</v>
      </c>
    </row>
    <row r="261" spans="1:10" x14ac:dyDescent="0.25">
      <c r="A261" s="1" t="s">
        <v>359</v>
      </c>
      <c r="B261" s="1" t="s">
        <v>14</v>
      </c>
      <c r="C261" s="1" t="s">
        <v>29</v>
      </c>
      <c r="D261">
        <v>61</v>
      </c>
      <c r="F261" s="2">
        <v>44011</v>
      </c>
      <c r="G261" s="2" t="str">
        <f>TEXT(LayoffsData[[#This Row],[date]],"yyyy-mm")</f>
        <v>2020-06</v>
      </c>
      <c r="H261" s="1" t="s">
        <v>37</v>
      </c>
      <c r="I261" s="1" t="s">
        <v>17</v>
      </c>
      <c r="J261">
        <v>102</v>
      </c>
    </row>
    <row r="262" spans="1:10" x14ac:dyDescent="0.25">
      <c r="A262" s="1" t="s">
        <v>360</v>
      </c>
      <c r="B262" s="1" t="s">
        <v>293</v>
      </c>
      <c r="C262" s="1" t="s">
        <v>10</v>
      </c>
      <c r="D262">
        <v>40</v>
      </c>
      <c r="E262">
        <v>0.05</v>
      </c>
      <c r="F262" s="2">
        <v>44932</v>
      </c>
      <c r="G262" s="2" t="str">
        <f>TEXT(LayoffsData[[#This Row],[date]],"yyyy-mm")</f>
        <v>2023-01</v>
      </c>
      <c r="H262" s="1" t="s">
        <v>33</v>
      </c>
      <c r="I262" s="1" t="s">
        <v>69</v>
      </c>
      <c r="J262">
        <v>214</v>
      </c>
    </row>
    <row r="263" spans="1:10" x14ac:dyDescent="0.25">
      <c r="A263" s="1" t="s">
        <v>360</v>
      </c>
      <c r="B263" s="1" t="s">
        <v>293</v>
      </c>
      <c r="C263" s="1" t="s">
        <v>10</v>
      </c>
      <c r="D263">
        <v>120</v>
      </c>
      <c r="F263" s="2">
        <v>43909</v>
      </c>
      <c r="G263" s="2" t="str">
        <f>TEXT(LayoffsData[[#This Row],[date]],"yyyy-mm")</f>
        <v>2020-03</v>
      </c>
      <c r="H263" s="1" t="s">
        <v>33</v>
      </c>
      <c r="I263" s="1" t="s">
        <v>69</v>
      </c>
      <c r="J263">
        <v>214</v>
      </c>
    </row>
    <row r="264" spans="1:10" x14ac:dyDescent="0.25">
      <c r="A264" s="1" t="s">
        <v>360</v>
      </c>
      <c r="B264" s="1" t="s">
        <v>293</v>
      </c>
      <c r="C264" s="1" t="s">
        <v>10</v>
      </c>
      <c r="D264">
        <v>130</v>
      </c>
      <c r="E264">
        <v>0.22</v>
      </c>
      <c r="F264" s="2">
        <v>44011</v>
      </c>
      <c r="G264" s="2" t="str">
        <f>TEXT(LayoffsData[[#This Row],[date]],"yyyy-mm")</f>
        <v>2020-06</v>
      </c>
      <c r="H264" s="1" t="s">
        <v>33</v>
      </c>
      <c r="I264" s="1" t="s">
        <v>69</v>
      </c>
      <c r="J264">
        <v>214</v>
      </c>
    </row>
    <row r="265" spans="1:10" x14ac:dyDescent="0.25">
      <c r="A265" s="1" t="s">
        <v>360</v>
      </c>
      <c r="B265" s="1" t="s">
        <v>293</v>
      </c>
      <c r="C265" s="1" t="s">
        <v>10</v>
      </c>
      <c r="D265">
        <v>200</v>
      </c>
      <c r="E265">
        <v>0.4</v>
      </c>
      <c r="F265" s="2">
        <v>44249</v>
      </c>
      <c r="G265" s="2" t="str">
        <f>TEXT(LayoffsData[[#This Row],[date]],"yyyy-mm")</f>
        <v>2021-02</v>
      </c>
      <c r="H265" s="1" t="s">
        <v>33</v>
      </c>
      <c r="I265" s="1" t="s">
        <v>69</v>
      </c>
      <c r="J265">
        <v>214</v>
      </c>
    </row>
    <row r="266" spans="1:10" x14ac:dyDescent="0.25">
      <c r="A266" s="1" t="s">
        <v>361</v>
      </c>
      <c r="B266" s="1" t="s">
        <v>32</v>
      </c>
      <c r="C266" s="1" t="s">
        <v>20</v>
      </c>
      <c r="D266">
        <v>77</v>
      </c>
      <c r="E266">
        <v>0.2</v>
      </c>
      <c r="F266" s="2">
        <v>43927</v>
      </c>
      <c r="G266" s="2" t="str">
        <f>TEXT(LayoffsData[[#This Row],[date]],"yyyy-mm")</f>
        <v>2020-04</v>
      </c>
      <c r="H266" s="1" t="s">
        <v>24</v>
      </c>
      <c r="I266" s="1" t="s">
        <v>17</v>
      </c>
      <c r="J266">
        <v>75</v>
      </c>
    </row>
    <row r="267" spans="1:10" x14ac:dyDescent="0.25">
      <c r="A267" s="1" t="s">
        <v>362</v>
      </c>
      <c r="B267" s="1" t="s">
        <v>26</v>
      </c>
      <c r="C267" s="1" t="s">
        <v>48</v>
      </c>
      <c r="F267" s="2">
        <v>44770</v>
      </c>
      <c r="G267" s="2" t="str">
        <f>TEXT(LayoffsData[[#This Row],[date]],"yyyy-mm")</f>
        <v>2022-07</v>
      </c>
      <c r="H267" s="1" t="s">
        <v>21</v>
      </c>
      <c r="I267" s="1" t="s">
        <v>17</v>
      </c>
      <c r="J267">
        <v>12</v>
      </c>
    </row>
    <row r="268" spans="1:10" x14ac:dyDescent="0.25">
      <c r="A268" s="1" t="s">
        <v>363</v>
      </c>
      <c r="B268" s="1" t="s">
        <v>364</v>
      </c>
      <c r="C268" s="1" t="s">
        <v>41</v>
      </c>
      <c r="D268">
        <v>25</v>
      </c>
      <c r="F268" s="2">
        <v>44871</v>
      </c>
      <c r="G268" s="2" t="str">
        <f>TEXT(LayoffsData[[#This Row],[date]],"yyyy-mm")</f>
        <v>2022-11</v>
      </c>
      <c r="H268" s="1" t="s">
        <v>33</v>
      </c>
      <c r="I268" s="1" t="s">
        <v>365</v>
      </c>
      <c r="J268">
        <v>148</v>
      </c>
    </row>
    <row r="269" spans="1:10" x14ac:dyDescent="0.25">
      <c r="A269" s="1" t="s">
        <v>366</v>
      </c>
      <c r="B269" s="1" t="s">
        <v>32</v>
      </c>
      <c r="C269" s="1" t="s">
        <v>29</v>
      </c>
      <c r="D269">
        <v>3</v>
      </c>
      <c r="E269">
        <v>0.27</v>
      </c>
      <c r="F269" s="2">
        <v>43993</v>
      </c>
      <c r="G269" s="2" t="str">
        <f>TEXT(LayoffsData[[#This Row],[date]],"yyyy-mm")</f>
        <v>2020-06</v>
      </c>
      <c r="H269" s="1" t="s">
        <v>131</v>
      </c>
      <c r="I269" s="1" t="s">
        <v>17</v>
      </c>
      <c r="J269">
        <v>2</v>
      </c>
    </row>
    <row r="270" spans="1:10" x14ac:dyDescent="0.25">
      <c r="A270" s="1" t="s">
        <v>367</v>
      </c>
      <c r="B270" s="1" t="s">
        <v>14</v>
      </c>
      <c r="C270" s="1" t="s">
        <v>20</v>
      </c>
      <c r="D270">
        <v>100</v>
      </c>
      <c r="E270">
        <v>0.2</v>
      </c>
      <c r="F270" s="2">
        <v>43928</v>
      </c>
      <c r="G270" s="2" t="str">
        <f>TEXT(LayoffsData[[#This Row],[date]],"yyyy-mm")</f>
        <v>2020-04</v>
      </c>
      <c r="H270" s="1" t="s">
        <v>16</v>
      </c>
      <c r="I270" s="1" t="s">
        <v>17</v>
      </c>
      <c r="J270">
        <v>367</v>
      </c>
    </row>
    <row r="271" spans="1:10" x14ac:dyDescent="0.25">
      <c r="A271" s="1" t="s">
        <v>368</v>
      </c>
      <c r="B271" s="1" t="s">
        <v>71</v>
      </c>
      <c r="C271" s="1" t="s">
        <v>15</v>
      </c>
      <c r="D271">
        <v>40</v>
      </c>
      <c r="E271">
        <v>0.33</v>
      </c>
      <c r="F271" s="2">
        <v>44810</v>
      </c>
      <c r="G271" s="2" t="str">
        <f>TEXT(LayoffsData[[#This Row],[date]],"yyyy-mm")</f>
        <v>2022-09</v>
      </c>
      <c r="H271" s="1" t="s">
        <v>24</v>
      </c>
      <c r="I271" s="1" t="s">
        <v>17</v>
      </c>
      <c r="J271">
        <v>42</v>
      </c>
    </row>
    <row r="272" spans="1:10" x14ac:dyDescent="0.25">
      <c r="A272" s="1" t="s">
        <v>369</v>
      </c>
      <c r="B272" s="1" t="s">
        <v>370</v>
      </c>
      <c r="C272" s="1" t="s">
        <v>15</v>
      </c>
      <c r="D272">
        <v>50</v>
      </c>
      <c r="E272">
        <v>0.33</v>
      </c>
      <c r="F272" s="2">
        <v>44726</v>
      </c>
      <c r="G272" s="2" t="str">
        <f>TEXT(LayoffsData[[#This Row],[date]],"yyyy-mm")</f>
        <v>2022-06</v>
      </c>
      <c r="H272" s="1" t="s">
        <v>21</v>
      </c>
      <c r="I272" s="1" t="s">
        <v>69</v>
      </c>
      <c r="J272">
        <v>6</v>
      </c>
    </row>
    <row r="273" spans="1:10" x14ac:dyDescent="0.25">
      <c r="A273" s="1" t="s">
        <v>371</v>
      </c>
      <c r="B273" s="1" t="s">
        <v>134</v>
      </c>
      <c r="C273" s="1" t="s">
        <v>174</v>
      </c>
      <c r="D273">
        <v>120</v>
      </c>
      <c r="E273">
        <v>0.8</v>
      </c>
      <c r="F273" s="2">
        <v>44181</v>
      </c>
      <c r="G273" s="2" t="str">
        <f>TEXT(LayoffsData[[#This Row],[date]],"yyyy-mm")</f>
        <v>2020-12</v>
      </c>
      <c r="H273" s="1" t="s">
        <v>33</v>
      </c>
      <c r="I273" s="1" t="s">
        <v>12</v>
      </c>
      <c r="J273">
        <v>131</v>
      </c>
    </row>
    <row r="274" spans="1:10" x14ac:dyDescent="0.25">
      <c r="A274" s="1" t="s">
        <v>372</v>
      </c>
      <c r="B274" s="1" t="s">
        <v>14</v>
      </c>
      <c r="C274" s="1" t="s">
        <v>68</v>
      </c>
      <c r="D274">
        <v>62</v>
      </c>
      <c r="E274">
        <v>0.15</v>
      </c>
      <c r="F274" s="2">
        <v>43980</v>
      </c>
      <c r="G274" s="2" t="str">
        <f>TEXT(LayoffsData[[#This Row],[date]],"yyyy-mm")</f>
        <v>2020-05</v>
      </c>
      <c r="H274" s="1" t="s">
        <v>28</v>
      </c>
      <c r="I274" s="1" t="s">
        <v>17</v>
      </c>
      <c r="J274">
        <v>732</v>
      </c>
    </row>
    <row r="275" spans="1:10" x14ac:dyDescent="0.25">
      <c r="A275" s="1" t="s">
        <v>372</v>
      </c>
      <c r="B275" s="1" t="s">
        <v>14</v>
      </c>
      <c r="C275" s="1" t="s">
        <v>68</v>
      </c>
      <c r="D275">
        <v>136</v>
      </c>
      <c r="E275">
        <v>0.11</v>
      </c>
      <c r="F275" s="2">
        <v>44845</v>
      </c>
      <c r="G275" s="2" t="str">
        <f>TEXT(LayoffsData[[#This Row],[date]],"yyyy-mm")</f>
        <v>2022-10</v>
      </c>
      <c r="H275" s="1" t="s">
        <v>33</v>
      </c>
      <c r="I275" s="1" t="s">
        <v>17</v>
      </c>
      <c r="J275">
        <v>1500</v>
      </c>
    </row>
    <row r="276" spans="1:10" x14ac:dyDescent="0.25">
      <c r="A276" s="1" t="s">
        <v>373</v>
      </c>
      <c r="B276" s="1" t="s">
        <v>374</v>
      </c>
      <c r="C276" s="1" t="s">
        <v>15</v>
      </c>
      <c r="D276">
        <v>154</v>
      </c>
      <c r="E276">
        <v>1</v>
      </c>
      <c r="F276" s="2">
        <v>44152</v>
      </c>
      <c r="G276" s="2" t="str">
        <f>TEXT(LayoffsData[[#This Row],[date]],"yyyy-mm")</f>
        <v>2020-11</v>
      </c>
      <c r="H276" s="1" t="s">
        <v>24</v>
      </c>
      <c r="I276" s="1" t="s">
        <v>17</v>
      </c>
      <c r="J276">
        <v>45</v>
      </c>
    </row>
    <row r="277" spans="1:10" x14ac:dyDescent="0.25">
      <c r="A277" s="1" t="s">
        <v>375</v>
      </c>
      <c r="B277" s="1" t="s">
        <v>186</v>
      </c>
      <c r="C277" s="1" t="s">
        <v>376</v>
      </c>
      <c r="D277">
        <v>13</v>
      </c>
      <c r="E277">
        <v>0.13</v>
      </c>
      <c r="F277" s="2">
        <v>44901</v>
      </c>
      <c r="G277" s="2" t="str">
        <f>TEXT(LayoffsData[[#This Row],[date]],"yyyy-mm")</f>
        <v>2022-12</v>
      </c>
      <c r="H277" s="1" t="s">
        <v>24</v>
      </c>
      <c r="I277" s="1" t="s">
        <v>12</v>
      </c>
      <c r="J277">
        <v>36</v>
      </c>
    </row>
    <row r="278" spans="1:10" x14ac:dyDescent="0.25">
      <c r="A278" s="1" t="s">
        <v>377</v>
      </c>
      <c r="B278" s="1" t="s">
        <v>14</v>
      </c>
      <c r="C278" s="1" t="s">
        <v>74</v>
      </c>
      <c r="D278">
        <v>30</v>
      </c>
      <c r="E278">
        <v>0.08</v>
      </c>
      <c r="F278" s="2">
        <v>44740</v>
      </c>
      <c r="G278" s="2" t="str">
        <f>TEXT(LayoffsData[[#This Row],[date]],"yyyy-mm")</f>
        <v>2022-06</v>
      </c>
      <c r="H278" s="1" t="s">
        <v>37</v>
      </c>
      <c r="I278" s="1" t="s">
        <v>170</v>
      </c>
      <c r="J278">
        <v>250</v>
      </c>
    </row>
    <row r="279" spans="1:10" x14ac:dyDescent="0.25">
      <c r="A279" s="1" t="s">
        <v>378</v>
      </c>
      <c r="B279" s="1" t="s">
        <v>293</v>
      </c>
      <c r="C279" s="1" t="s">
        <v>68</v>
      </c>
      <c r="D279">
        <v>100</v>
      </c>
      <c r="E279">
        <v>0.5</v>
      </c>
      <c r="F279" s="2">
        <v>44757</v>
      </c>
      <c r="G279" s="2" t="str">
        <f>TEXT(LayoffsData[[#This Row],[date]],"yyyy-mm")</f>
        <v>2022-07</v>
      </c>
      <c r="H279" s="1" t="s">
        <v>21</v>
      </c>
      <c r="I279" s="1" t="s">
        <v>69</v>
      </c>
      <c r="J279">
        <v>31</v>
      </c>
    </row>
    <row r="280" spans="1:10" x14ac:dyDescent="0.25">
      <c r="A280" s="1" t="s">
        <v>379</v>
      </c>
      <c r="B280" s="1" t="s">
        <v>44</v>
      </c>
      <c r="C280" s="1" t="s">
        <v>45</v>
      </c>
      <c r="D280">
        <v>30</v>
      </c>
      <c r="E280">
        <v>0.15</v>
      </c>
      <c r="F280" s="2">
        <v>44732</v>
      </c>
      <c r="G280" s="2" t="str">
        <f>TEXT(LayoffsData[[#This Row],[date]],"yyyy-mm")</f>
        <v>2022-06</v>
      </c>
      <c r="H280" s="1" t="s">
        <v>28</v>
      </c>
      <c r="I280" s="1" t="s">
        <v>46</v>
      </c>
      <c r="J280">
        <v>145</v>
      </c>
    </row>
    <row r="281" spans="1:10" x14ac:dyDescent="0.25">
      <c r="A281" s="1" t="s">
        <v>379</v>
      </c>
      <c r="B281" s="1" t="s">
        <v>44</v>
      </c>
      <c r="C281" s="1" t="s">
        <v>45</v>
      </c>
      <c r="D281">
        <v>58</v>
      </c>
      <c r="F281" s="2">
        <v>44813</v>
      </c>
      <c r="G281" s="2" t="str">
        <f>TEXT(LayoffsData[[#This Row],[date]],"yyyy-mm")</f>
        <v>2022-09</v>
      </c>
      <c r="H281" s="1" t="s">
        <v>28</v>
      </c>
      <c r="I281" s="1" t="s">
        <v>46</v>
      </c>
      <c r="J281">
        <v>145</v>
      </c>
    </row>
    <row r="282" spans="1:10" x14ac:dyDescent="0.25">
      <c r="A282" s="1" t="s">
        <v>380</v>
      </c>
      <c r="B282" s="1" t="s">
        <v>14</v>
      </c>
      <c r="C282" s="1" t="s">
        <v>15</v>
      </c>
      <c r="E282">
        <v>0.2</v>
      </c>
      <c r="F282" s="2">
        <v>44866</v>
      </c>
      <c r="G282" s="2" t="str">
        <f>TEXT(LayoffsData[[#This Row],[date]],"yyyy-mm")</f>
        <v>2022-11</v>
      </c>
      <c r="H282" s="1" t="s">
        <v>28</v>
      </c>
      <c r="I282" s="1" t="s">
        <v>17</v>
      </c>
      <c r="J282">
        <v>212</v>
      </c>
    </row>
    <row r="283" spans="1:10" x14ac:dyDescent="0.25">
      <c r="A283" s="1" t="s">
        <v>381</v>
      </c>
      <c r="B283" s="1" t="s">
        <v>168</v>
      </c>
      <c r="C283" s="1" t="s">
        <v>108</v>
      </c>
      <c r="D283">
        <v>10</v>
      </c>
      <c r="E283">
        <v>0.1</v>
      </c>
      <c r="F283" s="2">
        <v>43942</v>
      </c>
      <c r="G283" s="2" t="str">
        <f>TEXT(LayoffsData[[#This Row],[date]],"yyyy-mm")</f>
        <v>2020-04</v>
      </c>
      <c r="H283" s="1" t="s">
        <v>33</v>
      </c>
      <c r="I283" s="1" t="s">
        <v>170</v>
      </c>
      <c r="J283">
        <v>84</v>
      </c>
    </row>
    <row r="284" spans="1:10" x14ac:dyDescent="0.25">
      <c r="A284" s="1" t="s">
        <v>382</v>
      </c>
      <c r="B284" s="1" t="s">
        <v>200</v>
      </c>
      <c r="C284" s="1" t="s">
        <v>10</v>
      </c>
      <c r="D284">
        <v>206</v>
      </c>
      <c r="E284">
        <v>1</v>
      </c>
      <c r="F284" s="2">
        <v>44943</v>
      </c>
      <c r="G284" s="2" t="str">
        <f>TEXT(LayoffsData[[#This Row],[date]],"yyyy-mm")</f>
        <v>2023-01</v>
      </c>
      <c r="H284" s="1" t="s">
        <v>37</v>
      </c>
      <c r="I284" s="1" t="s">
        <v>201</v>
      </c>
      <c r="J284">
        <v>2400</v>
      </c>
    </row>
    <row r="285" spans="1:10" x14ac:dyDescent="0.25">
      <c r="A285" s="1" t="s">
        <v>383</v>
      </c>
      <c r="B285" s="1" t="s">
        <v>9</v>
      </c>
      <c r="C285" s="1" t="s">
        <v>68</v>
      </c>
      <c r="D285">
        <v>26</v>
      </c>
      <c r="E285">
        <v>0.4</v>
      </c>
      <c r="F285" s="2">
        <v>44915</v>
      </c>
      <c r="G285" s="2" t="str">
        <f>TEXT(LayoffsData[[#This Row],[date]],"yyyy-mm")</f>
        <v>2022-12</v>
      </c>
      <c r="H285" s="1" t="s">
        <v>21</v>
      </c>
      <c r="I285" s="1" t="s">
        <v>12</v>
      </c>
      <c r="J285">
        <v>10</v>
      </c>
    </row>
    <row r="286" spans="1:10" x14ac:dyDescent="0.25">
      <c r="A286" s="1" t="s">
        <v>384</v>
      </c>
      <c r="B286" s="1" t="s">
        <v>168</v>
      </c>
      <c r="C286" s="1" t="s">
        <v>149</v>
      </c>
      <c r="E286">
        <v>1</v>
      </c>
      <c r="F286" s="2">
        <v>44904</v>
      </c>
      <c r="G286" s="2" t="str">
        <f>TEXT(LayoffsData[[#This Row],[date]],"yyyy-mm")</f>
        <v>2022-12</v>
      </c>
      <c r="H286" s="1" t="s">
        <v>21</v>
      </c>
      <c r="I286" s="1" t="s">
        <v>170</v>
      </c>
      <c r="J286">
        <v>25</v>
      </c>
    </row>
    <row r="287" spans="1:10" x14ac:dyDescent="0.25">
      <c r="A287" s="1" t="s">
        <v>385</v>
      </c>
      <c r="B287" s="1" t="s">
        <v>79</v>
      </c>
      <c r="C287" s="1" t="s">
        <v>113</v>
      </c>
      <c r="D287">
        <v>100</v>
      </c>
      <c r="E287">
        <v>0.3</v>
      </c>
      <c r="F287" s="2">
        <v>44755</v>
      </c>
      <c r="G287" s="2" t="str">
        <f>TEXT(LayoffsData[[#This Row],[date]],"yyyy-mm")</f>
        <v>2022-07</v>
      </c>
      <c r="H287" s="1" t="s">
        <v>24</v>
      </c>
      <c r="I287" s="1" t="s">
        <v>80</v>
      </c>
      <c r="J287">
        <v>89</v>
      </c>
    </row>
    <row r="288" spans="1:10" x14ac:dyDescent="0.25">
      <c r="A288" s="1" t="s">
        <v>386</v>
      </c>
      <c r="B288" s="1" t="s">
        <v>387</v>
      </c>
      <c r="C288" s="1" t="s">
        <v>36</v>
      </c>
      <c r="D288">
        <v>80</v>
      </c>
      <c r="E288">
        <v>0.45</v>
      </c>
      <c r="F288" s="2">
        <v>44704</v>
      </c>
      <c r="G288" s="2" t="str">
        <f>TEXT(LayoffsData[[#This Row],[date]],"yyyy-mm")</f>
        <v>2022-05</v>
      </c>
      <c r="H288" s="1" t="s">
        <v>21</v>
      </c>
      <c r="I288" s="1" t="s">
        <v>388</v>
      </c>
      <c r="J288">
        <v>11</v>
      </c>
    </row>
    <row r="289" spans="1:10" x14ac:dyDescent="0.25">
      <c r="A289" s="1" t="s">
        <v>389</v>
      </c>
      <c r="B289" s="1" t="s">
        <v>26</v>
      </c>
      <c r="C289" s="1" t="s">
        <v>113</v>
      </c>
      <c r="D289">
        <v>39</v>
      </c>
      <c r="E289">
        <v>0.14000000000000001</v>
      </c>
      <c r="F289" s="2">
        <v>43986</v>
      </c>
      <c r="G289" s="2" t="str">
        <f>TEXT(LayoffsData[[#This Row],[date]],"yyyy-mm")</f>
        <v>2020-06</v>
      </c>
      <c r="H289" s="1" t="s">
        <v>21</v>
      </c>
      <c r="I289" s="1" t="s">
        <v>17</v>
      </c>
      <c r="J289">
        <v>29</v>
      </c>
    </row>
    <row r="290" spans="1:10" x14ac:dyDescent="0.25">
      <c r="A290" s="1" t="s">
        <v>390</v>
      </c>
      <c r="B290" s="1" t="s">
        <v>76</v>
      </c>
      <c r="C290" s="1" t="s">
        <v>165</v>
      </c>
      <c r="D290">
        <v>28</v>
      </c>
      <c r="F290" s="2">
        <v>43931</v>
      </c>
      <c r="G290" s="2" t="str">
        <f>TEXT(LayoffsData[[#This Row],[date]],"yyyy-mm")</f>
        <v>2020-04</v>
      </c>
      <c r="H290" s="1" t="s">
        <v>28</v>
      </c>
      <c r="I290" s="1" t="s">
        <v>17</v>
      </c>
      <c r="J290">
        <v>29</v>
      </c>
    </row>
    <row r="291" spans="1:10" x14ac:dyDescent="0.25">
      <c r="A291" s="1" t="s">
        <v>390</v>
      </c>
      <c r="B291" s="1" t="s">
        <v>76</v>
      </c>
      <c r="C291" s="1" t="s">
        <v>165</v>
      </c>
      <c r="D291">
        <v>50</v>
      </c>
      <c r="E291">
        <v>0.25</v>
      </c>
      <c r="F291" s="2">
        <v>44839</v>
      </c>
      <c r="G291" s="2" t="str">
        <f>TEXT(LayoffsData[[#This Row],[date]],"yyyy-mm")</f>
        <v>2022-10</v>
      </c>
      <c r="H291" s="1" t="s">
        <v>28</v>
      </c>
      <c r="I291" s="1" t="s">
        <v>17</v>
      </c>
      <c r="J291">
        <v>29</v>
      </c>
    </row>
    <row r="292" spans="1:10" x14ac:dyDescent="0.25">
      <c r="A292" s="1" t="s">
        <v>391</v>
      </c>
      <c r="B292" s="1" t="s">
        <v>73</v>
      </c>
      <c r="C292" s="1" t="s">
        <v>48</v>
      </c>
      <c r="D292">
        <v>100</v>
      </c>
      <c r="F292" s="2">
        <v>43951</v>
      </c>
      <c r="G292" s="2" t="str">
        <f>TEXT(LayoffsData[[#This Row],[date]],"yyyy-mm")</f>
        <v>2020-04</v>
      </c>
      <c r="H292" s="1" t="s">
        <v>57</v>
      </c>
      <c r="I292" s="1" t="s">
        <v>17</v>
      </c>
      <c r="J292">
        <v>32</v>
      </c>
    </row>
    <row r="293" spans="1:10" x14ac:dyDescent="0.25">
      <c r="A293" s="1" t="s">
        <v>392</v>
      </c>
      <c r="B293" s="1" t="s">
        <v>153</v>
      </c>
      <c r="C293" s="1" t="s">
        <v>36</v>
      </c>
      <c r="D293">
        <v>30</v>
      </c>
      <c r="E293">
        <v>0.08</v>
      </c>
      <c r="F293" s="2">
        <v>44747</v>
      </c>
      <c r="G293" s="2" t="str">
        <f>TEXT(LayoffsData[[#This Row],[date]],"yyyy-mm")</f>
        <v>2022-07</v>
      </c>
      <c r="H293" s="1" t="s">
        <v>37</v>
      </c>
      <c r="I293" s="1" t="s">
        <v>153</v>
      </c>
      <c r="J293">
        <v>300</v>
      </c>
    </row>
    <row r="294" spans="1:10" x14ac:dyDescent="0.25">
      <c r="A294" s="1" t="s">
        <v>393</v>
      </c>
      <c r="B294" s="1" t="s">
        <v>14</v>
      </c>
      <c r="C294" s="1" t="s">
        <v>174</v>
      </c>
      <c r="D294">
        <v>70</v>
      </c>
      <c r="F294" s="2">
        <v>44734</v>
      </c>
      <c r="G294" s="2" t="str">
        <f>TEXT(LayoffsData[[#This Row],[date]],"yyyy-mm")</f>
        <v>2022-06</v>
      </c>
      <c r="H294" s="1" t="s">
        <v>28</v>
      </c>
      <c r="I294" s="1" t="s">
        <v>17</v>
      </c>
      <c r="J294">
        <v>171</v>
      </c>
    </row>
    <row r="295" spans="1:10" x14ac:dyDescent="0.25">
      <c r="A295" s="1" t="s">
        <v>394</v>
      </c>
      <c r="B295" s="1" t="s">
        <v>134</v>
      </c>
      <c r="C295" s="1" t="s">
        <v>10</v>
      </c>
      <c r="D295">
        <v>23</v>
      </c>
      <c r="E295">
        <v>0.32</v>
      </c>
      <c r="F295" s="2">
        <v>43927</v>
      </c>
      <c r="G295" s="2" t="str">
        <f>TEXT(LayoffsData[[#This Row],[date]],"yyyy-mm")</f>
        <v>2020-04</v>
      </c>
      <c r="H295" s="1" t="s">
        <v>24</v>
      </c>
      <c r="I295" s="1" t="s">
        <v>12</v>
      </c>
      <c r="J295">
        <v>21</v>
      </c>
    </row>
    <row r="296" spans="1:10" x14ac:dyDescent="0.25">
      <c r="A296" s="1" t="s">
        <v>395</v>
      </c>
      <c r="B296" s="1" t="s">
        <v>35</v>
      </c>
      <c r="C296" s="1" t="s">
        <v>10</v>
      </c>
      <c r="D296">
        <v>160</v>
      </c>
      <c r="E296">
        <v>0.3</v>
      </c>
      <c r="F296" s="2">
        <v>44903</v>
      </c>
      <c r="G296" s="2" t="str">
        <f>TEXT(LayoffsData[[#This Row],[date]],"yyyy-mm")</f>
        <v>2022-12</v>
      </c>
      <c r="H296" s="1" t="s">
        <v>28</v>
      </c>
      <c r="I296" s="1" t="s">
        <v>38</v>
      </c>
      <c r="J296">
        <v>138</v>
      </c>
    </row>
    <row r="297" spans="1:10" x14ac:dyDescent="0.25">
      <c r="A297" s="1" t="s">
        <v>396</v>
      </c>
      <c r="B297" s="1" t="s">
        <v>32</v>
      </c>
      <c r="C297" s="1" t="s">
        <v>63</v>
      </c>
      <c r="E297">
        <v>0.08</v>
      </c>
      <c r="F297" s="2">
        <v>44958</v>
      </c>
      <c r="G297" s="2" t="str">
        <f>TEXT(LayoffsData[[#This Row],[date]],"yyyy-mm")</f>
        <v>2023-02</v>
      </c>
      <c r="H297" s="1" t="s">
        <v>16</v>
      </c>
      <c r="I297" s="1" t="s">
        <v>17</v>
      </c>
      <c r="J297">
        <v>80</v>
      </c>
    </row>
    <row r="298" spans="1:10" x14ac:dyDescent="0.25">
      <c r="A298" s="1" t="s">
        <v>396</v>
      </c>
      <c r="B298" s="1" t="s">
        <v>32</v>
      </c>
      <c r="C298" s="1" t="s">
        <v>63</v>
      </c>
      <c r="D298">
        <v>19</v>
      </c>
      <c r="F298" s="2">
        <v>43924</v>
      </c>
      <c r="G298" s="2" t="str">
        <f>TEXT(LayoffsData[[#This Row],[date]],"yyyy-mm")</f>
        <v>2020-04</v>
      </c>
      <c r="H298" s="1" t="s">
        <v>16</v>
      </c>
      <c r="I298" s="1" t="s">
        <v>17</v>
      </c>
      <c r="J298">
        <v>80</v>
      </c>
    </row>
    <row r="299" spans="1:10" x14ac:dyDescent="0.25">
      <c r="A299" s="1" t="s">
        <v>396</v>
      </c>
      <c r="B299" s="1" t="s">
        <v>32</v>
      </c>
      <c r="C299" s="1" t="s">
        <v>63</v>
      </c>
      <c r="D299">
        <v>24</v>
      </c>
      <c r="E299">
        <v>0.08</v>
      </c>
      <c r="F299" s="2">
        <v>43924</v>
      </c>
      <c r="G299" s="2" t="str">
        <f>TEXT(LayoffsData[[#This Row],[date]],"yyyy-mm")</f>
        <v>2020-04</v>
      </c>
      <c r="H299" s="1" t="s">
        <v>16</v>
      </c>
      <c r="I299" s="1" t="s">
        <v>17</v>
      </c>
      <c r="J299">
        <v>80</v>
      </c>
    </row>
    <row r="300" spans="1:10" x14ac:dyDescent="0.25">
      <c r="A300" s="1" t="s">
        <v>397</v>
      </c>
      <c r="B300" s="1" t="s">
        <v>32</v>
      </c>
      <c r="C300" s="1" t="s">
        <v>51</v>
      </c>
      <c r="D300">
        <v>1000</v>
      </c>
      <c r="E300">
        <v>1</v>
      </c>
      <c r="F300" s="2">
        <v>44750</v>
      </c>
      <c r="G300" s="2" t="str">
        <f>TEXT(LayoffsData[[#This Row],[date]],"yyyy-mm")</f>
        <v>2022-07</v>
      </c>
      <c r="H300" s="1" t="s">
        <v>24</v>
      </c>
      <c r="I300" s="1" t="s">
        <v>17</v>
      </c>
      <c r="J300">
        <v>50</v>
      </c>
    </row>
    <row r="301" spans="1:10" x14ac:dyDescent="0.25">
      <c r="A301" s="1" t="s">
        <v>398</v>
      </c>
      <c r="B301" s="1" t="s">
        <v>73</v>
      </c>
      <c r="C301" s="1" t="s">
        <v>15</v>
      </c>
      <c r="E301">
        <v>0.25</v>
      </c>
      <c r="F301" s="2">
        <v>44930</v>
      </c>
      <c r="G301" s="2" t="str">
        <f>TEXT(LayoffsData[[#This Row],[date]],"yyyy-mm")</f>
        <v>2023-01</v>
      </c>
      <c r="H301" s="1" t="s">
        <v>11</v>
      </c>
      <c r="I301" s="1" t="s">
        <v>17</v>
      </c>
      <c r="J301">
        <v>530</v>
      </c>
    </row>
    <row r="302" spans="1:10" x14ac:dyDescent="0.25">
      <c r="A302" s="1" t="s">
        <v>398</v>
      </c>
      <c r="B302" s="1" t="s">
        <v>399</v>
      </c>
      <c r="C302" s="1" t="s">
        <v>15</v>
      </c>
      <c r="E302">
        <v>0.1</v>
      </c>
      <c r="F302" s="2">
        <v>44775</v>
      </c>
      <c r="G302" s="2" t="str">
        <f>TEXT(LayoffsData[[#This Row],[date]],"yyyy-mm")</f>
        <v>2022-08</v>
      </c>
      <c r="H302" s="1" t="s">
        <v>11</v>
      </c>
      <c r="I302" s="1" t="s">
        <v>17</v>
      </c>
      <c r="J302">
        <v>530</v>
      </c>
    </row>
    <row r="303" spans="1:10" x14ac:dyDescent="0.25">
      <c r="A303" s="1" t="s">
        <v>400</v>
      </c>
      <c r="B303" s="1" t="s">
        <v>32</v>
      </c>
      <c r="C303" s="1" t="s">
        <v>20</v>
      </c>
      <c r="D303">
        <v>48</v>
      </c>
      <c r="E303">
        <v>0.35</v>
      </c>
      <c r="F303" s="2">
        <v>43929</v>
      </c>
      <c r="G303" s="2" t="str">
        <f>TEXT(LayoffsData[[#This Row],[date]],"yyyy-mm")</f>
        <v>2020-04</v>
      </c>
      <c r="H303" s="1" t="s">
        <v>28</v>
      </c>
      <c r="I303" s="1" t="s">
        <v>17</v>
      </c>
      <c r="J303">
        <v>64</v>
      </c>
    </row>
    <row r="304" spans="1:10" x14ac:dyDescent="0.25">
      <c r="A304" s="1" t="s">
        <v>401</v>
      </c>
      <c r="B304" s="1" t="s">
        <v>349</v>
      </c>
      <c r="C304" s="1" t="s">
        <v>68</v>
      </c>
      <c r="F304" s="2">
        <v>44948</v>
      </c>
      <c r="G304" s="2" t="str">
        <f>TEXT(LayoffsData[[#This Row],[date]],"yyyy-mm")</f>
        <v>2023-01</v>
      </c>
      <c r="H304" s="1" t="s">
        <v>28</v>
      </c>
      <c r="I304" s="1" t="s">
        <v>350</v>
      </c>
      <c r="J304">
        <v>115</v>
      </c>
    </row>
    <row r="305" spans="1:10" x14ac:dyDescent="0.25">
      <c r="A305" s="1" t="s">
        <v>402</v>
      </c>
      <c r="B305" s="1" t="s">
        <v>14</v>
      </c>
      <c r="C305" s="1" t="s">
        <v>29</v>
      </c>
      <c r="D305">
        <v>87</v>
      </c>
      <c r="E305">
        <v>1</v>
      </c>
      <c r="F305" s="2">
        <v>44042</v>
      </c>
      <c r="G305" s="2" t="str">
        <f>TEXT(LayoffsData[[#This Row],[date]],"yyyy-mm")</f>
        <v>2020-07</v>
      </c>
      <c r="H305" s="1" t="s">
        <v>57</v>
      </c>
      <c r="I305" s="1" t="s">
        <v>17</v>
      </c>
      <c r="J305">
        <v>42</v>
      </c>
    </row>
    <row r="306" spans="1:10" x14ac:dyDescent="0.25">
      <c r="A306" s="1" t="s">
        <v>403</v>
      </c>
      <c r="B306" s="1" t="s">
        <v>32</v>
      </c>
      <c r="C306" s="1" t="s">
        <v>63</v>
      </c>
      <c r="E306">
        <v>0.2</v>
      </c>
      <c r="F306" s="2">
        <v>44732</v>
      </c>
      <c r="G306" s="2" t="str">
        <f>TEXT(LayoffsData[[#This Row],[date]],"yyyy-mm")</f>
        <v>2022-06</v>
      </c>
      <c r="H306" s="1" t="s">
        <v>37</v>
      </c>
      <c r="I306" s="1" t="s">
        <v>17</v>
      </c>
      <c r="J306">
        <v>32</v>
      </c>
    </row>
    <row r="307" spans="1:10" x14ac:dyDescent="0.25">
      <c r="A307" s="1" t="s">
        <v>404</v>
      </c>
      <c r="B307" s="1" t="s">
        <v>32</v>
      </c>
      <c r="C307" s="1" t="s">
        <v>63</v>
      </c>
      <c r="D307">
        <v>180</v>
      </c>
      <c r="E307">
        <v>0.12</v>
      </c>
      <c r="F307" s="2">
        <v>44901</v>
      </c>
      <c r="G307" s="2" t="str">
        <f>TEXT(LayoffsData[[#This Row],[date]],"yyyy-mm")</f>
        <v>2022-12</v>
      </c>
      <c r="H307" s="1" t="s">
        <v>11</v>
      </c>
      <c r="I307" s="1" t="s">
        <v>17</v>
      </c>
      <c r="J307">
        <v>696</v>
      </c>
    </row>
    <row r="308" spans="1:10" x14ac:dyDescent="0.25">
      <c r="A308" s="1" t="s">
        <v>405</v>
      </c>
      <c r="B308" s="1" t="s">
        <v>406</v>
      </c>
      <c r="C308" s="1" t="s">
        <v>20</v>
      </c>
      <c r="D308">
        <v>25</v>
      </c>
      <c r="E308">
        <v>0.25</v>
      </c>
      <c r="F308" s="2">
        <v>43929</v>
      </c>
      <c r="G308" s="2" t="str">
        <f>TEXT(LayoffsData[[#This Row],[date]],"yyyy-mm")</f>
        <v>2020-04</v>
      </c>
      <c r="H308" s="1" t="s">
        <v>37</v>
      </c>
      <c r="I308" s="1" t="s">
        <v>17</v>
      </c>
    </row>
    <row r="309" spans="1:10" x14ac:dyDescent="0.25">
      <c r="A309" s="1" t="s">
        <v>407</v>
      </c>
      <c r="B309" s="1" t="s">
        <v>101</v>
      </c>
      <c r="C309" s="1" t="s">
        <v>36</v>
      </c>
      <c r="F309" s="2">
        <v>44732</v>
      </c>
      <c r="G309" s="2" t="str">
        <f>TEXT(LayoffsData[[#This Row],[date]],"yyyy-mm")</f>
        <v>2022-06</v>
      </c>
      <c r="H309" s="1" t="s">
        <v>37</v>
      </c>
      <c r="I309" s="1" t="s">
        <v>101</v>
      </c>
    </row>
    <row r="310" spans="1:10" x14ac:dyDescent="0.25">
      <c r="A310" s="1" t="s">
        <v>407</v>
      </c>
      <c r="B310" s="1" t="s">
        <v>101</v>
      </c>
      <c r="C310" s="1" t="s">
        <v>36</v>
      </c>
      <c r="E310">
        <v>0.3</v>
      </c>
      <c r="F310" s="2">
        <v>44898</v>
      </c>
      <c r="G310" s="2" t="str">
        <f>TEXT(LayoffsData[[#This Row],[date]],"yyyy-mm")</f>
        <v>2022-12</v>
      </c>
      <c r="H310" s="1" t="s">
        <v>37</v>
      </c>
      <c r="I310" s="1" t="s">
        <v>101</v>
      </c>
    </row>
    <row r="311" spans="1:10" x14ac:dyDescent="0.25">
      <c r="A311" s="1" t="s">
        <v>407</v>
      </c>
      <c r="B311" s="1" t="s">
        <v>101</v>
      </c>
      <c r="C311" s="1" t="s">
        <v>36</v>
      </c>
      <c r="D311">
        <v>600</v>
      </c>
      <c r="E311">
        <v>0.3</v>
      </c>
      <c r="F311" s="2">
        <v>44732</v>
      </c>
      <c r="G311" s="2" t="str">
        <f>TEXT(LayoffsData[[#This Row],[date]],"yyyy-mm")</f>
        <v>2022-06</v>
      </c>
      <c r="H311" s="1" t="s">
        <v>37</v>
      </c>
      <c r="I311" s="1" t="s">
        <v>101</v>
      </c>
    </row>
    <row r="312" spans="1:10" x14ac:dyDescent="0.25">
      <c r="A312" s="1" t="s">
        <v>408</v>
      </c>
      <c r="B312" s="1" t="s">
        <v>293</v>
      </c>
      <c r="C312" s="1" t="s">
        <v>41</v>
      </c>
      <c r="D312">
        <v>1500</v>
      </c>
      <c r="F312" s="2">
        <v>44959</v>
      </c>
      <c r="G312" s="2" t="str">
        <f>TEXT(LayoffsData[[#This Row],[date]],"yyyy-mm")</f>
        <v>2023-02</v>
      </c>
      <c r="H312" s="1" t="s">
        <v>105</v>
      </c>
      <c r="I312" s="1" t="s">
        <v>69</v>
      </c>
      <c r="J312">
        <v>5500</v>
      </c>
    </row>
    <row r="313" spans="1:10" x14ac:dyDescent="0.25">
      <c r="A313" s="1" t="s">
        <v>408</v>
      </c>
      <c r="B313" s="1" t="s">
        <v>293</v>
      </c>
      <c r="C313" s="1" t="s">
        <v>41</v>
      </c>
      <c r="D313">
        <v>2500</v>
      </c>
      <c r="E313">
        <v>0.05</v>
      </c>
      <c r="F313" s="2">
        <v>44846</v>
      </c>
      <c r="G313" s="2" t="str">
        <f>TEXT(LayoffsData[[#This Row],[date]],"yyyy-mm")</f>
        <v>2022-10</v>
      </c>
      <c r="H313" s="1" t="s">
        <v>105</v>
      </c>
      <c r="I313" s="1" t="s">
        <v>69</v>
      </c>
      <c r="J313">
        <v>5500</v>
      </c>
    </row>
    <row r="314" spans="1:10" x14ac:dyDescent="0.25">
      <c r="A314" s="1" t="s">
        <v>409</v>
      </c>
      <c r="B314" s="1" t="s">
        <v>67</v>
      </c>
      <c r="C314" s="1" t="s">
        <v>27</v>
      </c>
      <c r="D314">
        <v>1800</v>
      </c>
      <c r="F314" s="2">
        <v>44223</v>
      </c>
      <c r="G314" s="2" t="str">
        <f>TEXT(LayoffsData[[#This Row],[date]],"yyyy-mm")</f>
        <v>2021-01</v>
      </c>
      <c r="H314" s="1" t="s">
        <v>37</v>
      </c>
      <c r="I314" s="1" t="s">
        <v>69</v>
      </c>
      <c r="J314">
        <v>7400</v>
      </c>
    </row>
    <row r="315" spans="1:10" x14ac:dyDescent="0.25">
      <c r="A315" s="1" t="s">
        <v>410</v>
      </c>
      <c r="B315" s="1" t="s">
        <v>295</v>
      </c>
      <c r="C315" s="1" t="s">
        <v>27</v>
      </c>
      <c r="E315">
        <v>0.1</v>
      </c>
      <c r="F315" s="2">
        <v>44929</v>
      </c>
      <c r="G315" s="2" t="str">
        <f>TEXT(LayoffsData[[#This Row],[date]],"yyyy-mm")</f>
        <v>2023-01</v>
      </c>
      <c r="H315" s="1" t="s">
        <v>37</v>
      </c>
      <c r="I315" s="1" t="s">
        <v>296</v>
      </c>
      <c r="J315">
        <v>9400</v>
      </c>
    </row>
    <row r="316" spans="1:10" x14ac:dyDescent="0.25">
      <c r="A316" s="1" t="s">
        <v>409</v>
      </c>
      <c r="B316" s="1" t="s">
        <v>295</v>
      </c>
      <c r="C316" s="1" t="s">
        <v>27</v>
      </c>
      <c r="D316">
        <v>150</v>
      </c>
      <c r="F316" s="2">
        <v>44729</v>
      </c>
      <c r="G316" s="2" t="str">
        <f>TEXT(LayoffsData[[#This Row],[date]],"yyyy-mm")</f>
        <v>2022-06</v>
      </c>
      <c r="H316" s="1" t="s">
        <v>37</v>
      </c>
      <c r="I316" s="1" t="s">
        <v>296</v>
      </c>
      <c r="J316">
        <v>9400</v>
      </c>
    </row>
    <row r="317" spans="1:10" x14ac:dyDescent="0.25">
      <c r="A317" s="1" t="s">
        <v>409</v>
      </c>
      <c r="B317" s="1" t="s">
        <v>295</v>
      </c>
      <c r="C317" s="1" t="s">
        <v>27</v>
      </c>
      <c r="D317">
        <v>1800</v>
      </c>
      <c r="F317" s="2">
        <v>44413</v>
      </c>
      <c r="G317" s="2" t="str">
        <f>TEXT(LayoffsData[[#This Row],[date]],"yyyy-mm")</f>
        <v>2021-08</v>
      </c>
      <c r="H317" s="1" t="s">
        <v>37</v>
      </c>
      <c r="I317" s="1" t="s">
        <v>296</v>
      </c>
      <c r="J317">
        <v>9400</v>
      </c>
    </row>
    <row r="318" spans="1:10" x14ac:dyDescent="0.25">
      <c r="A318" s="1" t="s">
        <v>411</v>
      </c>
      <c r="B318" s="1" t="s">
        <v>14</v>
      </c>
      <c r="C318" s="1" t="s">
        <v>10</v>
      </c>
      <c r="F318" s="2">
        <v>44009</v>
      </c>
      <c r="G318" s="2" t="str">
        <f>TEXT(LayoffsData[[#This Row],[date]],"yyyy-mm")</f>
        <v>2020-06</v>
      </c>
      <c r="H318" s="1" t="s">
        <v>28</v>
      </c>
      <c r="I318" s="1" t="s">
        <v>17</v>
      </c>
      <c r="J318">
        <v>1200</v>
      </c>
    </row>
    <row r="319" spans="1:10" x14ac:dyDescent="0.25">
      <c r="A319" s="1" t="s">
        <v>412</v>
      </c>
      <c r="B319" s="1" t="s">
        <v>413</v>
      </c>
      <c r="C319" s="1" t="s">
        <v>68</v>
      </c>
      <c r="D319">
        <v>20</v>
      </c>
      <c r="E319">
        <v>0.02</v>
      </c>
      <c r="F319" s="2">
        <v>44904</v>
      </c>
      <c r="G319" s="2" t="str">
        <f>TEXT(LayoffsData[[#This Row],[date]],"yyyy-mm")</f>
        <v>2022-12</v>
      </c>
      <c r="H319" s="1" t="s">
        <v>414</v>
      </c>
      <c r="I319" s="1" t="s">
        <v>17</v>
      </c>
      <c r="J319">
        <v>537</v>
      </c>
    </row>
    <row r="320" spans="1:10" x14ac:dyDescent="0.25">
      <c r="A320" s="1" t="s">
        <v>415</v>
      </c>
      <c r="B320" s="1" t="s">
        <v>35</v>
      </c>
      <c r="C320" s="1" t="s">
        <v>68</v>
      </c>
      <c r="F320" s="2">
        <v>44963</v>
      </c>
      <c r="G320" s="2" t="str">
        <f>TEXT(LayoffsData[[#This Row],[date]],"yyyy-mm")</f>
        <v>2023-02</v>
      </c>
      <c r="H320" s="1" t="s">
        <v>37</v>
      </c>
      <c r="I320" s="1" t="s">
        <v>38</v>
      </c>
      <c r="J320">
        <v>2300</v>
      </c>
    </row>
    <row r="321" spans="1:10" x14ac:dyDescent="0.25">
      <c r="A321" s="1" t="s">
        <v>415</v>
      </c>
      <c r="B321" s="1" t="s">
        <v>35</v>
      </c>
      <c r="C321" s="1" t="s">
        <v>68</v>
      </c>
      <c r="D321">
        <v>60</v>
      </c>
      <c r="E321">
        <v>0.06</v>
      </c>
      <c r="F321" s="2">
        <v>43927</v>
      </c>
      <c r="G321" s="2" t="str">
        <f>TEXT(LayoffsData[[#This Row],[date]],"yyyy-mm")</f>
        <v>2020-04</v>
      </c>
      <c r="H321" s="1" t="s">
        <v>37</v>
      </c>
      <c r="I321" s="1" t="s">
        <v>38</v>
      </c>
    </row>
    <row r="322" spans="1:10" x14ac:dyDescent="0.25">
      <c r="A322" s="1" t="s">
        <v>416</v>
      </c>
      <c r="B322" s="1" t="s">
        <v>14</v>
      </c>
      <c r="C322" s="1" t="s">
        <v>84</v>
      </c>
      <c r="E322">
        <v>0.2</v>
      </c>
      <c r="F322" s="2">
        <v>43913</v>
      </c>
      <c r="G322" s="2" t="str">
        <f>TEXT(LayoffsData[[#This Row],[date]],"yyyy-mm")</f>
        <v>2020-03</v>
      </c>
      <c r="H322" s="1" t="s">
        <v>131</v>
      </c>
      <c r="I322" s="1" t="s">
        <v>17</v>
      </c>
      <c r="J322">
        <v>3</v>
      </c>
    </row>
    <row r="323" spans="1:10" x14ac:dyDescent="0.25">
      <c r="A323" s="1" t="s">
        <v>417</v>
      </c>
      <c r="B323" s="1" t="s">
        <v>32</v>
      </c>
      <c r="C323" s="1" t="s">
        <v>174</v>
      </c>
      <c r="D323">
        <v>28</v>
      </c>
      <c r="E323">
        <v>0.25</v>
      </c>
      <c r="F323" s="2">
        <v>43962</v>
      </c>
      <c r="G323" s="2" t="str">
        <f>TEXT(LayoffsData[[#This Row],[date]],"yyyy-mm")</f>
        <v>2020-05</v>
      </c>
      <c r="H323" s="1" t="s">
        <v>28</v>
      </c>
      <c r="I323" s="1" t="s">
        <v>17</v>
      </c>
      <c r="J323">
        <v>133</v>
      </c>
    </row>
    <row r="324" spans="1:10" x14ac:dyDescent="0.25">
      <c r="A324" s="1" t="s">
        <v>418</v>
      </c>
      <c r="B324" s="1" t="s">
        <v>32</v>
      </c>
      <c r="C324" s="1" t="s">
        <v>15</v>
      </c>
      <c r="D324">
        <v>156</v>
      </c>
      <c r="E324">
        <v>0.24</v>
      </c>
      <c r="F324" s="2">
        <v>44750</v>
      </c>
      <c r="G324" s="2" t="str">
        <f>TEXT(LayoffsData[[#This Row],[date]],"yyyy-mm")</f>
        <v>2022-07</v>
      </c>
      <c r="H324" s="1" t="s">
        <v>24</v>
      </c>
      <c r="I324" s="1" t="s">
        <v>17</v>
      </c>
      <c r="J324">
        <v>127</v>
      </c>
    </row>
    <row r="325" spans="1:10" x14ac:dyDescent="0.25">
      <c r="A325" s="1" t="s">
        <v>419</v>
      </c>
      <c r="B325" s="1" t="s">
        <v>14</v>
      </c>
      <c r="C325" s="1" t="s">
        <v>29</v>
      </c>
      <c r="D325">
        <v>20</v>
      </c>
      <c r="F325" s="2">
        <v>43920</v>
      </c>
      <c r="G325" s="2" t="str">
        <f>TEXT(LayoffsData[[#This Row],[date]],"yyyy-mm")</f>
        <v>2020-03</v>
      </c>
      <c r="H325" s="1" t="s">
        <v>21</v>
      </c>
      <c r="I325" s="1" t="s">
        <v>17</v>
      </c>
      <c r="J325">
        <v>75</v>
      </c>
    </row>
    <row r="326" spans="1:10" x14ac:dyDescent="0.25">
      <c r="A326" s="1" t="s">
        <v>420</v>
      </c>
      <c r="B326" s="1" t="s">
        <v>14</v>
      </c>
      <c r="C326" s="1" t="s">
        <v>63</v>
      </c>
      <c r="E326">
        <v>0.35</v>
      </c>
      <c r="F326" s="2">
        <v>44859</v>
      </c>
      <c r="G326" s="2" t="str">
        <f>TEXT(LayoffsData[[#This Row],[date]],"yyyy-mm")</f>
        <v>2022-10</v>
      </c>
      <c r="H326" s="1" t="s">
        <v>33</v>
      </c>
      <c r="I326" s="1" t="s">
        <v>17</v>
      </c>
    </row>
    <row r="327" spans="1:10" x14ac:dyDescent="0.25">
      <c r="A327" s="1" t="s">
        <v>420</v>
      </c>
      <c r="B327" s="1" t="s">
        <v>14</v>
      </c>
      <c r="C327" s="1" t="s">
        <v>63</v>
      </c>
      <c r="D327">
        <v>140</v>
      </c>
      <c r="E327">
        <v>0.35</v>
      </c>
      <c r="F327" s="2">
        <v>44763</v>
      </c>
      <c r="G327" s="2" t="str">
        <f>TEXT(LayoffsData[[#This Row],[date]],"yyyy-mm")</f>
        <v>2022-07</v>
      </c>
      <c r="H327" s="1" t="s">
        <v>33</v>
      </c>
      <c r="I327" s="1" t="s">
        <v>17</v>
      </c>
    </row>
    <row r="328" spans="1:10" x14ac:dyDescent="0.25">
      <c r="A328" s="1" t="s">
        <v>421</v>
      </c>
      <c r="B328" s="1" t="s">
        <v>14</v>
      </c>
      <c r="C328" s="1" t="s">
        <v>15</v>
      </c>
      <c r="D328">
        <v>90</v>
      </c>
      <c r="E328">
        <v>0.2</v>
      </c>
      <c r="F328" s="2">
        <v>44784</v>
      </c>
      <c r="G328" s="2" t="str">
        <f>TEXT(LayoffsData[[#This Row],[date]],"yyyy-mm")</f>
        <v>2022-08</v>
      </c>
      <c r="H328" s="1" t="s">
        <v>28</v>
      </c>
      <c r="I328" s="1" t="s">
        <v>17</v>
      </c>
      <c r="J328">
        <v>218</v>
      </c>
    </row>
    <row r="329" spans="1:10" x14ac:dyDescent="0.25">
      <c r="A329" s="1" t="s">
        <v>422</v>
      </c>
      <c r="B329" s="1" t="s">
        <v>76</v>
      </c>
      <c r="C329" s="1" t="s">
        <v>27</v>
      </c>
      <c r="D329">
        <v>80</v>
      </c>
      <c r="F329" s="2">
        <v>44874</v>
      </c>
      <c r="G329" s="2" t="str">
        <f>TEXT(LayoffsData[[#This Row],[date]],"yyyy-mm")</f>
        <v>2022-11</v>
      </c>
      <c r="H329" s="1" t="s">
        <v>37</v>
      </c>
      <c r="I329" s="1" t="s">
        <v>17</v>
      </c>
      <c r="J329">
        <v>165</v>
      </c>
    </row>
    <row r="330" spans="1:10" x14ac:dyDescent="0.25">
      <c r="A330" s="1" t="s">
        <v>422</v>
      </c>
      <c r="B330" s="1" t="s">
        <v>76</v>
      </c>
      <c r="C330" s="1" t="s">
        <v>27</v>
      </c>
      <c r="D330">
        <v>87</v>
      </c>
      <c r="E330">
        <v>0.25</v>
      </c>
      <c r="F330" s="2">
        <v>44685</v>
      </c>
      <c r="G330" s="2" t="str">
        <f>TEXT(LayoffsData[[#This Row],[date]],"yyyy-mm")</f>
        <v>2022-05</v>
      </c>
      <c r="H330" s="1" t="s">
        <v>37</v>
      </c>
      <c r="I330" s="1" t="s">
        <v>17</v>
      </c>
      <c r="J330">
        <v>165</v>
      </c>
    </row>
    <row r="331" spans="1:10" x14ac:dyDescent="0.25">
      <c r="A331" s="1" t="s">
        <v>423</v>
      </c>
      <c r="B331" s="1" t="s">
        <v>424</v>
      </c>
      <c r="C331" s="1" t="s">
        <v>41</v>
      </c>
      <c r="E331">
        <v>0.7</v>
      </c>
      <c r="F331" s="2">
        <v>44949</v>
      </c>
      <c r="G331" s="2" t="str">
        <f>TEXT(LayoffsData[[#This Row],[date]],"yyyy-mm")</f>
        <v>2023-01</v>
      </c>
      <c r="H331" s="1" t="s">
        <v>21</v>
      </c>
      <c r="I331" s="1" t="s">
        <v>69</v>
      </c>
      <c r="J331">
        <v>16</v>
      </c>
    </row>
    <row r="332" spans="1:10" x14ac:dyDescent="0.25">
      <c r="A332" s="1" t="s">
        <v>425</v>
      </c>
      <c r="B332" s="1" t="s">
        <v>14</v>
      </c>
      <c r="C332" s="1" t="s">
        <v>147</v>
      </c>
      <c r="F332" s="2">
        <v>44825</v>
      </c>
      <c r="G332" s="2" t="str">
        <f>TEXT(LayoffsData[[#This Row],[date]],"yyyy-mm")</f>
        <v>2022-09</v>
      </c>
      <c r="H332" s="1" t="s">
        <v>131</v>
      </c>
      <c r="I332" s="1" t="s">
        <v>17</v>
      </c>
      <c r="J332">
        <v>5</v>
      </c>
    </row>
    <row r="333" spans="1:10" x14ac:dyDescent="0.25">
      <c r="A333" s="1" t="s">
        <v>426</v>
      </c>
      <c r="B333" s="1" t="s">
        <v>32</v>
      </c>
      <c r="C333" s="1" t="s">
        <v>36</v>
      </c>
      <c r="D333">
        <v>33</v>
      </c>
      <c r="E333">
        <v>0.33</v>
      </c>
      <c r="F333" s="2">
        <v>44893</v>
      </c>
      <c r="G333" s="2" t="str">
        <f>TEXT(LayoffsData[[#This Row],[date]],"yyyy-mm")</f>
        <v>2022-11</v>
      </c>
      <c r="H333" s="1" t="s">
        <v>21</v>
      </c>
      <c r="I333" s="1" t="s">
        <v>17</v>
      </c>
      <c r="J333">
        <v>100</v>
      </c>
    </row>
    <row r="334" spans="1:10" x14ac:dyDescent="0.25">
      <c r="A334" s="1" t="s">
        <v>427</v>
      </c>
      <c r="B334" s="1" t="s">
        <v>26</v>
      </c>
      <c r="C334" s="1" t="s">
        <v>10</v>
      </c>
      <c r="D334">
        <v>58</v>
      </c>
      <c r="E334">
        <v>0.06</v>
      </c>
      <c r="F334" s="2">
        <v>44743</v>
      </c>
      <c r="G334" s="2" t="str">
        <f>TEXT(LayoffsData[[#This Row],[date]],"yyyy-mm")</f>
        <v>2022-07</v>
      </c>
      <c r="H334" s="1" t="s">
        <v>11</v>
      </c>
      <c r="I334" s="1" t="s">
        <v>17</v>
      </c>
      <c r="J334">
        <v>300</v>
      </c>
    </row>
    <row r="335" spans="1:10" x14ac:dyDescent="0.25">
      <c r="A335" s="1" t="s">
        <v>428</v>
      </c>
      <c r="B335" s="1" t="s">
        <v>293</v>
      </c>
      <c r="C335" s="1" t="s">
        <v>29</v>
      </c>
      <c r="F335" s="2">
        <v>43923</v>
      </c>
      <c r="G335" s="2" t="str">
        <f>TEXT(LayoffsData[[#This Row],[date]],"yyyy-mm")</f>
        <v>2020-04</v>
      </c>
      <c r="H335" s="1" t="s">
        <v>105</v>
      </c>
      <c r="I335" s="1" t="s">
        <v>69</v>
      </c>
      <c r="J335">
        <v>102</v>
      </c>
    </row>
    <row r="336" spans="1:10" x14ac:dyDescent="0.25">
      <c r="A336" s="1" t="s">
        <v>429</v>
      </c>
      <c r="B336" s="1" t="s">
        <v>40</v>
      </c>
      <c r="C336" s="1" t="s">
        <v>68</v>
      </c>
      <c r="D336">
        <v>1100</v>
      </c>
      <c r="F336" s="2">
        <v>44945</v>
      </c>
      <c r="G336" s="2" t="str">
        <f>TEXT(LayoffsData[[#This Row],[date]],"yyyy-mm")</f>
        <v>2023-01</v>
      </c>
      <c r="H336" s="1" t="s">
        <v>11</v>
      </c>
      <c r="I336" s="1" t="s">
        <v>17</v>
      </c>
    </row>
    <row r="337" spans="1:10" x14ac:dyDescent="0.25">
      <c r="A337" s="1" t="s">
        <v>430</v>
      </c>
      <c r="B337" s="1" t="s">
        <v>431</v>
      </c>
      <c r="C337" s="1" t="s">
        <v>68</v>
      </c>
      <c r="F337" s="2">
        <v>44813</v>
      </c>
      <c r="G337" s="2" t="str">
        <f>TEXT(LayoffsData[[#This Row],[date]],"yyyy-mm")</f>
        <v>2022-09</v>
      </c>
      <c r="H337" s="1" t="s">
        <v>21</v>
      </c>
      <c r="I337" s="1" t="s">
        <v>432</v>
      </c>
      <c r="J337">
        <v>33</v>
      </c>
    </row>
    <row r="338" spans="1:10" x14ac:dyDescent="0.25">
      <c r="A338" s="1" t="s">
        <v>433</v>
      </c>
      <c r="B338" s="1" t="s">
        <v>32</v>
      </c>
      <c r="C338" s="1" t="s">
        <v>68</v>
      </c>
      <c r="E338">
        <v>0.25</v>
      </c>
      <c r="F338" s="2">
        <v>44883</v>
      </c>
      <c r="G338" s="2" t="str">
        <f>TEXT(LayoffsData[[#This Row],[date]],"yyyy-mm")</f>
        <v>2022-11</v>
      </c>
      <c r="H338" s="1" t="s">
        <v>33</v>
      </c>
      <c r="I338" s="1" t="s">
        <v>17</v>
      </c>
      <c r="J338">
        <v>281</v>
      </c>
    </row>
    <row r="339" spans="1:10" x14ac:dyDescent="0.25">
      <c r="A339" s="1" t="s">
        <v>433</v>
      </c>
      <c r="B339" s="1" t="s">
        <v>32</v>
      </c>
      <c r="C339" s="1" t="s">
        <v>68</v>
      </c>
      <c r="D339">
        <v>37</v>
      </c>
      <c r="E339">
        <v>0.25</v>
      </c>
      <c r="F339" s="2">
        <v>44882</v>
      </c>
      <c r="G339" s="2" t="str">
        <f>TEXT(LayoffsData[[#This Row],[date]],"yyyy-mm")</f>
        <v>2022-11</v>
      </c>
      <c r="H339" s="1" t="s">
        <v>33</v>
      </c>
      <c r="I339" s="1" t="s">
        <v>17</v>
      </c>
      <c r="J339">
        <v>281</v>
      </c>
    </row>
    <row r="340" spans="1:10" x14ac:dyDescent="0.25">
      <c r="A340" s="1" t="s">
        <v>434</v>
      </c>
      <c r="B340" s="1" t="s">
        <v>32</v>
      </c>
      <c r="C340" s="1" t="s">
        <v>15</v>
      </c>
      <c r="E340">
        <v>0.13</v>
      </c>
      <c r="F340" s="2">
        <v>44761</v>
      </c>
      <c r="G340" s="2" t="str">
        <f>TEXT(LayoffsData[[#This Row],[date]],"yyyy-mm")</f>
        <v>2022-07</v>
      </c>
      <c r="H340" s="1" t="s">
        <v>33</v>
      </c>
      <c r="I340" s="1" t="s">
        <v>17</v>
      </c>
      <c r="J340">
        <v>570</v>
      </c>
    </row>
    <row r="341" spans="1:10" x14ac:dyDescent="0.25">
      <c r="A341" s="1" t="s">
        <v>435</v>
      </c>
      <c r="B341" s="1" t="s">
        <v>293</v>
      </c>
      <c r="C341" s="1" t="s">
        <v>51</v>
      </c>
      <c r="D341">
        <v>120</v>
      </c>
      <c r="F341" s="2">
        <v>44941</v>
      </c>
      <c r="G341" s="2" t="str">
        <f>TEXT(LayoffsData[[#This Row],[date]],"yyyy-mm")</f>
        <v>2023-01</v>
      </c>
      <c r="H341" s="1" t="s">
        <v>28</v>
      </c>
      <c r="I341" s="1" t="s">
        <v>69</v>
      </c>
      <c r="J341">
        <v>126</v>
      </c>
    </row>
    <row r="342" spans="1:10" x14ac:dyDescent="0.25">
      <c r="A342" s="1" t="s">
        <v>436</v>
      </c>
      <c r="B342" s="1" t="s">
        <v>14</v>
      </c>
      <c r="C342" s="1" t="s">
        <v>48</v>
      </c>
      <c r="D342">
        <v>31</v>
      </c>
      <c r="E342">
        <v>0.1</v>
      </c>
      <c r="F342" s="2">
        <v>44880</v>
      </c>
      <c r="G342" s="2" t="str">
        <f>TEXT(LayoffsData[[#This Row],[date]],"yyyy-mm")</f>
        <v>2022-11</v>
      </c>
      <c r="H342" s="1" t="s">
        <v>28</v>
      </c>
      <c r="I342" s="1" t="s">
        <v>17</v>
      </c>
      <c r="J342">
        <v>164</v>
      </c>
    </row>
    <row r="343" spans="1:10" x14ac:dyDescent="0.25">
      <c r="A343" s="1" t="s">
        <v>437</v>
      </c>
      <c r="B343" s="1" t="s">
        <v>14</v>
      </c>
      <c r="C343" s="1" t="s">
        <v>325</v>
      </c>
      <c r="F343" s="2">
        <v>44860</v>
      </c>
      <c r="G343" s="2" t="str">
        <f>TEXT(LayoffsData[[#This Row],[date]],"yyyy-mm")</f>
        <v>2022-10</v>
      </c>
      <c r="H343" s="1" t="s">
        <v>16</v>
      </c>
      <c r="I343" s="1" t="s">
        <v>17</v>
      </c>
      <c r="J343">
        <v>683</v>
      </c>
    </row>
    <row r="344" spans="1:10" x14ac:dyDescent="0.25">
      <c r="A344" s="1" t="s">
        <v>438</v>
      </c>
      <c r="B344" s="1" t="s">
        <v>14</v>
      </c>
      <c r="C344" s="1" t="s">
        <v>15</v>
      </c>
      <c r="D344">
        <v>200</v>
      </c>
      <c r="F344" s="2">
        <v>44932</v>
      </c>
      <c r="G344" s="2" t="str">
        <f>TEXT(LayoffsData[[#This Row],[date]],"yyyy-mm")</f>
        <v>2023-01</v>
      </c>
      <c r="H344" s="1" t="s">
        <v>33</v>
      </c>
      <c r="I344" s="1" t="s">
        <v>17</v>
      </c>
      <c r="J344">
        <v>522</v>
      </c>
    </row>
    <row r="345" spans="1:10" x14ac:dyDescent="0.25">
      <c r="A345" s="1" t="s">
        <v>438</v>
      </c>
      <c r="B345" s="1" t="s">
        <v>14</v>
      </c>
      <c r="C345" s="1" t="s">
        <v>15</v>
      </c>
      <c r="D345">
        <v>250</v>
      </c>
      <c r="E345">
        <v>0.08</v>
      </c>
      <c r="F345" s="2">
        <v>44714</v>
      </c>
      <c r="G345" s="2" t="str">
        <f>TEXT(LayoffsData[[#This Row],[date]],"yyyy-mm")</f>
        <v>2022-06</v>
      </c>
      <c r="H345" s="1" t="s">
        <v>33</v>
      </c>
      <c r="I345" s="1" t="s">
        <v>17</v>
      </c>
      <c r="J345">
        <v>522</v>
      </c>
    </row>
    <row r="346" spans="1:10" x14ac:dyDescent="0.25">
      <c r="A346" s="1" t="s">
        <v>439</v>
      </c>
      <c r="B346" s="1" t="s">
        <v>424</v>
      </c>
      <c r="C346" s="1" t="s">
        <v>10</v>
      </c>
      <c r="F346" s="2">
        <v>44776</v>
      </c>
      <c r="G346" s="2" t="str">
        <f>TEXT(LayoffsData[[#This Row],[date]],"yyyy-mm")</f>
        <v>2022-08</v>
      </c>
      <c r="H346" s="1" t="s">
        <v>16</v>
      </c>
      <c r="I346" s="1" t="s">
        <v>69</v>
      </c>
      <c r="J346">
        <v>497</v>
      </c>
    </row>
    <row r="347" spans="1:10" x14ac:dyDescent="0.25">
      <c r="A347" s="1" t="s">
        <v>439</v>
      </c>
      <c r="B347" s="1" t="s">
        <v>424</v>
      </c>
      <c r="C347" s="1" t="s">
        <v>10</v>
      </c>
      <c r="D347">
        <v>200</v>
      </c>
      <c r="F347" s="2">
        <v>43976</v>
      </c>
      <c r="G347" s="2" t="str">
        <f>TEXT(LayoffsData[[#This Row],[date]],"yyyy-mm")</f>
        <v>2020-05</v>
      </c>
      <c r="H347" s="1" t="s">
        <v>33</v>
      </c>
      <c r="I347" s="1" t="s">
        <v>69</v>
      </c>
      <c r="J347">
        <v>247</v>
      </c>
    </row>
    <row r="348" spans="1:10" x14ac:dyDescent="0.25">
      <c r="A348" s="1" t="s">
        <v>440</v>
      </c>
      <c r="B348" s="1" t="s">
        <v>213</v>
      </c>
      <c r="C348" s="1" t="s">
        <v>20</v>
      </c>
      <c r="D348">
        <v>51</v>
      </c>
      <c r="F348" s="2">
        <v>44879</v>
      </c>
      <c r="G348" s="2" t="str">
        <f>TEXT(LayoffsData[[#This Row],[date]],"yyyy-mm")</f>
        <v>2022-11</v>
      </c>
      <c r="H348" s="1" t="s">
        <v>11</v>
      </c>
      <c r="I348" s="1" t="s">
        <v>17</v>
      </c>
      <c r="J348">
        <v>212</v>
      </c>
    </row>
    <row r="349" spans="1:10" x14ac:dyDescent="0.25">
      <c r="A349" s="1" t="s">
        <v>441</v>
      </c>
      <c r="B349" s="1" t="s">
        <v>73</v>
      </c>
      <c r="C349" s="1" t="s">
        <v>27</v>
      </c>
      <c r="D349">
        <v>81</v>
      </c>
      <c r="F349" s="2">
        <v>43951</v>
      </c>
      <c r="G349" s="2" t="str">
        <f>TEXT(LayoffsData[[#This Row],[date]],"yyyy-mm")</f>
        <v>2020-04</v>
      </c>
      <c r="H349" s="1" t="s">
        <v>57</v>
      </c>
      <c r="I349" s="1" t="s">
        <v>17</v>
      </c>
      <c r="J349">
        <v>156</v>
      </c>
    </row>
    <row r="350" spans="1:10" x14ac:dyDescent="0.25">
      <c r="A350" s="1" t="s">
        <v>442</v>
      </c>
      <c r="B350" s="1" t="s">
        <v>244</v>
      </c>
      <c r="C350" s="1" t="s">
        <v>10</v>
      </c>
      <c r="D350">
        <v>536</v>
      </c>
      <c r="E350">
        <v>0.31</v>
      </c>
      <c r="F350" s="2">
        <v>43955</v>
      </c>
      <c r="G350" s="2" t="str">
        <f>TEXT(LayoffsData[[#This Row],[date]],"yyyy-mm")</f>
        <v>2020-05</v>
      </c>
      <c r="H350" s="1" t="s">
        <v>57</v>
      </c>
      <c r="I350" s="1" t="s">
        <v>245</v>
      </c>
      <c r="J350">
        <v>771</v>
      </c>
    </row>
    <row r="351" spans="1:10" x14ac:dyDescent="0.25">
      <c r="A351" s="1" t="s">
        <v>443</v>
      </c>
      <c r="B351" s="1" t="s">
        <v>14</v>
      </c>
      <c r="C351" s="1" t="s">
        <v>41</v>
      </c>
      <c r="D351">
        <v>22</v>
      </c>
      <c r="F351" s="2">
        <v>44938</v>
      </c>
      <c r="G351" s="2" t="str">
        <f>TEXT(LayoffsData[[#This Row],[date]],"yyyy-mm")</f>
        <v>2023-01</v>
      </c>
      <c r="H351" s="1" t="s">
        <v>24</v>
      </c>
      <c r="I351" s="1" t="s">
        <v>17</v>
      </c>
      <c r="J351">
        <v>51</v>
      </c>
    </row>
    <row r="352" spans="1:10" x14ac:dyDescent="0.25">
      <c r="A352" s="1" t="s">
        <v>443</v>
      </c>
      <c r="B352" s="1" t="s">
        <v>14</v>
      </c>
      <c r="C352" s="1" t="s">
        <v>41</v>
      </c>
      <c r="D352">
        <v>60</v>
      </c>
      <c r="E352">
        <v>0.33</v>
      </c>
      <c r="F352" s="2">
        <v>44770</v>
      </c>
      <c r="G352" s="2" t="str">
        <f>TEXT(LayoffsData[[#This Row],[date]],"yyyy-mm")</f>
        <v>2022-07</v>
      </c>
      <c r="H352" s="1" t="s">
        <v>24</v>
      </c>
      <c r="I352" s="1" t="s">
        <v>17</v>
      </c>
      <c r="J352">
        <v>51</v>
      </c>
    </row>
    <row r="353" spans="1:10" x14ac:dyDescent="0.25">
      <c r="A353" s="1" t="s">
        <v>444</v>
      </c>
      <c r="B353" s="1" t="s">
        <v>26</v>
      </c>
      <c r="C353" s="1" t="s">
        <v>147</v>
      </c>
      <c r="F353" s="2">
        <v>44932</v>
      </c>
      <c r="G353" s="2" t="str">
        <f>TEXT(LayoffsData[[#This Row],[date]],"yyyy-mm")</f>
        <v>2023-01</v>
      </c>
      <c r="H353" s="1" t="s">
        <v>105</v>
      </c>
      <c r="I353" s="1" t="s">
        <v>17</v>
      </c>
      <c r="J353">
        <v>30</v>
      </c>
    </row>
    <row r="354" spans="1:10" x14ac:dyDescent="0.25">
      <c r="A354" s="1" t="s">
        <v>445</v>
      </c>
      <c r="B354" s="1" t="s">
        <v>26</v>
      </c>
      <c r="C354" s="1" t="s">
        <v>29</v>
      </c>
      <c r="F354" s="2">
        <v>44951</v>
      </c>
      <c r="G354" s="2" t="str">
        <f>TEXT(LayoffsData[[#This Row],[date]],"yyyy-mm")</f>
        <v>2023-01</v>
      </c>
      <c r="H354" s="1" t="s">
        <v>21</v>
      </c>
      <c r="I354" s="1" t="s">
        <v>17</v>
      </c>
      <c r="J354">
        <v>51</v>
      </c>
    </row>
    <row r="355" spans="1:10" x14ac:dyDescent="0.25">
      <c r="A355" s="1" t="s">
        <v>446</v>
      </c>
      <c r="B355" s="1" t="s">
        <v>73</v>
      </c>
      <c r="C355" s="1" t="s">
        <v>10</v>
      </c>
      <c r="D355">
        <v>130</v>
      </c>
      <c r="E355">
        <v>0.13</v>
      </c>
      <c r="F355" s="2">
        <v>43937</v>
      </c>
      <c r="G355" s="2" t="str">
        <f>TEXT(LayoffsData[[#This Row],[date]],"yyyy-mm")</f>
        <v>2020-04</v>
      </c>
      <c r="H355" s="1" t="s">
        <v>11</v>
      </c>
      <c r="I355" s="1" t="s">
        <v>17</v>
      </c>
      <c r="J355">
        <v>1</v>
      </c>
    </row>
    <row r="356" spans="1:10" x14ac:dyDescent="0.25">
      <c r="A356" s="1" t="s">
        <v>447</v>
      </c>
      <c r="B356" s="1" t="s">
        <v>40</v>
      </c>
      <c r="C356" s="1" t="s">
        <v>68</v>
      </c>
      <c r="F356" s="2">
        <v>44907</v>
      </c>
      <c r="G356" s="2" t="str">
        <f>TEXT(LayoffsData[[#This Row],[date]],"yyyy-mm")</f>
        <v>2022-12</v>
      </c>
      <c r="H356" s="1" t="s">
        <v>28</v>
      </c>
      <c r="I356" s="1" t="s">
        <v>17</v>
      </c>
      <c r="J356">
        <v>189</v>
      </c>
    </row>
    <row r="357" spans="1:10" x14ac:dyDescent="0.25">
      <c r="A357" s="1" t="s">
        <v>448</v>
      </c>
      <c r="B357" s="1" t="s">
        <v>101</v>
      </c>
      <c r="C357" s="1" t="s">
        <v>29</v>
      </c>
      <c r="D357">
        <v>110</v>
      </c>
      <c r="E357">
        <v>0.1</v>
      </c>
      <c r="F357" s="2">
        <v>44896</v>
      </c>
      <c r="G357" s="2" t="str">
        <f>TEXT(LayoffsData[[#This Row],[date]],"yyyy-mm")</f>
        <v>2022-12</v>
      </c>
      <c r="H357" s="1" t="s">
        <v>105</v>
      </c>
      <c r="I357" s="1" t="s">
        <v>101</v>
      </c>
      <c r="J357">
        <v>372</v>
      </c>
    </row>
    <row r="358" spans="1:10" x14ac:dyDescent="0.25">
      <c r="A358" s="1" t="s">
        <v>449</v>
      </c>
      <c r="B358" s="1" t="s">
        <v>424</v>
      </c>
      <c r="C358" s="1" t="s">
        <v>10</v>
      </c>
      <c r="D358">
        <v>600</v>
      </c>
      <c r="E358">
        <v>0.06</v>
      </c>
      <c r="F358" s="2">
        <v>44700</v>
      </c>
      <c r="G358" s="2" t="str">
        <f>TEXT(LayoffsData[[#This Row],[date]],"yyyy-mm")</f>
        <v>2022-05</v>
      </c>
      <c r="H358" s="1" t="s">
        <v>450</v>
      </c>
      <c r="I358" s="1" t="s">
        <v>69</v>
      </c>
      <c r="J358">
        <v>1300</v>
      </c>
    </row>
    <row r="359" spans="1:10" x14ac:dyDescent="0.25">
      <c r="A359" s="1" t="s">
        <v>451</v>
      </c>
      <c r="B359" s="1" t="s">
        <v>452</v>
      </c>
      <c r="C359" s="1" t="s">
        <v>10</v>
      </c>
      <c r="E359">
        <v>0.1</v>
      </c>
      <c r="F359" s="2">
        <v>44834</v>
      </c>
      <c r="G359" s="2" t="str">
        <f>TEXT(LayoffsData[[#This Row],[date]],"yyyy-mm")</f>
        <v>2022-09</v>
      </c>
      <c r="H359" s="1" t="s">
        <v>16</v>
      </c>
      <c r="I359" s="1" t="s">
        <v>453</v>
      </c>
      <c r="J359">
        <v>607</v>
      </c>
    </row>
    <row r="360" spans="1:10" x14ac:dyDescent="0.25">
      <c r="A360" s="1" t="s">
        <v>454</v>
      </c>
      <c r="B360" s="1" t="s">
        <v>137</v>
      </c>
      <c r="C360" s="1" t="s">
        <v>29</v>
      </c>
      <c r="F360" s="2">
        <v>44936</v>
      </c>
      <c r="G360" s="2" t="str">
        <f>TEXT(LayoffsData[[#This Row],[date]],"yyyy-mm")</f>
        <v>2023-01</v>
      </c>
      <c r="H360" s="1" t="s">
        <v>37</v>
      </c>
      <c r="I360" s="1" t="s">
        <v>17</v>
      </c>
      <c r="J360">
        <v>383</v>
      </c>
    </row>
    <row r="361" spans="1:10" x14ac:dyDescent="0.25">
      <c r="A361" s="1" t="s">
        <v>455</v>
      </c>
      <c r="B361" s="1" t="s">
        <v>14</v>
      </c>
      <c r="C361" s="1" t="s">
        <v>68</v>
      </c>
      <c r="D361">
        <v>161</v>
      </c>
      <c r="E361">
        <v>0.16</v>
      </c>
      <c r="F361" s="2">
        <v>43936</v>
      </c>
      <c r="G361" s="2" t="str">
        <f>TEXT(LayoffsData[[#This Row],[date]],"yyyy-mm")</f>
        <v>2020-04</v>
      </c>
      <c r="H361" s="1" t="s">
        <v>16</v>
      </c>
      <c r="I361" s="1" t="s">
        <v>17</v>
      </c>
      <c r="J361">
        <v>447</v>
      </c>
    </row>
    <row r="362" spans="1:10" x14ac:dyDescent="0.25">
      <c r="A362" s="1" t="s">
        <v>455</v>
      </c>
      <c r="B362" s="1" t="s">
        <v>14</v>
      </c>
      <c r="C362" s="1" t="s">
        <v>147</v>
      </c>
      <c r="E362">
        <v>0.1</v>
      </c>
      <c r="F362" s="2">
        <v>44937</v>
      </c>
      <c r="G362" s="2" t="str">
        <f>TEXT(LayoffsData[[#This Row],[date]],"yyyy-mm")</f>
        <v>2023-01</v>
      </c>
      <c r="H362" s="1" t="s">
        <v>450</v>
      </c>
      <c r="I362" s="1" t="s">
        <v>17</v>
      </c>
      <c r="J362">
        <v>1100</v>
      </c>
    </row>
    <row r="363" spans="1:10" x14ac:dyDescent="0.25">
      <c r="A363" s="1" t="s">
        <v>456</v>
      </c>
      <c r="B363" s="1" t="s">
        <v>238</v>
      </c>
      <c r="C363" s="1" t="s">
        <v>10</v>
      </c>
      <c r="D363">
        <v>2500</v>
      </c>
      <c r="E363">
        <v>0.12</v>
      </c>
      <c r="F363" s="2">
        <v>44691</v>
      </c>
      <c r="G363" s="2" t="str">
        <f>TEXT(LayoffsData[[#This Row],[date]],"yyyy-mm")</f>
        <v>2022-05</v>
      </c>
      <c r="H363" s="1" t="s">
        <v>11</v>
      </c>
      <c r="I363" s="1" t="s">
        <v>17</v>
      </c>
      <c r="J363">
        <v>1600</v>
      </c>
    </row>
    <row r="364" spans="1:10" x14ac:dyDescent="0.25">
      <c r="A364" s="1" t="s">
        <v>456</v>
      </c>
      <c r="B364" s="1" t="s">
        <v>238</v>
      </c>
      <c r="C364" s="1" t="s">
        <v>10</v>
      </c>
      <c r="F364" s="2">
        <v>44939</v>
      </c>
      <c r="G364" s="2" t="str">
        <f>TEXT(LayoffsData[[#This Row],[date]],"yyyy-mm")</f>
        <v>2023-01</v>
      </c>
      <c r="H364" s="1" t="s">
        <v>11</v>
      </c>
      <c r="I364" s="1" t="s">
        <v>17</v>
      </c>
      <c r="J364">
        <v>1600</v>
      </c>
    </row>
    <row r="365" spans="1:10" x14ac:dyDescent="0.25">
      <c r="A365" s="1" t="s">
        <v>456</v>
      </c>
      <c r="B365" s="1" t="s">
        <v>238</v>
      </c>
      <c r="C365" s="1" t="s">
        <v>10</v>
      </c>
      <c r="D365">
        <v>1500</v>
      </c>
      <c r="E365">
        <v>0.08</v>
      </c>
      <c r="F365" s="2">
        <v>44883</v>
      </c>
      <c r="G365" s="2" t="str">
        <f>TEXT(LayoffsData[[#This Row],[date]],"yyyy-mm")</f>
        <v>2022-11</v>
      </c>
      <c r="H365" s="1" t="s">
        <v>11</v>
      </c>
      <c r="I365" s="1" t="s">
        <v>17</v>
      </c>
      <c r="J365">
        <v>1600</v>
      </c>
    </row>
    <row r="366" spans="1:10" x14ac:dyDescent="0.25">
      <c r="A366" s="1" t="s">
        <v>457</v>
      </c>
      <c r="B366" s="1" t="s">
        <v>200</v>
      </c>
      <c r="C366" s="1" t="s">
        <v>10</v>
      </c>
      <c r="D366">
        <v>70</v>
      </c>
      <c r="E366">
        <v>0.2</v>
      </c>
      <c r="F366" s="2">
        <v>44890</v>
      </c>
      <c r="G366" s="2" t="str">
        <f>TEXT(LayoffsData[[#This Row],[date]],"yyyy-mm")</f>
        <v>2022-11</v>
      </c>
      <c r="H366" s="1" t="s">
        <v>37</v>
      </c>
      <c r="I366" s="1" t="s">
        <v>201</v>
      </c>
      <c r="J366">
        <v>157</v>
      </c>
    </row>
    <row r="367" spans="1:10" x14ac:dyDescent="0.25">
      <c r="A367" s="1" t="s">
        <v>458</v>
      </c>
      <c r="B367" s="1" t="s">
        <v>459</v>
      </c>
      <c r="C367" s="1" t="s">
        <v>174</v>
      </c>
      <c r="E367">
        <v>0.3</v>
      </c>
      <c r="F367" s="2">
        <v>44970</v>
      </c>
      <c r="G367" s="2" t="str">
        <f>TEXT(LayoffsData[[#This Row],[date]],"yyyy-mm")</f>
        <v>2023-02</v>
      </c>
      <c r="H367" s="1" t="s">
        <v>37</v>
      </c>
      <c r="I367" s="1" t="s">
        <v>460</v>
      </c>
      <c r="J367">
        <v>708</v>
      </c>
    </row>
    <row r="368" spans="1:10" x14ac:dyDescent="0.25">
      <c r="A368" s="1" t="s">
        <v>461</v>
      </c>
      <c r="B368" s="1" t="s">
        <v>293</v>
      </c>
      <c r="C368" s="1" t="s">
        <v>68</v>
      </c>
      <c r="D368">
        <v>100</v>
      </c>
      <c r="F368" s="2">
        <v>44938</v>
      </c>
      <c r="G368" s="2" t="str">
        <f>TEXT(LayoffsData[[#This Row],[date]],"yyyy-mm")</f>
        <v>2023-01</v>
      </c>
      <c r="H368" s="1" t="s">
        <v>24</v>
      </c>
      <c r="I368" s="1" t="s">
        <v>69</v>
      </c>
      <c r="J368">
        <v>41</v>
      </c>
    </row>
    <row r="369" spans="1:10" x14ac:dyDescent="0.25">
      <c r="A369" s="1" t="s">
        <v>462</v>
      </c>
      <c r="B369" s="1" t="s">
        <v>32</v>
      </c>
      <c r="C369" s="1" t="s">
        <v>29</v>
      </c>
      <c r="F369" s="2">
        <v>44453</v>
      </c>
      <c r="G369" s="2" t="str">
        <f>TEXT(LayoffsData[[#This Row],[date]],"yyyy-mm")</f>
        <v>2021-09</v>
      </c>
      <c r="H369" s="1" t="s">
        <v>11</v>
      </c>
      <c r="I369" s="1" t="s">
        <v>17</v>
      </c>
      <c r="J369">
        <v>339</v>
      </c>
    </row>
    <row r="370" spans="1:10" x14ac:dyDescent="0.25">
      <c r="A370" s="1" t="s">
        <v>462</v>
      </c>
      <c r="B370" s="1" t="s">
        <v>32</v>
      </c>
      <c r="C370" s="1" t="s">
        <v>29</v>
      </c>
      <c r="D370">
        <v>78</v>
      </c>
      <c r="E370">
        <v>0.21</v>
      </c>
      <c r="F370" s="2">
        <v>43942</v>
      </c>
      <c r="G370" s="2" t="str">
        <f>TEXT(LayoffsData[[#This Row],[date]],"yyyy-mm")</f>
        <v>2020-04</v>
      </c>
      <c r="H370" s="1" t="s">
        <v>11</v>
      </c>
      <c r="I370" s="1" t="s">
        <v>17</v>
      </c>
      <c r="J370">
        <v>339</v>
      </c>
    </row>
    <row r="371" spans="1:10" x14ac:dyDescent="0.25">
      <c r="A371" s="1" t="s">
        <v>463</v>
      </c>
      <c r="B371" s="1" t="s">
        <v>14</v>
      </c>
      <c r="C371" s="1" t="s">
        <v>15</v>
      </c>
      <c r="E371">
        <v>0.13</v>
      </c>
      <c r="F371" s="2">
        <v>43955</v>
      </c>
      <c r="G371" s="2" t="str">
        <f>TEXT(LayoffsData[[#This Row],[date]],"yyyy-mm")</f>
        <v>2020-05</v>
      </c>
      <c r="H371" s="1" t="s">
        <v>11</v>
      </c>
      <c r="I371" s="1" t="s">
        <v>17</v>
      </c>
      <c r="J371">
        <v>184</v>
      </c>
    </row>
    <row r="372" spans="1:10" x14ac:dyDescent="0.25">
      <c r="A372" s="1" t="s">
        <v>464</v>
      </c>
      <c r="B372" s="1" t="s">
        <v>73</v>
      </c>
      <c r="C372" s="1" t="s">
        <v>149</v>
      </c>
      <c r="D372">
        <v>30</v>
      </c>
      <c r="F372" s="2">
        <v>43920</v>
      </c>
      <c r="G372" s="2" t="str">
        <f>TEXT(LayoffsData[[#This Row],[date]],"yyyy-mm")</f>
        <v>2020-03</v>
      </c>
      <c r="H372" s="1" t="s">
        <v>16</v>
      </c>
      <c r="I372" s="1" t="s">
        <v>17</v>
      </c>
      <c r="J372">
        <v>110</v>
      </c>
    </row>
    <row r="373" spans="1:10" x14ac:dyDescent="0.25">
      <c r="A373" s="1" t="s">
        <v>465</v>
      </c>
      <c r="B373" s="1" t="s">
        <v>32</v>
      </c>
      <c r="C373" s="1" t="s">
        <v>53</v>
      </c>
      <c r="F373" s="2">
        <v>44763</v>
      </c>
      <c r="G373" s="2" t="str">
        <f>TEXT(LayoffsData[[#This Row],[date]],"yyyy-mm")</f>
        <v>2022-07</v>
      </c>
      <c r="H373" s="1" t="s">
        <v>24</v>
      </c>
      <c r="I373" s="1" t="s">
        <v>17</v>
      </c>
      <c r="J373">
        <v>45</v>
      </c>
    </row>
    <row r="374" spans="1:10" x14ac:dyDescent="0.25">
      <c r="A374" s="1" t="s">
        <v>466</v>
      </c>
      <c r="B374" s="1" t="s">
        <v>259</v>
      </c>
      <c r="C374" s="1" t="s">
        <v>29</v>
      </c>
      <c r="D374">
        <v>100</v>
      </c>
      <c r="F374" s="2">
        <v>44963</v>
      </c>
      <c r="G374" s="2" t="str">
        <f>TEXT(LayoffsData[[#This Row],[date]],"yyyy-mm")</f>
        <v>2023-02</v>
      </c>
      <c r="H374" s="1" t="s">
        <v>57</v>
      </c>
      <c r="I374" s="1" t="s">
        <v>46</v>
      </c>
      <c r="J374">
        <v>80</v>
      </c>
    </row>
    <row r="375" spans="1:10" x14ac:dyDescent="0.25">
      <c r="A375" s="1" t="s">
        <v>467</v>
      </c>
      <c r="B375" s="1" t="s">
        <v>200</v>
      </c>
      <c r="C375" s="1" t="s">
        <v>10</v>
      </c>
      <c r="F375" s="2">
        <v>44944</v>
      </c>
      <c r="G375" s="2" t="str">
        <f>TEXT(LayoffsData[[#This Row],[date]],"yyyy-mm")</f>
        <v>2023-01</v>
      </c>
      <c r="H375" s="1" t="s">
        <v>11</v>
      </c>
      <c r="I375" s="1" t="s">
        <v>201</v>
      </c>
      <c r="J375">
        <v>2000</v>
      </c>
    </row>
    <row r="376" spans="1:10" x14ac:dyDescent="0.25">
      <c r="A376" s="1" t="s">
        <v>467</v>
      </c>
      <c r="B376" s="1" t="s">
        <v>200</v>
      </c>
      <c r="C376" s="1" t="s">
        <v>10</v>
      </c>
      <c r="D376">
        <v>750</v>
      </c>
      <c r="E376">
        <v>0.15</v>
      </c>
      <c r="F376" s="2">
        <v>44719</v>
      </c>
      <c r="G376" s="2" t="str">
        <f>TEXT(LayoffsData[[#This Row],[date]],"yyyy-mm")</f>
        <v>2022-06</v>
      </c>
      <c r="H376" s="1" t="s">
        <v>11</v>
      </c>
      <c r="I376" s="1" t="s">
        <v>201</v>
      </c>
      <c r="J376">
        <v>2000</v>
      </c>
    </row>
    <row r="377" spans="1:10" x14ac:dyDescent="0.25">
      <c r="A377" s="1" t="s">
        <v>468</v>
      </c>
      <c r="B377" s="1" t="s">
        <v>32</v>
      </c>
      <c r="C377" s="1" t="s">
        <v>15</v>
      </c>
      <c r="E377">
        <v>0.24</v>
      </c>
      <c r="F377" s="2">
        <v>44749</v>
      </c>
      <c r="G377" s="2" t="str">
        <f>TEXT(LayoffsData[[#This Row],[date]],"yyyy-mm")</f>
        <v>2022-07</v>
      </c>
      <c r="H377" s="1" t="s">
        <v>33</v>
      </c>
      <c r="I377" s="1" t="s">
        <v>17</v>
      </c>
      <c r="J377">
        <v>351</v>
      </c>
    </row>
    <row r="378" spans="1:10" x14ac:dyDescent="0.25">
      <c r="A378" s="1" t="s">
        <v>469</v>
      </c>
      <c r="B378" s="1" t="s">
        <v>32</v>
      </c>
      <c r="C378" s="1" t="s">
        <v>36</v>
      </c>
      <c r="D378">
        <v>150</v>
      </c>
      <c r="E378">
        <v>0.25</v>
      </c>
      <c r="F378" s="2">
        <v>44745</v>
      </c>
      <c r="G378" s="2" t="str">
        <f>TEXT(LayoffsData[[#This Row],[date]],"yyyy-mm")</f>
        <v>2022-07</v>
      </c>
      <c r="H378" s="1" t="s">
        <v>24</v>
      </c>
      <c r="I378" s="1" t="s">
        <v>17</v>
      </c>
      <c r="J378">
        <v>864</v>
      </c>
    </row>
    <row r="379" spans="1:10" x14ac:dyDescent="0.25">
      <c r="A379" s="1" t="s">
        <v>470</v>
      </c>
      <c r="B379" s="1" t="s">
        <v>341</v>
      </c>
      <c r="C379" s="1" t="s">
        <v>15</v>
      </c>
      <c r="F379" s="2">
        <v>44935</v>
      </c>
      <c r="G379" s="2" t="str">
        <f>TEXT(LayoffsData[[#This Row],[date]],"yyyy-mm")</f>
        <v>2023-01</v>
      </c>
      <c r="H379" s="1" t="s">
        <v>11</v>
      </c>
      <c r="I379" s="1" t="s">
        <v>17</v>
      </c>
      <c r="J379">
        <v>560</v>
      </c>
    </row>
    <row r="380" spans="1:10" x14ac:dyDescent="0.25">
      <c r="A380" s="1" t="s">
        <v>471</v>
      </c>
      <c r="B380" s="1" t="s">
        <v>14</v>
      </c>
      <c r="C380" s="1" t="s">
        <v>15</v>
      </c>
      <c r="F380" s="2">
        <v>44712</v>
      </c>
      <c r="G380" s="2" t="str">
        <f>TEXT(LayoffsData[[#This Row],[date]],"yyyy-mm")</f>
        <v>2022-05</v>
      </c>
      <c r="H380" s="1" t="s">
        <v>28</v>
      </c>
      <c r="I380" s="1" t="s">
        <v>17</v>
      </c>
      <c r="J380">
        <v>462</v>
      </c>
    </row>
    <row r="381" spans="1:10" x14ac:dyDescent="0.25">
      <c r="A381" s="1" t="s">
        <v>471</v>
      </c>
      <c r="B381" s="1" t="s">
        <v>14</v>
      </c>
      <c r="C381" s="1" t="s">
        <v>15</v>
      </c>
      <c r="D381">
        <v>285</v>
      </c>
      <c r="E381">
        <v>0.15</v>
      </c>
      <c r="F381" s="2">
        <v>44984</v>
      </c>
      <c r="G381" s="2" t="str">
        <f>TEXT(LayoffsData[[#This Row],[date]],"yyyy-mm")</f>
        <v>2023-02</v>
      </c>
      <c r="H381" s="1" t="s">
        <v>28</v>
      </c>
      <c r="I381" s="1" t="s">
        <v>17</v>
      </c>
      <c r="J381">
        <v>462</v>
      </c>
    </row>
    <row r="382" spans="1:10" x14ac:dyDescent="0.25">
      <c r="A382" s="1" t="s">
        <v>471</v>
      </c>
      <c r="B382" s="1" t="s">
        <v>14</v>
      </c>
      <c r="C382" s="1" t="s">
        <v>15</v>
      </c>
      <c r="D382">
        <v>400</v>
      </c>
      <c r="E382">
        <v>0.2</v>
      </c>
      <c r="F382" s="2">
        <v>44858</v>
      </c>
      <c r="G382" s="2" t="str">
        <f>TEXT(LayoffsData[[#This Row],[date]],"yyyy-mm")</f>
        <v>2022-10</v>
      </c>
      <c r="H382" s="1" t="s">
        <v>28</v>
      </c>
      <c r="I382" s="1" t="s">
        <v>17</v>
      </c>
      <c r="J382">
        <v>462</v>
      </c>
    </row>
    <row r="383" spans="1:10" x14ac:dyDescent="0.25">
      <c r="A383" s="1" t="s">
        <v>472</v>
      </c>
      <c r="B383" s="1" t="s">
        <v>32</v>
      </c>
      <c r="C383" s="1" t="s">
        <v>36</v>
      </c>
      <c r="D383">
        <v>44</v>
      </c>
      <c r="E383">
        <v>0.05</v>
      </c>
      <c r="F383" s="2">
        <v>44958</v>
      </c>
      <c r="G383" s="2" t="str">
        <f>TEXT(LayoffsData[[#This Row],[date]],"yyyy-mm")</f>
        <v>2023-02</v>
      </c>
      <c r="H383" s="1" t="s">
        <v>86</v>
      </c>
      <c r="I383" s="1" t="s">
        <v>17</v>
      </c>
      <c r="J383">
        <v>536</v>
      </c>
    </row>
    <row r="384" spans="1:10" x14ac:dyDescent="0.25">
      <c r="A384" s="1" t="s">
        <v>473</v>
      </c>
      <c r="B384" s="1" t="s">
        <v>349</v>
      </c>
      <c r="C384" s="1" t="s">
        <v>68</v>
      </c>
      <c r="E384">
        <v>0.24</v>
      </c>
      <c r="F384" s="2">
        <v>44892</v>
      </c>
      <c r="G384" s="2" t="str">
        <f>TEXT(LayoffsData[[#This Row],[date]],"yyyy-mm")</f>
        <v>2022-11</v>
      </c>
      <c r="H384" s="1" t="s">
        <v>37</v>
      </c>
      <c r="I384" s="1" t="s">
        <v>350</v>
      </c>
      <c r="J384">
        <v>22</v>
      </c>
    </row>
    <row r="385" spans="1:10" x14ac:dyDescent="0.25">
      <c r="A385" s="1" t="s">
        <v>474</v>
      </c>
      <c r="B385" s="1" t="s">
        <v>14</v>
      </c>
      <c r="C385" s="1" t="s">
        <v>149</v>
      </c>
      <c r="E385">
        <v>0.19</v>
      </c>
      <c r="F385" s="2">
        <v>44770</v>
      </c>
      <c r="G385" s="2" t="str">
        <f>TEXT(LayoffsData[[#This Row],[date]],"yyyy-mm")</f>
        <v>2022-07</v>
      </c>
      <c r="H385" s="1" t="s">
        <v>33</v>
      </c>
      <c r="I385" s="1" t="s">
        <v>17</v>
      </c>
      <c r="J385">
        <v>72</v>
      </c>
    </row>
    <row r="386" spans="1:10" x14ac:dyDescent="0.25">
      <c r="A386" s="1" t="s">
        <v>475</v>
      </c>
      <c r="B386" s="1" t="s">
        <v>14</v>
      </c>
      <c r="C386" s="1" t="s">
        <v>68</v>
      </c>
      <c r="D386">
        <v>142</v>
      </c>
      <c r="E386">
        <v>0.1</v>
      </c>
      <c r="F386" s="2">
        <v>44867</v>
      </c>
      <c r="G386" s="2" t="str">
        <f>TEXT(LayoffsData[[#This Row],[date]],"yyyy-mm")</f>
        <v>2022-11</v>
      </c>
      <c r="H386" s="1" t="s">
        <v>414</v>
      </c>
      <c r="I386" s="1" t="s">
        <v>17</v>
      </c>
      <c r="J386">
        <v>468</v>
      </c>
    </row>
    <row r="387" spans="1:10" x14ac:dyDescent="0.25">
      <c r="A387" s="1" t="s">
        <v>476</v>
      </c>
      <c r="B387" s="1" t="s">
        <v>168</v>
      </c>
      <c r="C387" s="1" t="s">
        <v>172</v>
      </c>
      <c r="F387" s="2">
        <v>43969</v>
      </c>
      <c r="G387" s="2" t="str">
        <f>TEXT(LayoffsData[[#This Row],[date]],"yyyy-mm")</f>
        <v>2020-05</v>
      </c>
      <c r="H387" s="1" t="s">
        <v>57</v>
      </c>
      <c r="I387" s="1" t="s">
        <v>170</v>
      </c>
      <c r="J387">
        <v>92</v>
      </c>
    </row>
    <row r="388" spans="1:10" x14ac:dyDescent="0.25">
      <c r="A388" s="1" t="s">
        <v>476</v>
      </c>
      <c r="B388" s="1" t="s">
        <v>168</v>
      </c>
      <c r="C388" s="1" t="s">
        <v>172</v>
      </c>
      <c r="D388">
        <v>100</v>
      </c>
      <c r="E388">
        <v>0.1</v>
      </c>
      <c r="F388" s="2">
        <v>44867</v>
      </c>
      <c r="G388" s="2" t="str">
        <f>TEXT(LayoffsData[[#This Row],[date]],"yyyy-mm")</f>
        <v>2022-11</v>
      </c>
      <c r="H388" s="1" t="s">
        <v>28</v>
      </c>
      <c r="I388" s="1" t="s">
        <v>170</v>
      </c>
      <c r="J388">
        <v>92</v>
      </c>
    </row>
    <row r="389" spans="1:10" x14ac:dyDescent="0.25">
      <c r="A389" s="1" t="s">
        <v>477</v>
      </c>
      <c r="B389" s="1" t="s">
        <v>200</v>
      </c>
      <c r="C389" s="1" t="s">
        <v>68</v>
      </c>
      <c r="D389">
        <v>100</v>
      </c>
      <c r="E389">
        <v>0.05</v>
      </c>
      <c r="F389" s="2">
        <v>44817</v>
      </c>
      <c r="G389" s="2" t="str">
        <f>TEXT(LayoffsData[[#This Row],[date]],"yyyy-mm")</f>
        <v>2022-09</v>
      </c>
      <c r="H389" s="1" t="s">
        <v>33</v>
      </c>
      <c r="I389" s="1" t="s">
        <v>201</v>
      </c>
      <c r="J389">
        <v>1800</v>
      </c>
    </row>
    <row r="390" spans="1:10" x14ac:dyDescent="0.25">
      <c r="A390" s="1" t="s">
        <v>478</v>
      </c>
      <c r="B390" s="1" t="s">
        <v>14</v>
      </c>
      <c r="C390" s="1" t="s">
        <v>147</v>
      </c>
      <c r="D390">
        <v>64</v>
      </c>
      <c r="E390">
        <v>0.12</v>
      </c>
      <c r="F390" s="2">
        <v>44035</v>
      </c>
      <c r="G390" s="2" t="str">
        <f>TEXT(LayoffsData[[#This Row],[date]],"yyyy-mm")</f>
        <v>2020-07</v>
      </c>
      <c r="H390" s="1" t="s">
        <v>33</v>
      </c>
      <c r="I390" s="1" t="s">
        <v>17</v>
      </c>
      <c r="J390">
        <v>309</v>
      </c>
    </row>
    <row r="391" spans="1:10" x14ac:dyDescent="0.25">
      <c r="A391" s="1" t="s">
        <v>479</v>
      </c>
      <c r="B391" s="1" t="s">
        <v>32</v>
      </c>
      <c r="C391" s="1" t="s">
        <v>63</v>
      </c>
      <c r="F391" s="2">
        <v>43945</v>
      </c>
      <c r="G391" s="2" t="str">
        <f>TEXT(LayoffsData[[#This Row],[date]],"yyyy-mm")</f>
        <v>2020-04</v>
      </c>
      <c r="H391" s="1" t="s">
        <v>57</v>
      </c>
      <c r="I391" s="1" t="s">
        <v>17</v>
      </c>
      <c r="J391">
        <v>54</v>
      </c>
    </row>
    <row r="392" spans="1:10" x14ac:dyDescent="0.25">
      <c r="A392" s="1" t="s">
        <v>480</v>
      </c>
      <c r="B392" s="1" t="s">
        <v>14</v>
      </c>
      <c r="C392" s="1" t="s">
        <v>51</v>
      </c>
      <c r="F392" s="2">
        <v>44129</v>
      </c>
      <c r="G392" s="2" t="str">
        <f>TEXT(LayoffsData[[#This Row],[date]],"yyyy-mm")</f>
        <v>2020-10</v>
      </c>
      <c r="H392" s="1" t="s">
        <v>24</v>
      </c>
      <c r="I392" s="1" t="s">
        <v>17</v>
      </c>
      <c r="J392">
        <v>67</v>
      </c>
    </row>
    <row r="393" spans="1:10" x14ac:dyDescent="0.25">
      <c r="A393" s="1" t="s">
        <v>481</v>
      </c>
      <c r="B393" s="1" t="s">
        <v>55</v>
      </c>
      <c r="C393" s="1" t="s">
        <v>124</v>
      </c>
      <c r="F393" s="2">
        <v>44112</v>
      </c>
      <c r="G393" s="2" t="str">
        <f>TEXT(LayoffsData[[#This Row],[date]],"yyyy-mm")</f>
        <v>2020-10</v>
      </c>
      <c r="H393" s="1" t="s">
        <v>57</v>
      </c>
      <c r="I393" s="1" t="s">
        <v>17</v>
      </c>
      <c r="J393">
        <v>105</v>
      </c>
    </row>
    <row r="394" spans="1:10" x14ac:dyDescent="0.25">
      <c r="A394" s="1" t="s">
        <v>482</v>
      </c>
      <c r="B394" s="1" t="s">
        <v>200</v>
      </c>
      <c r="C394" s="1" t="s">
        <v>27</v>
      </c>
      <c r="D394">
        <v>29</v>
      </c>
      <c r="F394" s="2">
        <v>44746</v>
      </c>
      <c r="G394" s="2" t="str">
        <f>TEXT(LayoffsData[[#This Row],[date]],"yyyy-mm")</f>
        <v>2022-07</v>
      </c>
      <c r="H394" s="1" t="s">
        <v>57</v>
      </c>
      <c r="I394" s="1" t="s">
        <v>201</v>
      </c>
      <c r="J394">
        <v>0</v>
      </c>
    </row>
    <row r="395" spans="1:10" x14ac:dyDescent="0.25">
      <c r="A395" s="1" t="s">
        <v>483</v>
      </c>
      <c r="B395" s="1" t="s">
        <v>32</v>
      </c>
      <c r="C395" s="1" t="s">
        <v>48</v>
      </c>
      <c r="D395">
        <v>58</v>
      </c>
      <c r="F395" s="2">
        <v>44882</v>
      </c>
      <c r="G395" s="2" t="str">
        <f>TEXT(LayoffsData[[#This Row],[date]],"yyyy-mm")</f>
        <v>2022-11</v>
      </c>
      <c r="H395" s="1" t="s">
        <v>24</v>
      </c>
      <c r="I395" s="1" t="s">
        <v>17</v>
      </c>
      <c r="J395">
        <v>54</v>
      </c>
    </row>
    <row r="396" spans="1:10" x14ac:dyDescent="0.25">
      <c r="A396" s="1" t="s">
        <v>484</v>
      </c>
      <c r="B396" s="1" t="s">
        <v>14</v>
      </c>
      <c r="C396" s="1" t="s">
        <v>68</v>
      </c>
      <c r="D396">
        <v>156</v>
      </c>
      <c r="E396">
        <v>0.12</v>
      </c>
      <c r="F396" s="2">
        <v>44867</v>
      </c>
      <c r="G396" s="2" t="str">
        <f>TEXT(LayoffsData[[#This Row],[date]],"yyyy-mm")</f>
        <v>2022-11</v>
      </c>
      <c r="H396" s="1" t="s">
        <v>450</v>
      </c>
      <c r="I396" s="1" t="s">
        <v>17</v>
      </c>
      <c r="J396">
        <v>2300</v>
      </c>
    </row>
    <row r="397" spans="1:10" x14ac:dyDescent="0.25">
      <c r="A397" s="1" t="s">
        <v>485</v>
      </c>
      <c r="B397" s="1" t="s">
        <v>282</v>
      </c>
      <c r="C397" s="1" t="s">
        <v>68</v>
      </c>
      <c r="F397" s="2">
        <v>44876</v>
      </c>
      <c r="G397" s="2" t="str">
        <f>TEXT(LayoffsData[[#This Row],[date]],"yyyy-mm")</f>
        <v>2022-11</v>
      </c>
      <c r="H397" s="1" t="s">
        <v>131</v>
      </c>
      <c r="I397" s="1" t="s">
        <v>283</v>
      </c>
      <c r="J397">
        <v>2</v>
      </c>
    </row>
    <row r="398" spans="1:10" x14ac:dyDescent="0.25">
      <c r="A398" s="1" t="s">
        <v>486</v>
      </c>
      <c r="B398" s="1" t="s">
        <v>14</v>
      </c>
      <c r="C398" s="1" t="s">
        <v>68</v>
      </c>
      <c r="D398">
        <v>50</v>
      </c>
      <c r="E398">
        <v>0.125</v>
      </c>
      <c r="F398" s="2">
        <v>44901</v>
      </c>
      <c r="G398" s="2" t="str">
        <f>TEXT(LayoffsData[[#This Row],[date]],"yyyy-mm")</f>
        <v>2022-12</v>
      </c>
      <c r="H398" s="1" t="s">
        <v>28</v>
      </c>
      <c r="I398" s="1" t="s">
        <v>17</v>
      </c>
      <c r="J398">
        <v>302</v>
      </c>
    </row>
    <row r="399" spans="1:10" x14ac:dyDescent="0.25">
      <c r="A399" s="1" t="s">
        <v>486</v>
      </c>
      <c r="B399" s="1" t="s">
        <v>14</v>
      </c>
      <c r="C399" s="1" t="s">
        <v>68</v>
      </c>
      <c r="D399">
        <v>100</v>
      </c>
      <c r="E399">
        <v>0.33</v>
      </c>
      <c r="F399" s="2">
        <v>44974</v>
      </c>
      <c r="G399" s="2" t="str">
        <f>TEXT(LayoffsData[[#This Row],[date]],"yyyy-mm")</f>
        <v>2023-02</v>
      </c>
      <c r="H399" s="1" t="s">
        <v>28</v>
      </c>
      <c r="I399" s="1" t="s">
        <v>17</v>
      </c>
      <c r="J399">
        <v>302</v>
      </c>
    </row>
    <row r="400" spans="1:10" x14ac:dyDescent="0.25">
      <c r="A400" s="1" t="s">
        <v>487</v>
      </c>
      <c r="B400" s="1" t="s">
        <v>101</v>
      </c>
      <c r="C400" s="1" t="s">
        <v>51</v>
      </c>
      <c r="D400">
        <v>65</v>
      </c>
      <c r="E400">
        <v>0.24</v>
      </c>
      <c r="F400" s="2">
        <v>44915</v>
      </c>
      <c r="G400" s="2" t="str">
        <f>TEXT(LayoffsData[[#This Row],[date]],"yyyy-mm")</f>
        <v>2022-12</v>
      </c>
      <c r="H400" s="1" t="s">
        <v>16</v>
      </c>
      <c r="I400" s="1" t="s">
        <v>101</v>
      </c>
      <c r="J400">
        <v>50</v>
      </c>
    </row>
    <row r="401" spans="1:10" x14ac:dyDescent="0.25">
      <c r="A401" s="1" t="s">
        <v>488</v>
      </c>
      <c r="B401" s="1" t="s">
        <v>26</v>
      </c>
      <c r="C401" s="1" t="s">
        <v>51</v>
      </c>
      <c r="D401">
        <v>40</v>
      </c>
      <c r="E401">
        <v>0.1</v>
      </c>
      <c r="F401" s="2">
        <v>44909</v>
      </c>
      <c r="G401" s="2" t="str">
        <f>TEXT(LayoffsData[[#This Row],[date]],"yyyy-mm")</f>
        <v>2022-12</v>
      </c>
      <c r="H401" s="1" t="s">
        <v>28</v>
      </c>
      <c r="I401" s="1" t="s">
        <v>17</v>
      </c>
      <c r="J401">
        <v>64</v>
      </c>
    </row>
    <row r="402" spans="1:10" x14ac:dyDescent="0.25">
      <c r="A402" s="1" t="s">
        <v>488</v>
      </c>
      <c r="B402" s="1" t="s">
        <v>26</v>
      </c>
      <c r="C402" s="1" t="s">
        <v>51</v>
      </c>
      <c r="D402">
        <v>100</v>
      </c>
      <c r="E402">
        <v>0.2</v>
      </c>
      <c r="F402" s="2">
        <v>44755</v>
      </c>
      <c r="G402" s="2" t="str">
        <f>TEXT(LayoffsData[[#This Row],[date]],"yyyy-mm")</f>
        <v>2022-07</v>
      </c>
      <c r="H402" s="1" t="s">
        <v>28</v>
      </c>
      <c r="I402" s="1" t="s">
        <v>17</v>
      </c>
      <c r="J402">
        <v>64</v>
      </c>
    </row>
    <row r="403" spans="1:10" x14ac:dyDescent="0.25">
      <c r="A403" s="1" t="s">
        <v>489</v>
      </c>
      <c r="B403" s="1" t="s">
        <v>490</v>
      </c>
      <c r="C403" s="1" t="s">
        <v>29</v>
      </c>
      <c r="D403">
        <v>65</v>
      </c>
      <c r="E403">
        <v>0.13</v>
      </c>
      <c r="F403" s="2">
        <v>44956</v>
      </c>
      <c r="G403" s="2" t="str">
        <f>TEXT(LayoffsData[[#This Row],[date]],"yyyy-mm")</f>
        <v>2023-01</v>
      </c>
      <c r="H403" s="1" t="s">
        <v>28</v>
      </c>
      <c r="I403" s="1" t="s">
        <v>80</v>
      </c>
      <c r="J403">
        <v>205</v>
      </c>
    </row>
    <row r="404" spans="1:10" x14ac:dyDescent="0.25">
      <c r="A404" s="1" t="s">
        <v>489</v>
      </c>
      <c r="B404" s="1" t="s">
        <v>490</v>
      </c>
      <c r="C404" s="1" t="s">
        <v>29</v>
      </c>
      <c r="D404">
        <v>80</v>
      </c>
      <c r="F404" s="2">
        <v>44903</v>
      </c>
      <c r="G404" s="2" t="str">
        <f>TEXT(LayoffsData[[#This Row],[date]],"yyyy-mm")</f>
        <v>2022-12</v>
      </c>
      <c r="H404" s="1" t="s">
        <v>28</v>
      </c>
      <c r="I404" s="1" t="s">
        <v>80</v>
      </c>
      <c r="J404">
        <v>205</v>
      </c>
    </row>
    <row r="405" spans="1:10" x14ac:dyDescent="0.25">
      <c r="A405" s="1" t="s">
        <v>491</v>
      </c>
      <c r="B405" s="1" t="s">
        <v>14</v>
      </c>
      <c r="C405" s="1" t="s">
        <v>36</v>
      </c>
      <c r="F405" s="2">
        <v>43930</v>
      </c>
      <c r="G405" s="2" t="str">
        <f>TEXT(LayoffsData[[#This Row],[date]],"yyyy-mm")</f>
        <v>2020-04</v>
      </c>
      <c r="H405" s="1" t="s">
        <v>37</v>
      </c>
      <c r="I405" s="1" t="s">
        <v>17</v>
      </c>
      <c r="J405">
        <v>18</v>
      </c>
    </row>
    <row r="406" spans="1:10" x14ac:dyDescent="0.25">
      <c r="A406" s="1" t="s">
        <v>492</v>
      </c>
      <c r="B406" s="1" t="s">
        <v>79</v>
      </c>
      <c r="C406" s="1" t="s">
        <v>10</v>
      </c>
      <c r="D406">
        <v>100</v>
      </c>
      <c r="F406" s="2">
        <v>43984</v>
      </c>
      <c r="G406" s="2" t="str">
        <f>TEXT(LayoffsData[[#This Row],[date]],"yyyy-mm")</f>
        <v>2020-06</v>
      </c>
      <c r="H406" s="1" t="s">
        <v>57</v>
      </c>
      <c r="I406" s="1" t="s">
        <v>80</v>
      </c>
      <c r="J406">
        <v>55</v>
      </c>
    </row>
    <row r="407" spans="1:10" x14ac:dyDescent="0.25">
      <c r="A407" s="1" t="s">
        <v>493</v>
      </c>
      <c r="B407" s="1" t="s">
        <v>14</v>
      </c>
      <c r="C407" s="1" t="s">
        <v>113</v>
      </c>
      <c r="E407">
        <v>0.17</v>
      </c>
      <c r="F407" s="2">
        <v>44902</v>
      </c>
      <c r="G407" s="2" t="str">
        <f>TEXT(LayoffsData[[#This Row],[date]],"yyyy-mm")</f>
        <v>2022-12</v>
      </c>
      <c r="H407" s="1" t="s">
        <v>86</v>
      </c>
      <c r="I407" s="1" t="s">
        <v>17</v>
      </c>
      <c r="J407">
        <v>315</v>
      </c>
    </row>
    <row r="408" spans="1:10" x14ac:dyDescent="0.25">
      <c r="A408" s="1" t="s">
        <v>494</v>
      </c>
      <c r="B408" s="1" t="s">
        <v>14</v>
      </c>
      <c r="C408" s="1" t="s">
        <v>68</v>
      </c>
      <c r="F408" s="2">
        <v>44755</v>
      </c>
      <c r="G408" s="2" t="str">
        <f>TEXT(LayoffsData[[#This Row],[date]],"yyyy-mm")</f>
        <v>2022-07</v>
      </c>
      <c r="H408" s="1" t="s">
        <v>28</v>
      </c>
      <c r="I408" s="1" t="s">
        <v>17</v>
      </c>
      <c r="J408">
        <v>53</v>
      </c>
    </row>
    <row r="409" spans="1:10" x14ac:dyDescent="0.25">
      <c r="A409" s="1" t="s">
        <v>495</v>
      </c>
      <c r="B409" s="1" t="s">
        <v>241</v>
      </c>
      <c r="C409" s="1" t="s">
        <v>15</v>
      </c>
      <c r="E409">
        <v>0.5</v>
      </c>
      <c r="F409" s="2">
        <v>44728</v>
      </c>
      <c r="G409" s="2" t="str">
        <f>TEXT(LayoffsData[[#This Row],[date]],"yyyy-mm")</f>
        <v>2022-06</v>
      </c>
      <c r="H409" s="1" t="s">
        <v>21</v>
      </c>
      <c r="I409" s="1" t="s">
        <v>17</v>
      </c>
      <c r="J409">
        <v>50</v>
      </c>
    </row>
    <row r="410" spans="1:10" x14ac:dyDescent="0.25">
      <c r="A410" s="1" t="s">
        <v>496</v>
      </c>
      <c r="B410" s="1" t="s">
        <v>14</v>
      </c>
      <c r="C410" s="1" t="s">
        <v>124</v>
      </c>
      <c r="D410">
        <v>4100</v>
      </c>
      <c r="E410">
        <v>0.05</v>
      </c>
      <c r="F410" s="2">
        <v>44881</v>
      </c>
      <c r="G410" s="2" t="str">
        <f>TEXT(LayoffsData[[#This Row],[date]],"yyyy-mm")</f>
        <v>2022-11</v>
      </c>
      <c r="H410" s="1" t="s">
        <v>11</v>
      </c>
      <c r="I410" s="1" t="s">
        <v>17</v>
      </c>
      <c r="J410">
        <v>2</v>
      </c>
    </row>
    <row r="411" spans="1:10" x14ac:dyDescent="0.25">
      <c r="A411" s="1" t="s">
        <v>497</v>
      </c>
      <c r="B411" s="1" t="s">
        <v>32</v>
      </c>
      <c r="C411" s="1" t="s">
        <v>27</v>
      </c>
      <c r="D411">
        <v>33</v>
      </c>
      <c r="F411" s="2">
        <v>44937</v>
      </c>
      <c r="G411" s="2" t="str">
        <f>TEXT(LayoffsData[[#This Row],[date]],"yyyy-mm")</f>
        <v>2023-01</v>
      </c>
      <c r="H411" s="1" t="s">
        <v>28</v>
      </c>
      <c r="I411" s="1" t="s">
        <v>17</v>
      </c>
      <c r="J411">
        <v>133</v>
      </c>
    </row>
    <row r="412" spans="1:10" x14ac:dyDescent="0.25">
      <c r="A412" s="1" t="s">
        <v>498</v>
      </c>
      <c r="B412" s="1" t="s">
        <v>14</v>
      </c>
      <c r="C412" s="1" t="s">
        <v>74</v>
      </c>
      <c r="D412">
        <v>22</v>
      </c>
      <c r="E412">
        <v>0.27</v>
      </c>
      <c r="F412" s="2">
        <v>44946</v>
      </c>
      <c r="G412" s="2" t="str">
        <f>TEXT(LayoffsData[[#This Row],[date]],"yyyy-mm")</f>
        <v>2023-01</v>
      </c>
      <c r="H412" s="1" t="s">
        <v>28</v>
      </c>
      <c r="I412" s="1" t="s">
        <v>17</v>
      </c>
      <c r="J412">
        <v>64</v>
      </c>
    </row>
    <row r="413" spans="1:10" x14ac:dyDescent="0.25">
      <c r="A413" s="1" t="s">
        <v>499</v>
      </c>
      <c r="B413" s="1" t="s">
        <v>182</v>
      </c>
      <c r="C413" s="1" t="s">
        <v>124</v>
      </c>
      <c r="E413">
        <v>0.15</v>
      </c>
      <c r="F413" s="2">
        <v>44936</v>
      </c>
      <c r="G413" s="2" t="str">
        <f>TEXT(LayoffsData[[#This Row],[date]],"yyyy-mm")</f>
        <v>2023-01</v>
      </c>
      <c r="H413" s="1" t="s">
        <v>57</v>
      </c>
      <c r="I413" s="1" t="s">
        <v>17</v>
      </c>
      <c r="J413">
        <v>20</v>
      </c>
    </row>
    <row r="414" spans="1:10" x14ac:dyDescent="0.25">
      <c r="A414" s="1" t="s">
        <v>500</v>
      </c>
      <c r="B414" s="1" t="s">
        <v>424</v>
      </c>
      <c r="C414" s="1" t="s">
        <v>29</v>
      </c>
      <c r="D414">
        <v>191</v>
      </c>
      <c r="E414">
        <v>0.3</v>
      </c>
      <c r="F414" s="2">
        <v>44731</v>
      </c>
      <c r="G414" s="2" t="str">
        <f>TEXT(LayoffsData[[#This Row],[date]],"yyyy-mm")</f>
        <v>2022-06</v>
      </c>
      <c r="H414" s="1" t="s">
        <v>28</v>
      </c>
      <c r="I414" s="1" t="s">
        <v>69</v>
      </c>
      <c r="J414">
        <v>112</v>
      </c>
    </row>
    <row r="415" spans="1:10" x14ac:dyDescent="0.25">
      <c r="A415" s="1" t="s">
        <v>501</v>
      </c>
      <c r="B415" s="1" t="s">
        <v>92</v>
      </c>
      <c r="C415" s="1" t="s">
        <v>20</v>
      </c>
      <c r="F415" s="2">
        <v>43921</v>
      </c>
      <c r="G415" s="2" t="str">
        <f>TEXT(LayoffsData[[#This Row],[date]],"yyyy-mm")</f>
        <v>2020-03</v>
      </c>
      <c r="H415" s="1" t="s">
        <v>131</v>
      </c>
      <c r="I415" s="1" t="s">
        <v>17</v>
      </c>
      <c r="J415">
        <v>4</v>
      </c>
    </row>
    <row r="416" spans="1:10" x14ac:dyDescent="0.25">
      <c r="A416" s="1" t="s">
        <v>502</v>
      </c>
      <c r="B416" s="1" t="s">
        <v>14</v>
      </c>
      <c r="C416" s="1" t="s">
        <v>48</v>
      </c>
      <c r="D416">
        <v>20</v>
      </c>
      <c r="F416" s="2">
        <v>44963</v>
      </c>
      <c r="G416" s="2" t="str">
        <f>TEXT(LayoffsData[[#This Row],[date]],"yyyy-mm")</f>
        <v>2023-02</v>
      </c>
      <c r="H416" s="1" t="s">
        <v>86</v>
      </c>
      <c r="I416" s="1" t="s">
        <v>17</v>
      </c>
      <c r="J416">
        <v>496</v>
      </c>
    </row>
    <row r="417" spans="1:10" x14ac:dyDescent="0.25">
      <c r="A417" s="1" t="s">
        <v>502</v>
      </c>
      <c r="B417" s="1" t="s">
        <v>14</v>
      </c>
      <c r="C417" s="1" t="s">
        <v>48</v>
      </c>
      <c r="D417">
        <v>45</v>
      </c>
      <c r="F417" s="2">
        <v>44804</v>
      </c>
      <c r="G417" s="2" t="str">
        <f>TEXT(LayoffsData[[#This Row],[date]],"yyyy-mm")</f>
        <v>2022-08</v>
      </c>
      <c r="H417" s="1" t="s">
        <v>86</v>
      </c>
      <c r="I417" s="1" t="s">
        <v>17</v>
      </c>
      <c r="J417">
        <v>496</v>
      </c>
    </row>
    <row r="418" spans="1:10" x14ac:dyDescent="0.25">
      <c r="A418" s="1" t="s">
        <v>503</v>
      </c>
      <c r="B418" s="1" t="s">
        <v>14</v>
      </c>
      <c r="C418" s="1" t="s">
        <v>15</v>
      </c>
      <c r="D418">
        <v>15</v>
      </c>
      <c r="E418">
        <v>0.05</v>
      </c>
      <c r="F418" s="2">
        <v>44764</v>
      </c>
      <c r="G418" s="2" t="str">
        <f>TEXT(LayoffsData[[#This Row],[date]],"yyyy-mm")</f>
        <v>2022-07</v>
      </c>
      <c r="H418" s="1" t="s">
        <v>33</v>
      </c>
      <c r="I418" s="1" t="s">
        <v>17</v>
      </c>
      <c r="J418">
        <v>328</v>
      </c>
    </row>
    <row r="419" spans="1:10" x14ac:dyDescent="0.25">
      <c r="A419" s="1" t="s">
        <v>504</v>
      </c>
      <c r="B419" s="1" t="s">
        <v>76</v>
      </c>
      <c r="C419" s="1" t="s">
        <v>41</v>
      </c>
      <c r="F419" s="2">
        <v>44774</v>
      </c>
      <c r="G419" s="2" t="str">
        <f>TEXT(LayoffsData[[#This Row],[date]],"yyyy-mm")</f>
        <v>2022-08</v>
      </c>
      <c r="H419" s="1" t="s">
        <v>131</v>
      </c>
      <c r="I419" s="1" t="s">
        <v>17</v>
      </c>
      <c r="J419">
        <v>1</v>
      </c>
    </row>
    <row r="420" spans="1:10" x14ac:dyDescent="0.25">
      <c r="A420" s="1" t="s">
        <v>505</v>
      </c>
      <c r="B420" s="1" t="s">
        <v>32</v>
      </c>
      <c r="C420" s="1" t="s">
        <v>506</v>
      </c>
      <c r="D420">
        <v>154</v>
      </c>
      <c r="E420">
        <v>0.22</v>
      </c>
      <c r="F420" s="2">
        <v>43923</v>
      </c>
      <c r="G420" s="2" t="str">
        <f>TEXT(LayoffsData[[#This Row],[date]],"yyyy-mm")</f>
        <v>2020-04</v>
      </c>
      <c r="H420" s="1" t="s">
        <v>16</v>
      </c>
      <c r="I420" s="1" t="s">
        <v>17</v>
      </c>
      <c r="J420">
        <v>549</v>
      </c>
    </row>
    <row r="421" spans="1:10" x14ac:dyDescent="0.25">
      <c r="A421" s="1" t="s">
        <v>507</v>
      </c>
      <c r="B421" s="1" t="s">
        <v>293</v>
      </c>
      <c r="C421" s="1" t="s">
        <v>68</v>
      </c>
      <c r="D421">
        <v>190</v>
      </c>
      <c r="E421">
        <v>0.2</v>
      </c>
      <c r="F421" s="2">
        <v>44820</v>
      </c>
      <c r="G421" s="2" t="str">
        <f>TEXT(LayoffsData[[#This Row],[date]],"yyyy-mm")</f>
        <v>2022-09</v>
      </c>
      <c r="H421" s="1" t="s">
        <v>28</v>
      </c>
      <c r="I421" s="1" t="s">
        <v>69</v>
      </c>
      <c r="J421">
        <v>140</v>
      </c>
    </row>
    <row r="422" spans="1:10" x14ac:dyDescent="0.25">
      <c r="A422" s="1" t="s">
        <v>508</v>
      </c>
      <c r="B422" s="1" t="s">
        <v>509</v>
      </c>
      <c r="C422" s="1" t="s">
        <v>174</v>
      </c>
      <c r="D422">
        <v>250</v>
      </c>
      <c r="E422">
        <v>0.25</v>
      </c>
      <c r="F422" s="2">
        <v>44951</v>
      </c>
      <c r="G422" s="2" t="str">
        <f>TEXT(LayoffsData[[#This Row],[date]],"yyyy-mm")</f>
        <v>2023-01</v>
      </c>
      <c r="H422" s="1" t="s">
        <v>37</v>
      </c>
      <c r="I422" s="1" t="s">
        <v>17</v>
      </c>
    </row>
    <row r="423" spans="1:10" x14ac:dyDescent="0.25">
      <c r="A423" s="1" t="s">
        <v>508</v>
      </c>
      <c r="B423" s="1" t="s">
        <v>509</v>
      </c>
      <c r="C423" s="1" t="s">
        <v>174</v>
      </c>
      <c r="D423">
        <v>378</v>
      </c>
      <c r="E423">
        <v>0.27</v>
      </c>
      <c r="F423" s="2">
        <v>44848</v>
      </c>
      <c r="G423" s="2" t="str">
        <f>TEXT(LayoffsData[[#This Row],[date]],"yyyy-mm")</f>
        <v>2022-10</v>
      </c>
      <c r="H423" s="1" t="s">
        <v>37</v>
      </c>
      <c r="I423" s="1" t="s">
        <v>17</v>
      </c>
    </row>
    <row r="424" spans="1:10" x14ac:dyDescent="0.25">
      <c r="A424" s="1" t="s">
        <v>510</v>
      </c>
      <c r="B424" s="1" t="s">
        <v>9</v>
      </c>
      <c r="C424" s="1" t="s">
        <v>68</v>
      </c>
      <c r="D424">
        <v>17</v>
      </c>
      <c r="E424">
        <v>0.08</v>
      </c>
      <c r="F424" s="2">
        <v>43934</v>
      </c>
      <c r="G424" s="2" t="str">
        <f>TEXT(LayoffsData[[#This Row],[date]],"yyyy-mm")</f>
        <v>2020-04</v>
      </c>
      <c r="H424" s="1" t="s">
        <v>24</v>
      </c>
      <c r="I424" s="1" t="s">
        <v>12</v>
      </c>
      <c r="J424">
        <v>119</v>
      </c>
    </row>
    <row r="425" spans="1:10" x14ac:dyDescent="0.25">
      <c r="A425" s="1" t="s">
        <v>511</v>
      </c>
      <c r="B425" s="1" t="s">
        <v>14</v>
      </c>
      <c r="C425" s="1" t="s">
        <v>74</v>
      </c>
      <c r="F425" s="2">
        <v>43943</v>
      </c>
      <c r="G425" s="2" t="str">
        <f>TEXT(LayoffsData[[#This Row],[date]],"yyyy-mm")</f>
        <v>2020-04</v>
      </c>
      <c r="H425" s="1" t="s">
        <v>21</v>
      </c>
      <c r="I425" s="1" t="s">
        <v>17</v>
      </c>
      <c r="J425">
        <v>17</v>
      </c>
    </row>
    <row r="426" spans="1:10" x14ac:dyDescent="0.25">
      <c r="A426" s="1" t="s">
        <v>512</v>
      </c>
      <c r="B426" s="1" t="s">
        <v>19</v>
      </c>
      <c r="C426" s="1" t="s">
        <v>68</v>
      </c>
      <c r="F426" s="2">
        <v>44718</v>
      </c>
      <c r="G426" s="2" t="str">
        <f>TEXT(LayoffsData[[#This Row],[date]],"yyyy-mm")</f>
        <v>2022-06</v>
      </c>
      <c r="H426" s="1" t="s">
        <v>28</v>
      </c>
      <c r="I426" s="1" t="s">
        <v>22</v>
      </c>
      <c r="J426">
        <v>681</v>
      </c>
    </row>
    <row r="427" spans="1:10" x14ac:dyDescent="0.25">
      <c r="A427" s="1" t="s">
        <v>512</v>
      </c>
      <c r="B427" s="1" t="s">
        <v>9</v>
      </c>
      <c r="C427" s="1" t="s">
        <v>513</v>
      </c>
      <c r="D427">
        <v>125</v>
      </c>
      <c r="E427">
        <v>0.25</v>
      </c>
      <c r="F427" s="2">
        <v>44771</v>
      </c>
      <c r="G427" s="2" t="str">
        <f>TEXT(LayoffsData[[#This Row],[date]],"yyyy-mm")</f>
        <v>2022-07</v>
      </c>
      <c r="H427" s="1" t="s">
        <v>28</v>
      </c>
      <c r="I427" s="1" t="s">
        <v>12</v>
      </c>
      <c r="J427">
        <v>681</v>
      </c>
    </row>
    <row r="428" spans="1:10" x14ac:dyDescent="0.25">
      <c r="A428" s="1" t="s">
        <v>514</v>
      </c>
      <c r="B428" s="1" t="s">
        <v>9</v>
      </c>
      <c r="C428" s="1" t="s">
        <v>68</v>
      </c>
      <c r="D428">
        <v>50</v>
      </c>
      <c r="E428">
        <v>0.3</v>
      </c>
      <c r="F428" s="2">
        <v>44942</v>
      </c>
      <c r="G428" s="2" t="str">
        <f>TEXT(LayoffsData[[#This Row],[date]],"yyyy-mm")</f>
        <v>2023-01</v>
      </c>
      <c r="H428" s="1" t="s">
        <v>28</v>
      </c>
      <c r="I428" s="1" t="s">
        <v>12</v>
      </c>
      <c r="J428">
        <v>698</v>
      </c>
    </row>
    <row r="429" spans="1:10" x14ac:dyDescent="0.25">
      <c r="A429" s="1" t="s">
        <v>512</v>
      </c>
      <c r="B429" s="1" t="s">
        <v>9</v>
      </c>
      <c r="C429" s="1" t="s">
        <v>68</v>
      </c>
      <c r="D429">
        <v>60</v>
      </c>
      <c r="F429" s="2">
        <v>44718</v>
      </c>
      <c r="G429" s="2" t="str">
        <f>TEXT(LayoffsData[[#This Row],[date]],"yyyy-mm")</f>
        <v>2022-06</v>
      </c>
      <c r="H429" s="1" t="s">
        <v>28</v>
      </c>
      <c r="I429" s="1" t="s">
        <v>12</v>
      </c>
      <c r="J429">
        <v>681</v>
      </c>
    </row>
    <row r="430" spans="1:10" x14ac:dyDescent="0.25">
      <c r="A430" s="1" t="s">
        <v>515</v>
      </c>
      <c r="B430" s="1" t="s">
        <v>157</v>
      </c>
      <c r="C430" s="1" t="s">
        <v>174</v>
      </c>
      <c r="F430" s="2">
        <v>44853</v>
      </c>
      <c r="G430" s="2" t="str">
        <f>TEXT(LayoffsData[[#This Row],[date]],"yyyy-mm")</f>
        <v>2022-10</v>
      </c>
      <c r="H430" s="1" t="s">
        <v>24</v>
      </c>
      <c r="I430" s="1" t="s">
        <v>17</v>
      </c>
      <c r="J430">
        <v>13</v>
      </c>
    </row>
    <row r="431" spans="1:10" x14ac:dyDescent="0.25">
      <c r="A431" s="1" t="s">
        <v>515</v>
      </c>
      <c r="B431" s="1" t="s">
        <v>157</v>
      </c>
      <c r="C431" s="1" t="s">
        <v>174</v>
      </c>
      <c r="F431" s="2">
        <v>43915</v>
      </c>
      <c r="G431" s="2" t="str">
        <f>TEXT(LayoffsData[[#This Row],[date]],"yyyy-mm")</f>
        <v>2020-03</v>
      </c>
      <c r="H431" s="1" t="s">
        <v>21</v>
      </c>
      <c r="I431" s="1" t="s">
        <v>17</v>
      </c>
      <c r="J431">
        <v>5</v>
      </c>
    </row>
    <row r="432" spans="1:10" x14ac:dyDescent="0.25">
      <c r="A432" s="1" t="s">
        <v>516</v>
      </c>
      <c r="B432" s="1" t="s">
        <v>67</v>
      </c>
      <c r="C432" s="1" t="s">
        <v>20</v>
      </c>
      <c r="D432">
        <v>60</v>
      </c>
      <c r="E432">
        <v>0.2</v>
      </c>
      <c r="F432" s="2">
        <v>43937</v>
      </c>
      <c r="G432" s="2" t="str">
        <f>TEXT(LayoffsData[[#This Row],[date]],"yyyy-mm")</f>
        <v>2020-04</v>
      </c>
      <c r="H432" s="1" t="s">
        <v>28</v>
      </c>
      <c r="I432" s="1" t="s">
        <v>69</v>
      </c>
      <c r="J432">
        <v>76</v>
      </c>
    </row>
    <row r="433" spans="1:10" x14ac:dyDescent="0.25">
      <c r="A433" s="1" t="s">
        <v>517</v>
      </c>
      <c r="B433" s="1" t="s">
        <v>406</v>
      </c>
      <c r="C433" s="1" t="s">
        <v>149</v>
      </c>
      <c r="D433">
        <v>60</v>
      </c>
      <c r="E433">
        <v>7.0000000000000007E-2</v>
      </c>
      <c r="F433" s="2">
        <v>44704</v>
      </c>
      <c r="G433" s="2" t="str">
        <f>TEXT(LayoffsData[[#This Row],[date]],"yyyy-mm")</f>
        <v>2022-05</v>
      </c>
      <c r="H433" s="1" t="s">
        <v>28</v>
      </c>
      <c r="I433" s="1" t="s">
        <v>17</v>
      </c>
      <c r="J433">
        <v>537</v>
      </c>
    </row>
    <row r="434" spans="1:10" x14ac:dyDescent="0.25">
      <c r="A434" s="1" t="s">
        <v>518</v>
      </c>
      <c r="B434" s="1" t="s">
        <v>519</v>
      </c>
      <c r="C434" s="1" t="s">
        <v>53</v>
      </c>
      <c r="D434">
        <v>40</v>
      </c>
      <c r="E434">
        <v>0.32</v>
      </c>
      <c r="F434" s="2">
        <v>43930</v>
      </c>
      <c r="G434" s="2" t="str">
        <f>TEXT(LayoffsData[[#This Row],[date]],"yyyy-mm")</f>
        <v>2020-04</v>
      </c>
      <c r="H434" s="1" t="s">
        <v>24</v>
      </c>
      <c r="I434" s="1" t="s">
        <v>17</v>
      </c>
      <c r="J434">
        <v>59</v>
      </c>
    </row>
    <row r="435" spans="1:10" x14ac:dyDescent="0.25">
      <c r="A435" s="1" t="s">
        <v>520</v>
      </c>
      <c r="B435" s="1" t="s">
        <v>14</v>
      </c>
      <c r="C435" s="1" t="s">
        <v>124</v>
      </c>
      <c r="F435" s="2">
        <v>43956</v>
      </c>
      <c r="G435" s="2" t="str">
        <f>TEXT(LayoffsData[[#This Row],[date]],"yyyy-mm")</f>
        <v>2020-05</v>
      </c>
      <c r="H435" s="1" t="s">
        <v>11</v>
      </c>
      <c r="I435" s="1" t="s">
        <v>17</v>
      </c>
      <c r="J435">
        <v>1000</v>
      </c>
    </row>
    <row r="436" spans="1:10" x14ac:dyDescent="0.25">
      <c r="A436" s="1" t="s">
        <v>521</v>
      </c>
      <c r="B436" s="1" t="s">
        <v>522</v>
      </c>
      <c r="C436" s="1" t="s">
        <v>74</v>
      </c>
      <c r="E436">
        <v>0.12</v>
      </c>
      <c r="F436" s="2">
        <v>44874</v>
      </c>
      <c r="G436" s="2" t="str">
        <f>TEXT(LayoffsData[[#This Row],[date]],"yyyy-mm")</f>
        <v>2022-11</v>
      </c>
      <c r="H436" s="1" t="s">
        <v>105</v>
      </c>
      <c r="I436" s="1" t="s">
        <v>523</v>
      </c>
      <c r="J436">
        <v>78</v>
      </c>
    </row>
    <row r="437" spans="1:10" x14ac:dyDescent="0.25">
      <c r="A437" s="1" t="s">
        <v>524</v>
      </c>
      <c r="B437" s="1" t="s">
        <v>14</v>
      </c>
      <c r="C437" s="1" t="s">
        <v>63</v>
      </c>
      <c r="D437">
        <v>40</v>
      </c>
      <c r="E437">
        <v>0.08</v>
      </c>
      <c r="F437" s="2">
        <v>44879</v>
      </c>
      <c r="G437" s="2" t="str">
        <f>TEXT(LayoffsData[[#This Row],[date]],"yyyy-mm")</f>
        <v>2022-11</v>
      </c>
      <c r="H437" s="1" t="s">
        <v>37</v>
      </c>
      <c r="I437" s="1" t="s">
        <v>17</v>
      </c>
      <c r="J437">
        <v>100</v>
      </c>
    </row>
    <row r="438" spans="1:10" x14ac:dyDescent="0.25">
      <c r="A438" s="1" t="s">
        <v>525</v>
      </c>
      <c r="B438" s="1" t="s">
        <v>26</v>
      </c>
      <c r="C438" s="1" t="s">
        <v>174</v>
      </c>
      <c r="F438" s="2">
        <v>44868</v>
      </c>
      <c r="G438" s="2" t="str">
        <f>TEXT(LayoffsData[[#This Row],[date]],"yyyy-mm")</f>
        <v>2022-11</v>
      </c>
      <c r="H438" s="1" t="s">
        <v>37</v>
      </c>
      <c r="I438" s="1" t="s">
        <v>17</v>
      </c>
      <c r="J438">
        <v>1300</v>
      </c>
    </row>
    <row r="439" spans="1:10" x14ac:dyDescent="0.25">
      <c r="A439" s="1" t="s">
        <v>526</v>
      </c>
      <c r="B439" s="1" t="s">
        <v>14</v>
      </c>
      <c r="C439" s="1" t="s">
        <v>27</v>
      </c>
      <c r="F439" s="2">
        <v>44715</v>
      </c>
      <c r="G439" s="2" t="str">
        <f>TEXT(LayoffsData[[#This Row],[date]],"yyyy-mm")</f>
        <v>2022-06</v>
      </c>
      <c r="H439" s="1" t="s">
        <v>28</v>
      </c>
      <c r="I439" s="1" t="s">
        <v>17</v>
      </c>
      <c r="J439">
        <v>110</v>
      </c>
    </row>
    <row r="440" spans="1:10" x14ac:dyDescent="0.25">
      <c r="A440" s="1" t="s">
        <v>527</v>
      </c>
      <c r="B440" s="1" t="s">
        <v>79</v>
      </c>
      <c r="C440" s="1" t="s">
        <v>15</v>
      </c>
      <c r="D440">
        <v>31</v>
      </c>
      <c r="E440">
        <v>0.31</v>
      </c>
      <c r="F440" s="2">
        <v>44944</v>
      </c>
      <c r="G440" s="2" t="str">
        <f>TEXT(LayoffsData[[#This Row],[date]],"yyyy-mm")</f>
        <v>2023-01</v>
      </c>
      <c r="H440" s="1" t="s">
        <v>37</v>
      </c>
      <c r="I440" s="1" t="s">
        <v>80</v>
      </c>
      <c r="J440">
        <v>47</v>
      </c>
    </row>
    <row r="441" spans="1:10" x14ac:dyDescent="0.25">
      <c r="A441" s="1" t="s">
        <v>528</v>
      </c>
      <c r="B441" s="1" t="s">
        <v>14</v>
      </c>
      <c r="C441" s="1" t="s">
        <v>74</v>
      </c>
      <c r="F441" s="2">
        <v>44256</v>
      </c>
      <c r="G441" s="2" t="str">
        <f>TEXT(LayoffsData[[#This Row],[date]],"yyyy-mm")</f>
        <v>2021-03</v>
      </c>
      <c r="H441" s="1" t="s">
        <v>28</v>
      </c>
      <c r="I441" s="1" t="s">
        <v>17</v>
      </c>
      <c r="J441">
        <v>186</v>
      </c>
    </row>
    <row r="442" spans="1:10" x14ac:dyDescent="0.25">
      <c r="A442" s="1" t="s">
        <v>529</v>
      </c>
      <c r="B442" s="1" t="s">
        <v>9</v>
      </c>
      <c r="C442" s="1" t="s">
        <v>10</v>
      </c>
      <c r="D442">
        <v>76</v>
      </c>
      <c r="E442">
        <v>0.22</v>
      </c>
      <c r="F442" s="2">
        <v>44741</v>
      </c>
      <c r="G442" s="2" t="str">
        <f>TEXT(LayoffsData[[#This Row],[date]],"yyyy-mm")</f>
        <v>2022-06</v>
      </c>
      <c r="H442" s="1" t="s">
        <v>24</v>
      </c>
      <c r="I442" s="1" t="s">
        <v>12</v>
      </c>
      <c r="J442">
        <v>153</v>
      </c>
    </row>
    <row r="443" spans="1:10" x14ac:dyDescent="0.25">
      <c r="A443" s="1" t="s">
        <v>529</v>
      </c>
      <c r="B443" s="1" t="s">
        <v>9</v>
      </c>
      <c r="C443" s="1" t="s">
        <v>10</v>
      </c>
      <c r="D443">
        <v>150</v>
      </c>
      <c r="F443" s="2">
        <v>44943</v>
      </c>
      <c r="G443" s="2" t="str">
        <f>TEXT(LayoffsData[[#This Row],[date]],"yyyy-mm")</f>
        <v>2023-01</v>
      </c>
      <c r="H443" s="1" t="s">
        <v>37</v>
      </c>
      <c r="I443" s="1" t="s">
        <v>12</v>
      </c>
      <c r="J443">
        <v>253</v>
      </c>
    </row>
    <row r="444" spans="1:10" x14ac:dyDescent="0.25">
      <c r="A444" s="1" t="s">
        <v>530</v>
      </c>
      <c r="B444" s="1" t="s">
        <v>26</v>
      </c>
      <c r="C444" s="1" t="s">
        <v>27</v>
      </c>
      <c r="E444">
        <v>0.3</v>
      </c>
      <c r="F444" s="2">
        <v>43915</v>
      </c>
      <c r="G444" s="2" t="str">
        <f>TEXT(LayoffsData[[#This Row],[date]],"yyyy-mm")</f>
        <v>2020-03</v>
      </c>
      <c r="H444" s="1" t="s">
        <v>33</v>
      </c>
      <c r="I444" s="1" t="s">
        <v>17</v>
      </c>
      <c r="J444">
        <v>296</v>
      </c>
    </row>
    <row r="445" spans="1:10" x14ac:dyDescent="0.25">
      <c r="A445" s="1" t="s">
        <v>531</v>
      </c>
      <c r="B445" s="1" t="s">
        <v>32</v>
      </c>
      <c r="C445" s="1" t="s">
        <v>20</v>
      </c>
      <c r="D445">
        <v>22</v>
      </c>
      <c r="F445" s="2">
        <v>44676</v>
      </c>
      <c r="G445" s="2" t="str">
        <f>TEXT(LayoffsData[[#This Row],[date]],"yyyy-mm")</f>
        <v>2022-04</v>
      </c>
      <c r="H445" s="1" t="s">
        <v>24</v>
      </c>
      <c r="I445" s="1" t="s">
        <v>17</v>
      </c>
      <c r="J445">
        <v>58</v>
      </c>
    </row>
    <row r="446" spans="1:10" x14ac:dyDescent="0.25">
      <c r="A446" s="1" t="s">
        <v>532</v>
      </c>
      <c r="B446" s="1" t="s">
        <v>14</v>
      </c>
      <c r="C446" s="1" t="s">
        <v>63</v>
      </c>
      <c r="D446">
        <v>12</v>
      </c>
      <c r="E446">
        <v>0.1</v>
      </c>
      <c r="F446" s="2">
        <v>44987</v>
      </c>
      <c r="G446" s="2" t="str">
        <f>TEXT(LayoffsData[[#This Row],[date]],"yyyy-mm")</f>
        <v>2023-03</v>
      </c>
      <c r="H446" s="1" t="s">
        <v>57</v>
      </c>
      <c r="I446" s="1" t="s">
        <v>17</v>
      </c>
      <c r="J446">
        <v>20</v>
      </c>
    </row>
    <row r="447" spans="1:10" x14ac:dyDescent="0.25">
      <c r="A447" s="1" t="s">
        <v>533</v>
      </c>
      <c r="B447" s="1" t="s">
        <v>79</v>
      </c>
      <c r="C447" s="1" t="s">
        <v>147</v>
      </c>
      <c r="E447">
        <v>0.1</v>
      </c>
      <c r="F447" s="2">
        <v>44950</v>
      </c>
      <c r="G447" s="2" t="str">
        <f>TEXT(LayoffsData[[#This Row],[date]],"yyyy-mm")</f>
        <v>2023-01</v>
      </c>
      <c r="H447" s="1" t="s">
        <v>28</v>
      </c>
      <c r="I447" s="1" t="s">
        <v>80</v>
      </c>
      <c r="J447">
        <v>332</v>
      </c>
    </row>
    <row r="448" spans="1:10" x14ac:dyDescent="0.25">
      <c r="A448" s="1" t="s">
        <v>534</v>
      </c>
      <c r="B448" s="1" t="s">
        <v>14</v>
      </c>
      <c r="C448" s="1" t="s">
        <v>149</v>
      </c>
      <c r="F448" s="2">
        <v>44944</v>
      </c>
      <c r="G448" s="2" t="str">
        <f>TEXT(LayoffsData[[#This Row],[date]],"yyyy-mm")</f>
        <v>2023-01</v>
      </c>
      <c r="H448" s="1" t="s">
        <v>33</v>
      </c>
      <c r="I448" s="1" t="s">
        <v>17</v>
      </c>
      <c r="J448">
        <v>240</v>
      </c>
    </row>
    <row r="449" spans="1:10" x14ac:dyDescent="0.25">
      <c r="A449" s="1" t="s">
        <v>535</v>
      </c>
      <c r="B449" s="1" t="s">
        <v>235</v>
      </c>
      <c r="C449" s="1" t="s">
        <v>74</v>
      </c>
      <c r="D449">
        <v>25</v>
      </c>
      <c r="E449">
        <v>0.05</v>
      </c>
      <c r="F449" s="2">
        <v>43930</v>
      </c>
      <c r="G449" s="2" t="str">
        <f>TEXT(LayoffsData[[#This Row],[date]],"yyyy-mm")</f>
        <v>2020-04</v>
      </c>
      <c r="H449" s="1" t="s">
        <v>24</v>
      </c>
      <c r="I449" s="1" t="s">
        <v>17</v>
      </c>
      <c r="J449">
        <v>138</v>
      </c>
    </row>
    <row r="450" spans="1:10" x14ac:dyDescent="0.25">
      <c r="A450" s="1" t="s">
        <v>535</v>
      </c>
      <c r="B450" s="1" t="s">
        <v>235</v>
      </c>
      <c r="C450" s="1" t="s">
        <v>172</v>
      </c>
      <c r="E450">
        <v>0.15</v>
      </c>
      <c r="F450" s="2">
        <v>44872</v>
      </c>
      <c r="G450" s="2" t="str">
        <f>TEXT(LayoffsData[[#This Row],[date]],"yyyy-mm")</f>
        <v>2022-11</v>
      </c>
      <c r="H450" s="1" t="s">
        <v>37</v>
      </c>
      <c r="I450" s="1" t="s">
        <v>17</v>
      </c>
      <c r="J450">
        <v>137</v>
      </c>
    </row>
    <row r="451" spans="1:10" x14ac:dyDescent="0.25">
      <c r="A451" s="1" t="s">
        <v>536</v>
      </c>
      <c r="B451" s="1" t="s">
        <v>14</v>
      </c>
      <c r="C451" s="1" t="s">
        <v>41</v>
      </c>
      <c r="D451">
        <v>8</v>
      </c>
      <c r="F451" s="2">
        <v>44127</v>
      </c>
      <c r="G451" s="2" t="str">
        <f>TEXT(LayoffsData[[#This Row],[date]],"yyyy-mm")</f>
        <v>2020-10</v>
      </c>
      <c r="H451" s="1" t="s">
        <v>21</v>
      </c>
      <c r="I451" s="1" t="s">
        <v>17</v>
      </c>
      <c r="J451">
        <v>8</v>
      </c>
    </row>
    <row r="452" spans="1:10" x14ac:dyDescent="0.25">
      <c r="A452" s="1" t="s">
        <v>537</v>
      </c>
      <c r="B452" s="1" t="s">
        <v>14</v>
      </c>
      <c r="C452" s="1" t="s">
        <v>15</v>
      </c>
      <c r="E452">
        <v>0.18</v>
      </c>
      <c r="F452" s="2">
        <v>44894</v>
      </c>
      <c r="G452" s="2" t="str">
        <f>TEXT(LayoffsData[[#This Row],[date]],"yyyy-mm")</f>
        <v>2022-11</v>
      </c>
      <c r="H452" s="1" t="s">
        <v>11</v>
      </c>
      <c r="I452" s="1" t="s">
        <v>17</v>
      </c>
      <c r="J452">
        <v>162</v>
      </c>
    </row>
    <row r="453" spans="1:10" x14ac:dyDescent="0.25">
      <c r="A453" s="1" t="s">
        <v>538</v>
      </c>
      <c r="B453" s="1" t="s">
        <v>55</v>
      </c>
      <c r="C453" s="1" t="s">
        <v>41</v>
      </c>
      <c r="D453">
        <v>7</v>
      </c>
      <c r="E453">
        <v>7.0000000000000007E-2</v>
      </c>
      <c r="F453" s="2">
        <v>43923</v>
      </c>
      <c r="G453" s="2" t="str">
        <f>TEXT(LayoffsData[[#This Row],[date]],"yyyy-mm")</f>
        <v>2020-04</v>
      </c>
      <c r="H453" s="1" t="s">
        <v>37</v>
      </c>
      <c r="I453" s="1" t="s">
        <v>17</v>
      </c>
      <c r="J453">
        <v>2</v>
      </c>
    </row>
    <row r="454" spans="1:10" x14ac:dyDescent="0.25">
      <c r="A454" s="1" t="s">
        <v>539</v>
      </c>
      <c r="B454" s="1" t="s">
        <v>73</v>
      </c>
      <c r="C454" s="1" t="s">
        <v>53</v>
      </c>
      <c r="D454">
        <v>24</v>
      </c>
      <c r="E454">
        <v>0.14000000000000001</v>
      </c>
      <c r="F454" s="2">
        <v>43927</v>
      </c>
      <c r="G454" s="2" t="str">
        <f>TEXT(LayoffsData[[#This Row],[date]],"yyyy-mm")</f>
        <v>2020-04</v>
      </c>
      <c r="H454" s="1" t="s">
        <v>28</v>
      </c>
      <c r="I454" s="1" t="s">
        <v>17</v>
      </c>
      <c r="J454">
        <v>92</v>
      </c>
    </row>
    <row r="455" spans="1:10" x14ac:dyDescent="0.25">
      <c r="A455" s="1" t="s">
        <v>540</v>
      </c>
      <c r="B455" s="1" t="s">
        <v>168</v>
      </c>
      <c r="C455" s="1" t="s">
        <v>172</v>
      </c>
      <c r="D455">
        <v>100</v>
      </c>
      <c r="E455">
        <v>0.05</v>
      </c>
      <c r="F455" s="2">
        <v>44897</v>
      </c>
      <c r="G455" s="2" t="str">
        <f>TEXT(LayoffsData[[#This Row],[date]],"yyyy-mm")</f>
        <v>2022-12</v>
      </c>
      <c r="H455" s="1" t="s">
        <v>37</v>
      </c>
      <c r="I455" s="1" t="s">
        <v>170</v>
      </c>
    </row>
    <row r="456" spans="1:10" x14ac:dyDescent="0.25">
      <c r="A456" s="1" t="s">
        <v>541</v>
      </c>
      <c r="B456" s="1" t="s">
        <v>14</v>
      </c>
      <c r="C456" s="1" t="s">
        <v>74</v>
      </c>
      <c r="F456" s="2">
        <v>43951</v>
      </c>
      <c r="G456" s="2" t="str">
        <f>TEXT(LayoffsData[[#This Row],[date]],"yyyy-mm")</f>
        <v>2020-04</v>
      </c>
      <c r="H456" s="1" t="s">
        <v>16</v>
      </c>
      <c r="I456" s="1" t="s">
        <v>17</v>
      </c>
      <c r="J456">
        <v>660</v>
      </c>
    </row>
    <row r="457" spans="1:10" x14ac:dyDescent="0.25">
      <c r="A457" s="1" t="s">
        <v>542</v>
      </c>
      <c r="B457" s="1" t="s">
        <v>14</v>
      </c>
      <c r="C457" s="1" t="s">
        <v>36</v>
      </c>
      <c r="D457">
        <v>60</v>
      </c>
      <c r="F457" s="2">
        <v>44875</v>
      </c>
      <c r="G457" s="2" t="str">
        <f>TEXT(LayoffsData[[#This Row],[date]],"yyyy-mm")</f>
        <v>2022-11</v>
      </c>
      <c r="H457" s="1" t="s">
        <v>11</v>
      </c>
      <c r="I457" s="1" t="s">
        <v>17</v>
      </c>
      <c r="J457">
        <v>549</v>
      </c>
    </row>
    <row r="458" spans="1:10" x14ac:dyDescent="0.25">
      <c r="A458" s="1" t="s">
        <v>542</v>
      </c>
      <c r="B458" s="1" t="s">
        <v>14</v>
      </c>
      <c r="C458" s="1" t="s">
        <v>36</v>
      </c>
      <c r="D458">
        <v>950</v>
      </c>
      <c r="E458">
        <v>0.2</v>
      </c>
      <c r="F458" s="2">
        <v>44936</v>
      </c>
      <c r="G458" s="2" t="str">
        <f>TEXT(LayoffsData[[#This Row],[date]],"yyyy-mm")</f>
        <v>2023-01</v>
      </c>
      <c r="H458" s="1" t="s">
        <v>11</v>
      </c>
      <c r="I458" s="1" t="s">
        <v>17</v>
      </c>
      <c r="J458">
        <v>549</v>
      </c>
    </row>
    <row r="459" spans="1:10" x14ac:dyDescent="0.25">
      <c r="A459" s="1" t="s">
        <v>542</v>
      </c>
      <c r="B459" s="1" t="s">
        <v>14</v>
      </c>
      <c r="C459" s="1" t="s">
        <v>36</v>
      </c>
      <c r="D459">
        <v>1100</v>
      </c>
      <c r="E459">
        <v>0.18</v>
      </c>
      <c r="F459" s="2">
        <v>44726</v>
      </c>
      <c r="G459" s="2" t="str">
        <f>TEXT(LayoffsData[[#This Row],[date]],"yyyy-mm")</f>
        <v>2022-06</v>
      </c>
      <c r="H459" s="1" t="s">
        <v>11</v>
      </c>
      <c r="I459" s="1" t="s">
        <v>17</v>
      </c>
      <c r="J459">
        <v>549</v>
      </c>
    </row>
    <row r="460" spans="1:10" x14ac:dyDescent="0.25">
      <c r="A460" s="1" t="s">
        <v>543</v>
      </c>
      <c r="B460" s="1" t="s">
        <v>67</v>
      </c>
      <c r="C460" s="1" t="s">
        <v>36</v>
      </c>
      <c r="D460">
        <v>80</v>
      </c>
      <c r="F460" s="2">
        <v>44937</v>
      </c>
      <c r="G460" s="2" t="str">
        <f>TEXT(LayoffsData[[#This Row],[date]],"yyyy-mm")</f>
        <v>2023-01</v>
      </c>
      <c r="H460" s="1" t="s">
        <v>33</v>
      </c>
      <c r="I460" s="1" t="s">
        <v>69</v>
      </c>
      <c r="J460">
        <v>244</v>
      </c>
    </row>
    <row r="461" spans="1:10" x14ac:dyDescent="0.25">
      <c r="A461" s="1" t="s">
        <v>544</v>
      </c>
      <c r="B461" s="1" t="s">
        <v>545</v>
      </c>
      <c r="C461" s="1" t="s">
        <v>36</v>
      </c>
      <c r="F461" s="2">
        <v>44771</v>
      </c>
      <c r="G461" s="2" t="str">
        <f>TEXT(LayoffsData[[#This Row],[date]],"yyyy-mm")</f>
        <v>2022-07</v>
      </c>
      <c r="H461" s="1" t="s">
        <v>37</v>
      </c>
      <c r="I461" s="1" t="s">
        <v>305</v>
      </c>
      <c r="J461">
        <v>11</v>
      </c>
    </row>
    <row r="462" spans="1:10" x14ac:dyDescent="0.25">
      <c r="A462" s="1" t="s">
        <v>546</v>
      </c>
      <c r="B462" s="1" t="s">
        <v>259</v>
      </c>
      <c r="C462" s="1" t="s">
        <v>36</v>
      </c>
      <c r="D462">
        <v>10</v>
      </c>
      <c r="E462">
        <v>0.2</v>
      </c>
      <c r="F462" s="2">
        <v>44894</v>
      </c>
      <c r="G462" s="2" t="str">
        <f>TEXT(LayoffsData[[#This Row],[date]],"yyyy-mm")</f>
        <v>2022-11</v>
      </c>
      <c r="H462" s="1" t="s">
        <v>37</v>
      </c>
      <c r="I462" s="1" t="s">
        <v>46</v>
      </c>
      <c r="J462">
        <v>1</v>
      </c>
    </row>
    <row r="463" spans="1:10" x14ac:dyDescent="0.25">
      <c r="A463" s="1" t="s">
        <v>547</v>
      </c>
      <c r="B463" s="1" t="s">
        <v>9</v>
      </c>
      <c r="C463" s="1" t="s">
        <v>36</v>
      </c>
      <c r="D463">
        <v>30</v>
      </c>
      <c r="E463">
        <v>0.24</v>
      </c>
      <c r="F463" s="2">
        <v>44769</v>
      </c>
      <c r="G463" s="2" t="str">
        <f>TEXT(LayoffsData[[#This Row],[date]],"yyyy-mm")</f>
        <v>2022-07</v>
      </c>
      <c r="H463" s="1" t="s">
        <v>37</v>
      </c>
      <c r="I463" s="1" t="s">
        <v>12</v>
      </c>
      <c r="J463">
        <v>98</v>
      </c>
    </row>
    <row r="464" spans="1:10" x14ac:dyDescent="0.25">
      <c r="A464" s="1" t="s">
        <v>548</v>
      </c>
      <c r="B464" s="1" t="s">
        <v>14</v>
      </c>
      <c r="C464" s="1" t="s">
        <v>36</v>
      </c>
      <c r="D464">
        <v>19</v>
      </c>
      <c r="F464" s="2">
        <v>44954</v>
      </c>
      <c r="G464" s="2" t="str">
        <f>TEXT(LayoffsData[[#This Row],[date]],"yyyy-mm")</f>
        <v>2023-01</v>
      </c>
      <c r="H464" s="1" t="s">
        <v>21</v>
      </c>
      <c r="I464" s="1" t="s">
        <v>17</v>
      </c>
      <c r="J464">
        <v>101</v>
      </c>
    </row>
    <row r="465" spans="1:10" x14ac:dyDescent="0.25">
      <c r="A465" s="1" t="s">
        <v>549</v>
      </c>
      <c r="B465" s="1" t="s">
        <v>14</v>
      </c>
      <c r="C465" s="1" t="s">
        <v>15</v>
      </c>
      <c r="D465">
        <v>54</v>
      </c>
      <c r="F465" s="2">
        <v>44970</v>
      </c>
      <c r="G465" s="2" t="str">
        <f>TEXT(LayoffsData[[#This Row],[date]],"yyyy-mm")</f>
        <v>2023-02</v>
      </c>
      <c r="H465" s="1" t="s">
        <v>86</v>
      </c>
      <c r="I465" s="1" t="s">
        <v>17</v>
      </c>
      <c r="J465">
        <v>719</v>
      </c>
    </row>
    <row r="466" spans="1:10" x14ac:dyDescent="0.25">
      <c r="A466" s="1" t="s">
        <v>550</v>
      </c>
      <c r="B466" s="1" t="s">
        <v>551</v>
      </c>
      <c r="C466" s="1" t="s">
        <v>74</v>
      </c>
      <c r="F466" s="2">
        <v>44853</v>
      </c>
      <c r="G466" s="2" t="str">
        <f>TEXT(LayoffsData[[#This Row],[date]],"yyyy-mm")</f>
        <v>2022-10</v>
      </c>
      <c r="H466" s="1" t="s">
        <v>450</v>
      </c>
      <c r="I466" s="1" t="s">
        <v>552</v>
      </c>
      <c r="J466">
        <v>596</v>
      </c>
    </row>
    <row r="467" spans="1:10" x14ac:dyDescent="0.25">
      <c r="A467" s="1" t="s">
        <v>553</v>
      </c>
      <c r="B467" s="1" t="s">
        <v>14</v>
      </c>
      <c r="C467" s="1" t="s">
        <v>15</v>
      </c>
      <c r="D467">
        <v>300</v>
      </c>
      <c r="F467" s="2">
        <v>44986</v>
      </c>
      <c r="G467" s="2" t="str">
        <f>TEXT(LayoffsData[[#This Row],[date]],"yyyy-mm")</f>
        <v>2023-03</v>
      </c>
      <c r="H467" s="1" t="s">
        <v>16</v>
      </c>
      <c r="I467" s="1" t="s">
        <v>17</v>
      </c>
      <c r="J467">
        <v>482</v>
      </c>
    </row>
    <row r="468" spans="1:10" x14ac:dyDescent="0.25">
      <c r="A468" s="1" t="s">
        <v>554</v>
      </c>
      <c r="B468" s="1" t="s">
        <v>73</v>
      </c>
      <c r="C468" s="1" t="s">
        <v>45</v>
      </c>
      <c r="D468">
        <v>97</v>
      </c>
      <c r="F468" s="2">
        <v>44685</v>
      </c>
      <c r="G468" s="2" t="str">
        <f>TEXT(LayoffsData[[#This Row],[date]],"yyyy-mm")</f>
        <v>2022-05</v>
      </c>
      <c r="H468" s="1" t="s">
        <v>21</v>
      </c>
      <c r="I468" s="1" t="s">
        <v>17</v>
      </c>
      <c r="J468">
        <v>41</v>
      </c>
    </row>
    <row r="469" spans="1:10" x14ac:dyDescent="0.25">
      <c r="A469" s="1" t="s">
        <v>555</v>
      </c>
      <c r="B469" s="1" t="s">
        <v>556</v>
      </c>
      <c r="C469" s="1" t="s">
        <v>29</v>
      </c>
      <c r="F469" s="2">
        <v>44741</v>
      </c>
      <c r="G469" s="2" t="str">
        <f>TEXT(LayoffsData[[#This Row],[date]],"yyyy-mm")</f>
        <v>2022-06</v>
      </c>
      <c r="H469" s="1" t="s">
        <v>37</v>
      </c>
      <c r="I469" s="1" t="s">
        <v>17</v>
      </c>
    </row>
    <row r="470" spans="1:10" x14ac:dyDescent="0.25">
      <c r="A470" s="1" t="s">
        <v>557</v>
      </c>
      <c r="B470" s="1" t="s">
        <v>558</v>
      </c>
      <c r="C470" s="1" t="s">
        <v>29</v>
      </c>
      <c r="D470">
        <v>371</v>
      </c>
      <c r="E470">
        <v>0.31</v>
      </c>
      <c r="F470" s="2">
        <v>44971</v>
      </c>
      <c r="G470" s="2" t="str">
        <f>TEXT(LayoffsData[[#This Row],[date]],"yyyy-mm")</f>
        <v>2023-02</v>
      </c>
      <c r="H470" s="1" t="s">
        <v>57</v>
      </c>
      <c r="I470" s="1" t="s">
        <v>17</v>
      </c>
    </row>
    <row r="471" spans="1:10" x14ac:dyDescent="0.25">
      <c r="A471" s="1" t="s">
        <v>559</v>
      </c>
      <c r="B471" s="1" t="s">
        <v>32</v>
      </c>
      <c r="C471" s="1" t="s">
        <v>68</v>
      </c>
      <c r="E471">
        <v>1</v>
      </c>
      <c r="F471" s="2">
        <v>44813</v>
      </c>
      <c r="G471" s="2" t="str">
        <f>TEXT(LayoffsData[[#This Row],[date]],"yyyy-mm")</f>
        <v>2022-09</v>
      </c>
      <c r="H471" s="1" t="s">
        <v>33</v>
      </c>
      <c r="I471" s="1" t="s">
        <v>17</v>
      </c>
      <c r="J471">
        <v>125</v>
      </c>
    </row>
    <row r="472" spans="1:10" x14ac:dyDescent="0.25">
      <c r="A472" s="1" t="s">
        <v>559</v>
      </c>
      <c r="B472" s="1" t="s">
        <v>32</v>
      </c>
      <c r="C472" s="1" t="s">
        <v>68</v>
      </c>
      <c r="D472">
        <v>22</v>
      </c>
      <c r="F472" s="2">
        <v>44694</v>
      </c>
      <c r="G472" s="2" t="str">
        <f>TEXT(LayoffsData[[#This Row],[date]],"yyyy-mm")</f>
        <v>2022-05</v>
      </c>
      <c r="H472" s="1" t="s">
        <v>33</v>
      </c>
      <c r="I472" s="1" t="s">
        <v>17</v>
      </c>
      <c r="J472">
        <v>130</v>
      </c>
    </row>
    <row r="473" spans="1:10" x14ac:dyDescent="0.25">
      <c r="A473" s="1" t="s">
        <v>560</v>
      </c>
      <c r="B473" s="1" t="s">
        <v>26</v>
      </c>
      <c r="C473" s="1" t="s">
        <v>20</v>
      </c>
      <c r="D473">
        <v>40</v>
      </c>
      <c r="E473">
        <v>0.3</v>
      </c>
      <c r="F473" s="2">
        <v>44733</v>
      </c>
      <c r="G473" s="2" t="str">
        <f>TEXT(LayoffsData[[#This Row],[date]],"yyyy-mm")</f>
        <v>2022-06</v>
      </c>
      <c r="H473" s="1" t="s">
        <v>37</v>
      </c>
      <c r="I473" s="1" t="s">
        <v>17</v>
      </c>
      <c r="J473">
        <v>40</v>
      </c>
    </row>
    <row r="474" spans="1:10" x14ac:dyDescent="0.25">
      <c r="A474" s="1" t="s">
        <v>561</v>
      </c>
      <c r="B474" s="1" t="s">
        <v>32</v>
      </c>
      <c r="C474" s="1" t="s">
        <v>174</v>
      </c>
      <c r="F474" s="2">
        <v>44931</v>
      </c>
      <c r="G474" s="2" t="str">
        <f>TEXT(LayoffsData[[#This Row],[date]],"yyyy-mm")</f>
        <v>2023-01</v>
      </c>
      <c r="H474" s="1" t="s">
        <v>11</v>
      </c>
      <c r="I474" s="1" t="s">
        <v>17</v>
      </c>
      <c r="J474">
        <v>1600</v>
      </c>
    </row>
    <row r="475" spans="1:10" x14ac:dyDescent="0.25">
      <c r="A475" s="1" t="s">
        <v>561</v>
      </c>
      <c r="B475" s="1" t="s">
        <v>32</v>
      </c>
      <c r="C475" s="1" t="s">
        <v>174</v>
      </c>
      <c r="D475">
        <v>271</v>
      </c>
      <c r="F475" s="2">
        <v>44824</v>
      </c>
      <c r="G475" s="2" t="str">
        <f>TEXT(LayoffsData[[#This Row],[date]],"yyyy-mm")</f>
        <v>2022-09</v>
      </c>
      <c r="H475" s="1" t="s">
        <v>11</v>
      </c>
      <c r="I475" s="1" t="s">
        <v>17</v>
      </c>
      <c r="J475">
        <v>1600</v>
      </c>
    </row>
    <row r="476" spans="1:10" x14ac:dyDescent="0.25">
      <c r="A476" s="1" t="s">
        <v>561</v>
      </c>
      <c r="B476" s="1" t="s">
        <v>32</v>
      </c>
      <c r="C476" s="1" t="s">
        <v>174</v>
      </c>
      <c r="D476">
        <v>375</v>
      </c>
      <c r="E476">
        <v>0.15</v>
      </c>
      <c r="F476" s="2">
        <v>43913</v>
      </c>
      <c r="G476" s="2" t="str">
        <f>TEXT(LayoffsData[[#This Row],[date]],"yyyy-mm")</f>
        <v>2020-03</v>
      </c>
      <c r="H476" s="1" t="s">
        <v>450</v>
      </c>
      <c r="I476" s="1" t="s">
        <v>17</v>
      </c>
      <c r="J476">
        <v>1600</v>
      </c>
    </row>
    <row r="477" spans="1:10" x14ac:dyDescent="0.25">
      <c r="A477" s="1" t="s">
        <v>561</v>
      </c>
      <c r="B477" s="1" t="s">
        <v>32</v>
      </c>
      <c r="C477" s="1" t="s">
        <v>174</v>
      </c>
      <c r="D477">
        <v>450</v>
      </c>
      <c r="E477">
        <v>0.1</v>
      </c>
      <c r="F477" s="2">
        <v>44726</v>
      </c>
      <c r="G477" s="2" t="str">
        <f>TEXT(LayoffsData[[#This Row],[date]],"yyyy-mm")</f>
        <v>2022-06</v>
      </c>
      <c r="H477" s="1" t="s">
        <v>11</v>
      </c>
      <c r="I477" s="1" t="s">
        <v>17</v>
      </c>
      <c r="J477">
        <v>1600</v>
      </c>
    </row>
    <row r="478" spans="1:10" x14ac:dyDescent="0.25">
      <c r="A478" s="1" t="s">
        <v>562</v>
      </c>
      <c r="B478" s="1" t="s">
        <v>168</v>
      </c>
      <c r="C478" s="1" t="s">
        <v>147</v>
      </c>
      <c r="D478">
        <v>11</v>
      </c>
      <c r="E478">
        <v>0.28000000000000003</v>
      </c>
      <c r="F478" s="2">
        <v>44816</v>
      </c>
      <c r="G478" s="2" t="str">
        <f>TEXT(LayoffsData[[#This Row],[date]],"yyyy-mm")</f>
        <v>2022-09</v>
      </c>
      <c r="H478" s="1" t="s">
        <v>21</v>
      </c>
      <c r="I478" s="1" t="s">
        <v>170</v>
      </c>
      <c r="J478">
        <v>17</v>
      </c>
    </row>
    <row r="479" spans="1:10" x14ac:dyDescent="0.25">
      <c r="A479" s="1" t="s">
        <v>563</v>
      </c>
      <c r="B479" s="1" t="s">
        <v>14</v>
      </c>
      <c r="C479" s="1" t="s">
        <v>74</v>
      </c>
      <c r="D479">
        <v>221</v>
      </c>
      <c r="E479">
        <v>0.08</v>
      </c>
      <c r="F479" s="2">
        <v>44952</v>
      </c>
      <c r="G479" s="2" t="str">
        <f>TEXT(LayoffsData[[#This Row],[date]],"yyyy-mm")</f>
        <v>2023-01</v>
      </c>
      <c r="H479" s="1" t="s">
        <v>11</v>
      </c>
      <c r="I479" s="1" t="s">
        <v>17</v>
      </c>
      <c r="J479">
        <v>455</v>
      </c>
    </row>
    <row r="480" spans="1:10" x14ac:dyDescent="0.25">
      <c r="A480" s="1" t="s">
        <v>564</v>
      </c>
      <c r="B480" s="1" t="s">
        <v>128</v>
      </c>
      <c r="C480" s="1" t="s">
        <v>74</v>
      </c>
      <c r="E480">
        <v>0.11</v>
      </c>
      <c r="F480" s="2">
        <v>43997</v>
      </c>
      <c r="G480" s="2" t="str">
        <f>TEXT(LayoffsData[[#This Row],[date]],"yyyy-mm")</f>
        <v>2020-06</v>
      </c>
      <c r="H480" s="1" t="s">
        <v>57</v>
      </c>
      <c r="I480" s="1" t="s">
        <v>17</v>
      </c>
      <c r="J480">
        <v>117</v>
      </c>
    </row>
    <row r="481" spans="1:10" x14ac:dyDescent="0.25">
      <c r="A481" s="1" t="s">
        <v>565</v>
      </c>
      <c r="B481" s="1" t="s">
        <v>9</v>
      </c>
      <c r="C481" s="1" t="s">
        <v>113</v>
      </c>
      <c r="D481">
        <v>17</v>
      </c>
      <c r="E481">
        <v>0.1</v>
      </c>
      <c r="F481" s="2">
        <v>43929</v>
      </c>
      <c r="G481" s="2" t="str">
        <f>TEXT(LayoffsData[[#This Row],[date]],"yyyy-mm")</f>
        <v>2020-04</v>
      </c>
      <c r="H481" s="1" t="s">
        <v>37</v>
      </c>
      <c r="I481" s="1" t="s">
        <v>12</v>
      </c>
    </row>
    <row r="482" spans="1:10" x14ac:dyDescent="0.25">
      <c r="A482" s="1" t="s">
        <v>566</v>
      </c>
      <c r="B482" s="1" t="s">
        <v>32</v>
      </c>
      <c r="C482" s="1" t="s">
        <v>36</v>
      </c>
      <c r="D482">
        <v>91</v>
      </c>
      <c r="E482">
        <v>0.14000000000000001</v>
      </c>
      <c r="F482" s="2">
        <v>43941</v>
      </c>
      <c r="G482" s="2" t="str">
        <f>TEXT(LayoffsData[[#This Row],[date]],"yyyy-mm")</f>
        <v>2020-04</v>
      </c>
      <c r="H482" s="1" t="s">
        <v>37</v>
      </c>
      <c r="I482" s="1" t="s">
        <v>17</v>
      </c>
      <c r="J482">
        <v>10</v>
      </c>
    </row>
    <row r="483" spans="1:10" x14ac:dyDescent="0.25">
      <c r="A483" s="1" t="s">
        <v>566</v>
      </c>
      <c r="B483" s="1" t="s">
        <v>32</v>
      </c>
      <c r="C483" s="1" t="s">
        <v>36</v>
      </c>
      <c r="D483">
        <v>100</v>
      </c>
      <c r="E483">
        <v>0.11</v>
      </c>
      <c r="F483" s="2">
        <v>44936</v>
      </c>
      <c r="G483" s="2" t="str">
        <f>TEXT(LayoffsData[[#This Row],[date]],"yyyy-mm")</f>
        <v>2023-01</v>
      </c>
      <c r="H483" s="1" t="s">
        <v>33</v>
      </c>
      <c r="I483" s="1" t="s">
        <v>17</v>
      </c>
      <c r="J483">
        <v>726</v>
      </c>
    </row>
    <row r="484" spans="1:10" x14ac:dyDescent="0.25">
      <c r="A484" s="1" t="s">
        <v>567</v>
      </c>
      <c r="B484" s="1" t="s">
        <v>14</v>
      </c>
      <c r="C484" s="1" t="s">
        <v>149</v>
      </c>
      <c r="D484">
        <v>13</v>
      </c>
      <c r="E484">
        <v>1</v>
      </c>
      <c r="F484" s="2">
        <v>43916</v>
      </c>
      <c r="G484" s="2" t="str">
        <f>TEXT(LayoffsData[[#This Row],[date]],"yyyy-mm")</f>
        <v>2020-03</v>
      </c>
      <c r="H484" s="1" t="s">
        <v>131</v>
      </c>
      <c r="I484" s="1" t="s">
        <v>17</v>
      </c>
      <c r="J484">
        <v>5</v>
      </c>
    </row>
    <row r="485" spans="1:10" x14ac:dyDescent="0.25">
      <c r="A485" s="1" t="s">
        <v>568</v>
      </c>
      <c r="B485" s="1" t="s">
        <v>569</v>
      </c>
      <c r="C485" s="1" t="s">
        <v>41</v>
      </c>
      <c r="D485">
        <v>140</v>
      </c>
      <c r="E485">
        <v>0.35</v>
      </c>
      <c r="F485" s="2">
        <v>43938</v>
      </c>
      <c r="G485" s="2" t="str">
        <f>TEXT(LayoffsData[[#This Row],[date]],"yyyy-mm")</f>
        <v>2020-04</v>
      </c>
      <c r="H485" s="1" t="s">
        <v>33</v>
      </c>
      <c r="I485" s="1" t="s">
        <v>38</v>
      </c>
      <c r="J485">
        <v>37</v>
      </c>
    </row>
    <row r="486" spans="1:10" x14ac:dyDescent="0.25">
      <c r="A486" s="1" t="s">
        <v>570</v>
      </c>
      <c r="B486" s="1" t="s">
        <v>32</v>
      </c>
      <c r="C486" s="1" t="s">
        <v>15</v>
      </c>
      <c r="D486">
        <v>16</v>
      </c>
      <c r="E486">
        <v>0.37</v>
      </c>
      <c r="F486" s="2">
        <v>44788</v>
      </c>
      <c r="G486" s="2" t="str">
        <f>TEXT(LayoffsData[[#This Row],[date]],"yyyy-mm")</f>
        <v>2022-08</v>
      </c>
      <c r="H486" s="1" t="s">
        <v>11</v>
      </c>
      <c r="I486" s="1" t="s">
        <v>17</v>
      </c>
      <c r="J486">
        <v>380</v>
      </c>
    </row>
    <row r="487" spans="1:10" x14ac:dyDescent="0.25">
      <c r="A487" s="1" t="s">
        <v>571</v>
      </c>
      <c r="B487" s="1" t="s">
        <v>32</v>
      </c>
      <c r="C487" s="1" t="s">
        <v>174</v>
      </c>
      <c r="F487" s="2">
        <v>44905</v>
      </c>
      <c r="G487" s="2" t="str">
        <f>TEXT(LayoffsData[[#This Row],[date]],"yyyy-mm")</f>
        <v>2022-12</v>
      </c>
      <c r="H487" s="1" t="s">
        <v>37</v>
      </c>
      <c r="I487" s="1" t="s">
        <v>17</v>
      </c>
      <c r="J487">
        <v>281</v>
      </c>
    </row>
    <row r="488" spans="1:10" x14ac:dyDescent="0.25">
      <c r="A488" s="1" t="s">
        <v>571</v>
      </c>
      <c r="B488" s="1" t="s">
        <v>32</v>
      </c>
      <c r="C488" s="1" t="s">
        <v>174</v>
      </c>
      <c r="D488">
        <v>150</v>
      </c>
      <c r="E488">
        <v>0.18</v>
      </c>
      <c r="F488" s="2">
        <v>43913</v>
      </c>
      <c r="G488" s="2" t="str">
        <f>TEXT(LayoffsData[[#This Row],[date]],"yyyy-mm")</f>
        <v>2020-03</v>
      </c>
      <c r="H488" s="1" t="s">
        <v>33</v>
      </c>
      <c r="I488" s="1" t="s">
        <v>17</v>
      </c>
      <c r="J488">
        <v>280</v>
      </c>
    </row>
    <row r="489" spans="1:10" x14ac:dyDescent="0.25">
      <c r="A489" s="1" t="s">
        <v>572</v>
      </c>
      <c r="B489" s="1" t="s">
        <v>213</v>
      </c>
      <c r="C489" s="1" t="s">
        <v>108</v>
      </c>
      <c r="F489" s="2">
        <v>44973</v>
      </c>
      <c r="G489" s="2" t="str">
        <f>TEXT(LayoffsData[[#This Row],[date]],"yyyy-mm")</f>
        <v>2023-02</v>
      </c>
      <c r="H489" s="1" t="s">
        <v>16</v>
      </c>
      <c r="I489" s="1" t="s">
        <v>17</v>
      </c>
      <c r="J489">
        <v>1100</v>
      </c>
    </row>
    <row r="490" spans="1:10" x14ac:dyDescent="0.25">
      <c r="A490" s="1" t="s">
        <v>572</v>
      </c>
      <c r="B490" s="1" t="s">
        <v>55</v>
      </c>
      <c r="C490" s="1" t="s">
        <v>108</v>
      </c>
      <c r="F490" s="2">
        <v>44859</v>
      </c>
      <c r="G490" s="2" t="str">
        <f>TEXT(LayoffsData[[#This Row],[date]],"yyyy-mm")</f>
        <v>2022-10</v>
      </c>
      <c r="H490" s="1" t="s">
        <v>16</v>
      </c>
      <c r="I490" s="1" t="s">
        <v>17</v>
      </c>
      <c r="J490">
        <v>1100</v>
      </c>
    </row>
    <row r="491" spans="1:10" x14ac:dyDescent="0.25">
      <c r="A491" s="1" t="s">
        <v>572</v>
      </c>
      <c r="B491" s="1" t="s">
        <v>55</v>
      </c>
      <c r="C491" s="1" t="s">
        <v>108</v>
      </c>
      <c r="E491">
        <v>0.01</v>
      </c>
      <c r="F491" s="2">
        <v>43944</v>
      </c>
      <c r="G491" s="2" t="str">
        <f>TEXT(LayoffsData[[#This Row],[date]],"yyyy-mm")</f>
        <v>2020-04</v>
      </c>
      <c r="H491" s="1" t="s">
        <v>33</v>
      </c>
      <c r="I491" s="1" t="s">
        <v>17</v>
      </c>
      <c r="J491">
        <v>665</v>
      </c>
    </row>
    <row r="492" spans="1:10" x14ac:dyDescent="0.25">
      <c r="A492" s="1" t="s">
        <v>572</v>
      </c>
      <c r="B492" s="1" t="s">
        <v>55</v>
      </c>
      <c r="C492" s="1" t="s">
        <v>108</v>
      </c>
      <c r="D492">
        <v>90</v>
      </c>
      <c r="E492">
        <v>7.0000000000000007E-2</v>
      </c>
      <c r="F492" s="2">
        <v>44721</v>
      </c>
      <c r="G492" s="2" t="str">
        <f>TEXT(LayoffsData[[#This Row],[date]],"yyyy-mm")</f>
        <v>2022-06</v>
      </c>
      <c r="H492" s="1" t="s">
        <v>16</v>
      </c>
      <c r="I492" s="1" t="s">
        <v>17</v>
      </c>
      <c r="J492">
        <v>1100</v>
      </c>
    </row>
    <row r="493" spans="1:10" x14ac:dyDescent="0.25">
      <c r="A493" s="1" t="s">
        <v>573</v>
      </c>
      <c r="B493" s="1" t="s">
        <v>14</v>
      </c>
      <c r="C493" s="1" t="s">
        <v>20</v>
      </c>
      <c r="D493">
        <v>35</v>
      </c>
      <c r="F493" s="2">
        <v>43923</v>
      </c>
      <c r="G493" s="2" t="str">
        <f>TEXT(LayoffsData[[#This Row],[date]],"yyyy-mm")</f>
        <v>2020-04</v>
      </c>
      <c r="H493" s="1" t="s">
        <v>28</v>
      </c>
      <c r="I493" s="1" t="s">
        <v>17</v>
      </c>
      <c r="J493">
        <v>102</v>
      </c>
    </row>
    <row r="494" spans="1:10" x14ac:dyDescent="0.25">
      <c r="A494" s="1" t="s">
        <v>574</v>
      </c>
      <c r="B494" s="1" t="s">
        <v>137</v>
      </c>
      <c r="C494" s="1" t="s">
        <v>36</v>
      </c>
      <c r="E494">
        <v>0.1</v>
      </c>
      <c r="F494" s="2">
        <v>44785</v>
      </c>
      <c r="G494" s="2" t="str">
        <f>TEXT(LayoffsData[[#This Row],[date]],"yyyy-mm")</f>
        <v>2022-08</v>
      </c>
      <c r="H494" s="1" t="s">
        <v>11</v>
      </c>
      <c r="I494" s="1" t="s">
        <v>17</v>
      </c>
      <c r="J494">
        <v>169</v>
      </c>
    </row>
    <row r="495" spans="1:10" x14ac:dyDescent="0.25">
      <c r="A495" s="1" t="s">
        <v>575</v>
      </c>
      <c r="B495" s="1" t="s">
        <v>73</v>
      </c>
      <c r="C495" s="1" t="s">
        <v>68</v>
      </c>
      <c r="E495">
        <v>0.14000000000000001</v>
      </c>
      <c r="F495" s="2">
        <v>44950</v>
      </c>
      <c r="G495" s="2" t="str">
        <f>TEXT(LayoffsData[[#This Row],[date]],"yyyy-mm")</f>
        <v>2023-01</v>
      </c>
      <c r="H495" s="1" t="s">
        <v>28</v>
      </c>
      <c r="I495" s="1" t="s">
        <v>17</v>
      </c>
      <c r="J495">
        <v>160</v>
      </c>
    </row>
    <row r="496" spans="1:10" x14ac:dyDescent="0.25">
      <c r="A496" s="1" t="s">
        <v>576</v>
      </c>
      <c r="B496" s="1" t="s">
        <v>577</v>
      </c>
      <c r="C496" s="1" t="s">
        <v>20</v>
      </c>
      <c r="F496" s="2">
        <v>44939</v>
      </c>
      <c r="G496" s="2" t="str">
        <f>TEXT(LayoffsData[[#This Row],[date]],"yyyy-mm")</f>
        <v>2023-01</v>
      </c>
      <c r="H496" s="1" t="s">
        <v>37</v>
      </c>
      <c r="I496" s="1" t="s">
        <v>17</v>
      </c>
      <c r="J496">
        <v>2</v>
      </c>
    </row>
    <row r="497" spans="1:10" x14ac:dyDescent="0.25">
      <c r="A497" s="1" t="s">
        <v>578</v>
      </c>
      <c r="B497" s="1" t="s">
        <v>79</v>
      </c>
      <c r="C497" s="1" t="s">
        <v>376</v>
      </c>
      <c r="F497" s="2">
        <v>44756</v>
      </c>
      <c r="G497" s="2" t="str">
        <f>TEXT(LayoffsData[[#This Row],[date]],"yyyy-mm")</f>
        <v>2022-07</v>
      </c>
      <c r="H497" s="1" t="s">
        <v>24</v>
      </c>
      <c r="I497" s="1" t="s">
        <v>80</v>
      </c>
      <c r="J497">
        <v>45</v>
      </c>
    </row>
    <row r="498" spans="1:10" x14ac:dyDescent="0.25">
      <c r="A498" s="1" t="s">
        <v>579</v>
      </c>
      <c r="B498" s="1" t="s">
        <v>50</v>
      </c>
      <c r="C498" s="1" t="s">
        <v>68</v>
      </c>
      <c r="D498">
        <v>30</v>
      </c>
      <c r="E498">
        <v>0.2</v>
      </c>
      <c r="F498" s="2">
        <v>44706</v>
      </c>
      <c r="G498" s="2" t="str">
        <f>TEXT(LayoffsData[[#This Row],[date]],"yyyy-mm")</f>
        <v>2022-05</v>
      </c>
      <c r="H498" s="1" t="s">
        <v>24</v>
      </c>
      <c r="I498" s="1" t="s">
        <v>17</v>
      </c>
      <c r="J498">
        <v>70</v>
      </c>
    </row>
    <row r="499" spans="1:10" x14ac:dyDescent="0.25">
      <c r="A499" s="1" t="s">
        <v>580</v>
      </c>
      <c r="B499" s="1" t="s">
        <v>14</v>
      </c>
      <c r="C499" s="1" t="s">
        <v>41</v>
      </c>
      <c r="F499" s="2">
        <v>44874</v>
      </c>
      <c r="G499" s="2" t="str">
        <f>TEXT(LayoffsData[[#This Row],[date]],"yyyy-mm")</f>
        <v>2022-11</v>
      </c>
      <c r="H499" s="1" t="s">
        <v>11</v>
      </c>
      <c r="I499" s="1" t="s">
        <v>17</v>
      </c>
      <c r="J499">
        <v>458</v>
      </c>
    </row>
    <row r="500" spans="1:10" x14ac:dyDescent="0.25">
      <c r="A500" s="1" t="s">
        <v>581</v>
      </c>
      <c r="B500" s="1" t="s">
        <v>73</v>
      </c>
      <c r="C500" s="1" t="s">
        <v>20</v>
      </c>
      <c r="D500">
        <v>20</v>
      </c>
      <c r="E500">
        <v>0.2</v>
      </c>
      <c r="F500" s="2">
        <v>43922</v>
      </c>
      <c r="G500" s="2" t="str">
        <f>TEXT(LayoffsData[[#This Row],[date]],"yyyy-mm")</f>
        <v>2020-04</v>
      </c>
      <c r="H500" s="1" t="s">
        <v>21</v>
      </c>
      <c r="I500" s="1" t="s">
        <v>17</v>
      </c>
      <c r="J500">
        <v>16</v>
      </c>
    </row>
    <row r="501" spans="1:10" x14ac:dyDescent="0.25">
      <c r="A501" s="1" t="s">
        <v>582</v>
      </c>
      <c r="B501" s="1" t="s">
        <v>14</v>
      </c>
      <c r="C501" s="1" t="s">
        <v>222</v>
      </c>
      <c r="F501" s="2">
        <v>44932</v>
      </c>
      <c r="G501" s="2" t="str">
        <f>TEXT(LayoffsData[[#This Row],[date]],"yyyy-mm")</f>
        <v>2023-01</v>
      </c>
      <c r="H501" s="1" t="s">
        <v>37</v>
      </c>
      <c r="I501" s="1" t="s">
        <v>17</v>
      </c>
    </row>
    <row r="502" spans="1:10" x14ac:dyDescent="0.25">
      <c r="A502" s="1" t="s">
        <v>583</v>
      </c>
      <c r="B502" s="1" t="s">
        <v>14</v>
      </c>
      <c r="C502" s="1" t="s">
        <v>68</v>
      </c>
      <c r="D502">
        <v>22</v>
      </c>
      <c r="E502">
        <v>0.14000000000000001</v>
      </c>
      <c r="F502" s="2">
        <v>43985</v>
      </c>
      <c r="G502" s="2" t="str">
        <f>TEXT(LayoffsData[[#This Row],[date]],"yyyy-mm")</f>
        <v>2020-06</v>
      </c>
      <c r="H502" s="1" t="s">
        <v>86</v>
      </c>
      <c r="I502" s="1" t="s">
        <v>17</v>
      </c>
      <c r="J502">
        <v>120</v>
      </c>
    </row>
    <row r="503" spans="1:10" x14ac:dyDescent="0.25">
      <c r="A503" s="1" t="s">
        <v>584</v>
      </c>
      <c r="B503" s="1" t="s">
        <v>35</v>
      </c>
      <c r="C503" s="1" t="s">
        <v>68</v>
      </c>
      <c r="E503">
        <v>0.06</v>
      </c>
      <c r="F503" s="2">
        <v>43929</v>
      </c>
      <c r="G503" s="2" t="str">
        <f>TEXT(LayoffsData[[#This Row],[date]],"yyyy-mm")</f>
        <v>2020-04</v>
      </c>
      <c r="H503" s="1" t="s">
        <v>33</v>
      </c>
      <c r="I503" s="1" t="s">
        <v>38</v>
      </c>
      <c r="J503">
        <v>314</v>
      </c>
    </row>
    <row r="504" spans="1:10" x14ac:dyDescent="0.25">
      <c r="A504" s="1" t="s">
        <v>585</v>
      </c>
      <c r="B504" s="1" t="s">
        <v>586</v>
      </c>
      <c r="C504" s="1" t="s">
        <v>41</v>
      </c>
      <c r="F504" s="2">
        <v>44727</v>
      </c>
      <c r="G504" s="2" t="str">
        <f>TEXT(LayoffsData[[#This Row],[date]],"yyyy-mm")</f>
        <v>2022-06</v>
      </c>
      <c r="H504" s="1" t="s">
        <v>24</v>
      </c>
      <c r="I504" s="1" t="s">
        <v>587</v>
      </c>
      <c r="J504">
        <v>93</v>
      </c>
    </row>
    <row r="505" spans="1:10" x14ac:dyDescent="0.25">
      <c r="A505" s="1" t="s">
        <v>588</v>
      </c>
      <c r="B505" s="1" t="s">
        <v>293</v>
      </c>
      <c r="C505" s="1" t="s">
        <v>41</v>
      </c>
      <c r="D505">
        <v>170</v>
      </c>
      <c r="E505">
        <v>1</v>
      </c>
      <c r="F505" s="2">
        <v>44742</v>
      </c>
      <c r="G505" s="2" t="str">
        <f>TEXT(LayoffsData[[#This Row],[date]],"yyyy-mm")</f>
        <v>2022-06</v>
      </c>
      <c r="H505" s="1" t="s">
        <v>131</v>
      </c>
      <c r="I505" s="1" t="s">
        <v>69</v>
      </c>
      <c r="J505">
        <v>3</v>
      </c>
    </row>
    <row r="506" spans="1:10" x14ac:dyDescent="0.25">
      <c r="A506" s="1" t="s">
        <v>589</v>
      </c>
      <c r="B506" s="1" t="s">
        <v>250</v>
      </c>
      <c r="C506" s="1" t="s">
        <v>20</v>
      </c>
      <c r="F506" s="2">
        <v>44978</v>
      </c>
      <c r="G506" s="2" t="str">
        <f>TEXT(LayoffsData[[#This Row],[date]],"yyyy-mm")</f>
        <v>2023-02</v>
      </c>
      <c r="H506" s="1" t="s">
        <v>11</v>
      </c>
      <c r="I506" s="1" t="s">
        <v>251</v>
      </c>
      <c r="J506">
        <v>61</v>
      </c>
    </row>
    <row r="507" spans="1:10" x14ac:dyDescent="0.25">
      <c r="A507" s="1" t="s">
        <v>590</v>
      </c>
      <c r="B507" s="1" t="s">
        <v>9</v>
      </c>
      <c r="C507" s="1" t="s">
        <v>20</v>
      </c>
      <c r="F507" s="2">
        <v>43937</v>
      </c>
      <c r="G507" s="2" t="str">
        <f>TEXT(LayoffsData[[#This Row],[date]],"yyyy-mm")</f>
        <v>2020-04</v>
      </c>
      <c r="H507" s="1" t="s">
        <v>21</v>
      </c>
      <c r="I507" s="1" t="s">
        <v>12</v>
      </c>
      <c r="J507">
        <v>11</v>
      </c>
    </row>
    <row r="508" spans="1:10" x14ac:dyDescent="0.25">
      <c r="A508" s="1" t="s">
        <v>591</v>
      </c>
      <c r="B508" s="1" t="s">
        <v>71</v>
      </c>
      <c r="C508" s="1" t="s">
        <v>174</v>
      </c>
      <c r="D508">
        <v>24</v>
      </c>
      <c r="E508">
        <v>0.22</v>
      </c>
      <c r="F508" s="2">
        <v>43983</v>
      </c>
      <c r="G508" s="2" t="str">
        <f>TEXT(LayoffsData[[#This Row],[date]],"yyyy-mm")</f>
        <v>2020-06</v>
      </c>
      <c r="H508" s="1" t="s">
        <v>28</v>
      </c>
      <c r="I508" s="1" t="s">
        <v>17</v>
      </c>
      <c r="J508">
        <v>24</v>
      </c>
    </row>
    <row r="509" spans="1:10" x14ac:dyDescent="0.25">
      <c r="A509" s="1" t="s">
        <v>592</v>
      </c>
      <c r="B509" s="1" t="s">
        <v>14</v>
      </c>
      <c r="C509" s="1" t="s">
        <v>10</v>
      </c>
      <c r="D509">
        <v>150</v>
      </c>
      <c r="E509">
        <v>0.08</v>
      </c>
      <c r="F509" s="2">
        <v>43965</v>
      </c>
      <c r="G509" s="2" t="str">
        <f>TEXT(LayoffsData[[#This Row],[date]],"yyyy-mm")</f>
        <v>2020-05</v>
      </c>
      <c r="H509" s="1" t="s">
        <v>57</v>
      </c>
      <c r="I509" s="1" t="s">
        <v>17</v>
      </c>
      <c r="J509">
        <v>5300</v>
      </c>
    </row>
    <row r="510" spans="1:10" x14ac:dyDescent="0.25">
      <c r="A510" s="1" t="s">
        <v>593</v>
      </c>
      <c r="B510" s="1" t="s">
        <v>594</v>
      </c>
      <c r="C510" s="1" t="s">
        <v>63</v>
      </c>
      <c r="D510">
        <v>85</v>
      </c>
      <c r="F510" s="2">
        <v>44978</v>
      </c>
      <c r="G510" s="2" t="str">
        <f>TEXT(LayoffsData[[#This Row],[date]],"yyyy-mm")</f>
        <v>2023-02</v>
      </c>
      <c r="H510" s="1" t="s">
        <v>37</v>
      </c>
      <c r="I510" s="1" t="s">
        <v>595</v>
      </c>
      <c r="J510">
        <v>26</v>
      </c>
    </row>
    <row r="511" spans="1:10" x14ac:dyDescent="0.25">
      <c r="A511" s="1" t="s">
        <v>596</v>
      </c>
      <c r="B511" s="1" t="s">
        <v>101</v>
      </c>
      <c r="C511" s="1" t="s">
        <v>36</v>
      </c>
      <c r="F511" s="2">
        <v>44789</v>
      </c>
      <c r="G511" s="2" t="str">
        <f>TEXT(LayoffsData[[#This Row],[date]],"yyyy-mm")</f>
        <v>2022-08</v>
      </c>
      <c r="H511" s="1" t="s">
        <v>37</v>
      </c>
      <c r="I511" s="1" t="s">
        <v>101</v>
      </c>
      <c r="J511">
        <v>156</v>
      </c>
    </row>
    <row r="512" spans="1:10" x14ac:dyDescent="0.25">
      <c r="A512" s="1" t="s">
        <v>596</v>
      </c>
      <c r="B512" s="1" t="s">
        <v>101</v>
      </c>
      <c r="C512" s="1" t="s">
        <v>36</v>
      </c>
      <c r="E512">
        <v>0.2</v>
      </c>
      <c r="F512" s="2">
        <v>44938</v>
      </c>
      <c r="G512" s="2" t="str">
        <f>TEXT(LayoffsData[[#This Row],[date]],"yyyy-mm")</f>
        <v>2023-01</v>
      </c>
      <c r="H512" s="1" t="s">
        <v>37</v>
      </c>
      <c r="I512" s="1" t="s">
        <v>17</v>
      </c>
    </row>
    <row r="513" spans="1:10" x14ac:dyDescent="0.25">
      <c r="A513" s="1" t="s">
        <v>596</v>
      </c>
      <c r="B513" s="1" t="s">
        <v>101</v>
      </c>
      <c r="C513" s="1" t="s">
        <v>36</v>
      </c>
      <c r="D513">
        <v>260</v>
      </c>
      <c r="E513">
        <v>0.05</v>
      </c>
      <c r="F513" s="2">
        <v>44722</v>
      </c>
      <c r="G513" s="2" t="str">
        <f>TEXT(LayoffsData[[#This Row],[date]],"yyyy-mm")</f>
        <v>2022-06</v>
      </c>
      <c r="H513" s="1" t="s">
        <v>37</v>
      </c>
      <c r="I513" s="1" t="s">
        <v>101</v>
      </c>
      <c r="J513">
        <v>156</v>
      </c>
    </row>
    <row r="514" spans="1:10" x14ac:dyDescent="0.25">
      <c r="A514" s="1" t="s">
        <v>596</v>
      </c>
      <c r="B514" s="1" t="s">
        <v>101</v>
      </c>
      <c r="C514" s="1" t="s">
        <v>36</v>
      </c>
      <c r="D514">
        <v>2000</v>
      </c>
      <c r="E514">
        <v>0.3</v>
      </c>
      <c r="F514" s="2">
        <v>44840</v>
      </c>
      <c r="G514" s="2" t="str">
        <f>TEXT(LayoffsData[[#This Row],[date]],"yyyy-mm")</f>
        <v>2022-10</v>
      </c>
      <c r="H514" s="1" t="s">
        <v>37</v>
      </c>
      <c r="I514" s="1" t="s">
        <v>101</v>
      </c>
      <c r="J514">
        <v>156</v>
      </c>
    </row>
    <row r="515" spans="1:10" x14ac:dyDescent="0.25">
      <c r="A515" s="1" t="s">
        <v>597</v>
      </c>
      <c r="B515" s="1" t="s">
        <v>137</v>
      </c>
      <c r="C515" s="1" t="s">
        <v>598</v>
      </c>
      <c r="D515">
        <v>62</v>
      </c>
      <c r="E515">
        <v>0.09</v>
      </c>
      <c r="F515" s="2">
        <v>44945</v>
      </c>
      <c r="G515" s="2" t="str">
        <f>TEXT(LayoffsData[[#This Row],[date]],"yyyy-mm")</f>
        <v>2023-01</v>
      </c>
      <c r="H515" s="1" t="s">
        <v>11</v>
      </c>
      <c r="I515" s="1" t="s">
        <v>17</v>
      </c>
      <c r="J515">
        <v>233</v>
      </c>
    </row>
    <row r="516" spans="1:10" x14ac:dyDescent="0.25">
      <c r="A516" s="1" t="s">
        <v>599</v>
      </c>
      <c r="B516" s="1" t="s">
        <v>60</v>
      </c>
      <c r="C516" s="1" t="s">
        <v>124</v>
      </c>
      <c r="D516">
        <v>30</v>
      </c>
      <c r="E516">
        <v>0.5</v>
      </c>
      <c r="F516" s="2">
        <v>43910</v>
      </c>
      <c r="G516" s="2" t="str">
        <f>TEXT(LayoffsData[[#This Row],[date]],"yyyy-mm")</f>
        <v>2020-03</v>
      </c>
      <c r="H516" s="1" t="s">
        <v>131</v>
      </c>
      <c r="I516" s="1" t="s">
        <v>12</v>
      </c>
      <c r="J516">
        <v>7</v>
      </c>
    </row>
    <row r="517" spans="1:10" x14ac:dyDescent="0.25">
      <c r="A517" s="1" t="s">
        <v>600</v>
      </c>
      <c r="B517" s="1" t="s">
        <v>406</v>
      </c>
      <c r="C517" s="1" t="s">
        <v>15</v>
      </c>
      <c r="D517">
        <v>170</v>
      </c>
      <c r="F517" s="2">
        <v>44739</v>
      </c>
      <c r="G517" s="2" t="str">
        <f>TEXT(LayoffsData[[#This Row],[date]],"yyyy-mm")</f>
        <v>2022-06</v>
      </c>
      <c r="H517" s="1" t="s">
        <v>11</v>
      </c>
      <c r="I517" s="1" t="s">
        <v>17</v>
      </c>
      <c r="J517">
        <v>999</v>
      </c>
    </row>
    <row r="518" spans="1:10" x14ac:dyDescent="0.25">
      <c r="A518" s="1" t="s">
        <v>600</v>
      </c>
      <c r="B518" s="1" t="s">
        <v>406</v>
      </c>
      <c r="C518" s="1" t="s">
        <v>15</v>
      </c>
      <c r="D518">
        <v>388</v>
      </c>
      <c r="F518" s="2">
        <v>44931</v>
      </c>
      <c r="G518" s="2" t="str">
        <f>TEXT(LayoffsData[[#This Row],[date]],"yyyy-mm")</f>
        <v>2023-01</v>
      </c>
      <c r="H518" s="1" t="s">
        <v>11</v>
      </c>
      <c r="I518" s="1" t="s">
        <v>17</v>
      </c>
      <c r="J518">
        <v>999</v>
      </c>
    </row>
    <row r="519" spans="1:10" x14ac:dyDescent="0.25">
      <c r="A519" s="1" t="s">
        <v>601</v>
      </c>
      <c r="B519" s="1" t="s">
        <v>259</v>
      </c>
      <c r="C519" s="1" t="s">
        <v>147</v>
      </c>
      <c r="D519">
        <v>36</v>
      </c>
      <c r="E519">
        <v>0.08</v>
      </c>
      <c r="F519" s="2">
        <v>43979</v>
      </c>
      <c r="G519" s="2" t="str">
        <f>TEXT(LayoffsData[[#This Row],[date]],"yyyy-mm")</f>
        <v>2020-05</v>
      </c>
      <c r="H519" s="1" t="s">
        <v>16</v>
      </c>
      <c r="I519" s="1" t="s">
        <v>46</v>
      </c>
      <c r="J519">
        <v>157</v>
      </c>
    </row>
    <row r="520" spans="1:10" x14ac:dyDescent="0.25">
      <c r="A520" s="1" t="s">
        <v>602</v>
      </c>
      <c r="B520" s="1" t="s">
        <v>200</v>
      </c>
      <c r="C520" s="1" t="s">
        <v>63</v>
      </c>
      <c r="D520">
        <v>95</v>
      </c>
      <c r="E520">
        <v>0.32</v>
      </c>
      <c r="F520" s="2">
        <v>43952</v>
      </c>
      <c r="G520" s="2" t="str">
        <f>TEXT(LayoffsData[[#This Row],[date]],"yyyy-mm")</f>
        <v>2020-05</v>
      </c>
      <c r="H520" s="1" t="s">
        <v>24</v>
      </c>
      <c r="I520" s="1" t="s">
        <v>201</v>
      </c>
      <c r="J520">
        <v>102</v>
      </c>
    </row>
    <row r="521" spans="1:10" x14ac:dyDescent="0.25">
      <c r="A521" s="1" t="s">
        <v>603</v>
      </c>
      <c r="B521" s="1" t="s">
        <v>26</v>
      </c>
      <c r="C521" s="1" t="s">
        <v>15</v>
      </c>
      <c r="D521">
        <v>109</v>
      </c>
      <c r="F521" s="2">
        <v>44824</v>
      </c>
      <c r="G521" s="2" t="str">
        <f>TEXT(LayoffsData[[#This Row],[date]],"yyyy-mm")</f>
        <v>2022-09</v>
      </c>
      <c r="H521" s="1" t="s">
        <v>131</v>
      </c>
      <c r="I521" s="1" t="s">
        <v>17</v>
      </c>
      <c r="J521">
        <v>8</v>
      </c>
    </row>
    <row r="522" spans="1:10" x14ac:dyDescent="0.25">
      <c r="A522" s="1" t="s">
        <v>604</v>
      </c>
      <c r="B522" s="1" t="s">
        <v>293</v>
      </c>
      <c r="C522" s="1" t="s">
        <v>506</v>
      </c>
      <c r="D522">
        <v>120</v>
      </c>
      <c r="F522" s="2">
        <v>44029</v>
      </c>
      <c r="G522" s="2" t="str">
        <f>TEXT(LayoffsData[[#This Row],[date]],"yyyy-mm")</f>
        <v>2020-07</v>
      </c>
      <c r="H522" s="1" t="s">
        <v>33</v>
      </c>
      <c r="I522" s="1" t="s">
        <v>69</v>
      </c>
      <c r="J522">
        <v>405</v>
      </c>
    </row>
    <row r="523" spans="1:10" x14ac:dyDescent="0.25">
      <c r="A523" s="1" t="s">
        <v>605</v>
      </c>
      <c r="B523" s="1" t="s">
        <v>293</v>
      </c>
      <c r="C523" s="1" t="s">
        <v>506</v>
      </c>
      <c r="D523">
        <v>800</v>
      </c>
      <c r="E523">
        <v>0.16</v>
      </c>
      <c r="F523" s="2">
        <v>43955</v>
      </c>
      <c r="G523" s="2" t="str">
        <f>TEXT(LayoffsData[[#This Row],[date]],"yyyy-mm")</f>
        <v>2020-05</v>
      </c>
      <c r="H523" s="1" t="s">
        <v>33</v>
      </c>
      <c r="I523" s="1" t="s">
        <v>69</v>
      </c>
      <c r="J523">
        <v>404</v>
      </c>
    </row>
    <row r="524" spans="1:10" x14ac:dyDescent="0.25">
      <c r="A524" s="1" t="s">
        <v>606</v>
      </c>
      <c r="B524" s="1" t="s">
        <v>14</v>
      </c>
      <c r="C524" s="1" t="s">
        <v>15</v>
      </c>
      <c r="D524">
        <v>150</v>
      </c>
      <c r="F524" s="2">
        <v>44636</v>
      </c>
      <c r="G524" s="2" t="str">
        <f>TEXT(LayoffsData[[#This Row],[date]],"yyyy-mm")</f>
        <v>2022-03</v>
      </c>
      <c r="H524" s="1" t="s">
        <v>33</v>
      </c>
      <c r="I524" s="1" t="s">
        <v>17</v>
      </c>
      <c r="J524">
        <v>19</v>
      </c>
    </row>
    <row r="525" spans="1:10" x14ac:dyDescent="0.25">
      <c r="A525" s="1" t="s">
        <v>607</v>
      </c>
      <c r="B525" s="1" t="s">
        <v>26</v>
      </c>
      <c r="C525" s="1" t="s">
        <v>68</v>
      </c>
      <c r="F525" s="2">
        <v>43922</v>
      </c>
      <c r="G525" s="2" t="str">
        <f>TEXT(LayoffsData[[#This Row],[date]],"yyyy-mm")</f>
        <v>2020-04</v>
      </c>
      <c r="H525" s="1" t="s">
        <v>37</v>
      </c>
      <c r="I525" s="1" t="s">
        <v>17</v>
      </c>
    </row>
    <row r="526" spans="1:10" x14ac:dyDescent="0.25">
      <c r="A526" s="1" t="s">
        <v>608</v>
      </c>
      <c r="B526" s="1" t="s">
        <v>200</v>
      </c>
      <c r="C526" s="1" t="s">
        <v>68</v>
      </c>
      <c r="D526">
        <v>65</v>
      </c>
      <c r="E526">
        <v>0.1</v>
      </c>
      <c r="F526" s="2">
        <v>44713</v>
      </c>
      <c r="G526" s="2" t="str">
        <f>TEXT(LayoffsData[[#This Row],[date]],"yyyy-mm")</f>
        <v>2022-06</v>
      </c>
      <c r="H526" s="1" t="s">
        <v>28</v>
      </c>
      <c r="I526" s="1" t="s">
        <v>201</v>
      </c>
      <c r="J526">
        <v>182</v>
      </c>
    </row>
    <row r="527" spans="1:10" x14ac:dyDescent="0.25">
      <c r="A527" s="1" t="s">
        <v>609</v>
      </c>
      <c r="B527" s="1" t="s">
        <v>14</v>
      </c>
      <c r="C527" s="1" t="s">
        <v>29</v>
      </c>
      <c r="F527" s="2">
        <v>43920</v>
      </c>
      <c r="G527" s="2" t="str">
        <f>TEXT(LayoffsData[[#This Row],[date]],"yyyy-mm")</f>
        <v>2020-03</v>
      </c>
      <c r="H527" s="1" t="s">
        <v>28</v>
      </c>
      <c r="I527" s="1" t="s">
        <v>17</v>
      </c>
      <c r="J527">
        <v>31</v>
      </c>
    </row>
    <row r="528" spans="1:10" x14ac:dyDescent="0.25">
      <c r="A528" s="1" t="s">
        <v>610</v>
      </c>
      <c r="B528" s="1" t="s">
        <v>40</v>
      </c>
      <c r="C528" s="1" t="s">
        <v>20</v>
      </c>
      <c r="D528">
        <v>400</v>
      </c>
      <c r="E528">
        <v>0.1</v>
      </c>
      <c r="F528" s="2">
        <v>43972</v>
      </c>
      <c r="G528" s="2" t="str">
        <f>TEXT(LayoffsData[[#This Row],[date]],"yyyy-mm")</f>
        <v>2020-05</v>
      </c>
      <c r="H528" s="1" t="s">
        <v>57</v>
      </c>
      <c r="I528" s="1" t="s">
        <v>17</v>
      </c>
      <c r="J528">
        <v>146</v>
      </c>
    </row>
    <row r="529" spans="1:10" x14ac:dyDescent="0.25">
      <c r="A529" s="1" t="s">
        <v>611</v>
      </c>
      <c r="B529" s="1" t="s">
        <v>14</v>
      </c>
      <c r="C529" s="1" t="s">
        <v>68</v>
      </c>
      <c r="F529" s="2">
        <v>44719</v>
      </c>
      <c r="G529" s="2" t="str">
        <f>TEXT(LayoffsData[[#This Row],[date]],"yyyy-mm")</f>
        <v>2022-06</v>
      </c>
      <c r="H529" s="1" t="s">
        <v>24</v>
      </c>
      <c r="I529" s="1" t="s">
        <v>17</v>
      </c>
      <c r="J529">
        <v>35</v>
      </c>
    </row>
    <row r="530" spans="1:10" x14ac:dyDescent="0.25">
      <c r="A530" s="1" t="s">
        <v>612</v>
      </c>
      <c r="B530" s="1" t="s">
        <v>73</v>
      </c>
      <c r="C530" s="1" t="s">
        <v>172</v>
      </c>
      <c r="D530">
        <v>100</v>
      </c>
      <c r="E530">
        <v>0.06</v>
      </c>
      <c r="F530" s="2">
        <v>44713</v>
      </c>
      <c r="G530" s="2" t="str">
        <f>TEXT(LayoffsData[[#This Row],[date]],"yyyy-mm")</f>
        <v>2022-06</v>
      </c>
      <c r="H530" s="1" t="s">
        <v>86</v>
      </c>
      <c r="I530" s="1" t="s">
        <v>17</v>
      </c>
      <c r="J530">
        <v>750</v>
      </c>
    </row>
    <row r="531" spans="1:10" x14ac:dyDescent="0.25">
      <c r="A531" s="1" t="s">
        <v>612</v>
      </c>
      <c r="B531" s="1" t="s">
        <v>73</v>
      </c>
      <c r="C531" s="1" t="s">
        <v>172</v>
      </c>
      <c r="D531">
        <v>200</v>
      </c>
      <c r="E531">
        <v>0.17</v>
      </c>
      <c r="F531" s="2">
        <v>44860</v>
      </c>
      <c r="G531" s="2" t="str">
        <f>TEXT(LayoffsData[[#This Row],[date]],"yyyy-mm")</f>
        <v>2022-10</v>
      </c>
      <c r="H531" s="1" t="s">
        <v>86</v>
      </c>
      <c r="I531" s="1" t="s">
        <v>17</v>
      </c>
      <c r="J531">
        <v>750</v>
      </c>
    </row>
    <row r="532" spans="1:10" x14ac:dyDescent="0.25">
      <c r="A532" s="1" t="s">
        <v>613</v>
      </c>
      <c r="B532" s="1" t="s">
        <v>14</v>
      </c>
      <c r="C532" s="1" t="s">
        <v>172</v>
      </c>
      <c r="D532">
        <v>30</v>
      </c>
      <c r="E532">
        <v>0.15</v>
      </c>
      <c r="F532" s="2">
        <v>44903</v>
      </c>
      <c r="G532" s="2" t="str">
        <f>TEXT(LayoffsData[[#This Row],[date]],"yyyy-mm")</f>
        <v>2022-12</v>
      </c>
      <c r="H532" s="1" t="s">
        <v>28</v>
      </c>
      <c r="I532" s="1" t="s">
        <v>17</v>
      </c>
      <c r="J532">
        <v>153</v>
      </c>
    </row>
    <row r="533" spans="1:10" x14ac:dyDescent="0.25">
      <c r="A533" s="1" t="s">
        <v>614</v>
      </c>
      <c r="B533" s="1" t="s">
        <v>213</v>
      </c>
      <c r="C533" s="1" t="s">
        <v>113</v>
      </c>
      <c r="F533" s="2">
        <v>44944</v>
      </c>
      <c r="G533" s="2" t="str">
        <f>TEXT(LayoffsData[[#This Row],[date]],"yyyy-mm")</f>
        <v>2023-01</v>
      </c>
      <c r="H533" s="1" t="s">
        <v>24</v>
      </c>
      <c r="I533" s="1" t="s">
        <v>17</v>
      </c>
      <c r="J533">
        <v>54</v>
      </c>
    </row>
    <row r="534" spans="1:10" x14ac:dyDescent="0.25">
      <c r="A534" s="1" t="s">
        <v>615</v>
      </c>
      <c r="B534" s="1" t="s">
        <v>40</v>
      </c>
      <c r="C534" s="1" t="s">
        <v>172</v>
      </c>
      <c r="D534">
        <v>121</v>
      </c>
      <c r="F534" s="2">
        <v>44958</v>
      </c>
      <c r="G534" s="2" t="str">
        <f>TEXT(LayoffsData[[#This Row],[date]],"yyyy-mm")</f>
        <v>2023-02</v>
      </c>
      <c r="H534" s="1" t="s">
        <v>11</v>
      </c>
      <c r="I534" s="1" t="s">
        <v>17</v>
      </c>
      <c r="J534">
        <v>161</v>
      </c>
    </row>
    <row r="535" spans="1:10" x14ac:dyDescent="0.25">
      <c r="A535" s="1" t="s">
        <v>616</v>
      </c>
      <c r="B535" s="1" t="s">
        <v>73</v>
      </c>
      <c r="C535" s="1" t="s">
        <v>15</v>
      </c>
      <c r="E535">
        <v>0.7</v>
      </c>
      <c r="F535" s="2">
        <v>44946</v>
      </c>
      <c r="G535" s="2" t="str">
        <f>TEXT(LayoffsData[[#This Row],[date]],"yyyy-mm")</f>
        <v>2023-01</v>
      </c>
      <c r="H535" s="1" t="s">
        <v>28</v>
      </c>
      <c r="I535" s="1" t="s">
        <v>17</v>
      </c>
      <c r="J535">
        <v>156</v>
      </c>
    </row>
    <row r="536" spans="1:10" x14ac:dyDescent="0.25">
      <c r="A536" s="1" t="s">
        <v>617</v>
      </c>
      <c r="B536" s="1" t="s">
        <v>14</v>
      </c>
      <c r="C536" s="1" t="s">
        <v>124</v>
      </c>
      <c r="D536">
        <v>34</v>
      </c>
      <c r="E536">
        <v>0.13</v>
      </c>
      <c r="F536" s="2">
        <v>43924</v>
      </c>
      <c r="G536" s="2" t="str">
        <f>TEXT(LayoffsData[[#This Row],[date]],"yyyy-mm")</f>
        <v>2020-04</v>
      </c>
      <c r="H536" s="1" t="s">
        <v>33</v>
      </c>
      <c r="I536" s="1" t="s">
        <v>17</v>
      </c>
      <c r="J536">
        <v>247</v>
      </c>
    </row>
    <row r="537" spans="1:10" x14ac:dyDescent="0.25">
      <c r="A537" s="1" t="s">
        <v>618</v>
      </c>
      <c r="B537" s="1" t="s">
        <v>186</v>
      </c>
      <c r="C537" s="1" t="s">
        <v>41</v>
      </c>
      <c r="E537">
        <v>0.05</v>
      </c>
      <c r="F537" s="2">
        <v>44881</v>
      </c>
      <c r="G537" s="2" t="str">
        <f>TEXT(LayoffsData[[#This Row],[date]],"yyyy-mm")</f>
        <v>2022-11</v>
      </c>
      <c r="H537" s="1" t="s">
        <v>11</v>
      </c>
      <c r="I537" s="1" t="s">
        <v>12</v>
      </c>
      <c r="J537">
        <v>168</v>
      </c>
    </row>
    <row r="538" spans="1:10" x14ac:dyDescent="0.25">
      <c r="A538" s="1" t="s">
        <v>619</v>
      </c>
      <c r="B538" s="1" t="s">
        <v>32</v>
      </c>
      <c r="C538" s="1" t="s">
        <v>51</v>
      </c>
      <c r="E538">
        <v>0.15</v>
      </c>
      <c r="F538" s="2">
        <v>44781</v>
      </c>
      <c r="G538" s="2" t="str">
        <f>TEXT(LayoffsData[[#This Row],[date]],"yyyy-mm")</f>
        <v>2022-08</v>
      </c>
      <c r="H538" s="1" t="s">
        <v>33</v>
      </c>
      <c r="I538" s="1" t="s">
        <v>17</v>
      </c>
      <c r="J538">
        <v>120</v>
      </c>
    </row>
    <row r="539" spans="1:10" x14ac:dyDescent="0.25">
      <c r="A539" s="1" t="s">
        <v>619</v>
      </c>
      <c r="B539" s="1" t="s">
        <v>32</v>
      </c>
      <c r="C539" s="1" t="s">
        <v>51</v>
      </c>
      <c r="D539">
        <v>60</v>
      </c>
      <c r="E539">
        <v>0.2</v>
      </c>
      <c r="F539" s="2">
        <v>44602</v>
      </c>
      <c r="G539" s="2" t="str">
        <f>TEXT(LayoffsData[[#This Row],[date]],"yyyy-mm")</f>
        <v>2022-02</v>
      </c>
      <c r="H539" s="1" t="s">
        <v>33</v>
      </c>
      <c r="I539" s="1" t="s">
        <v>17</v>
      </c>
      <c r="J539">
        <v>120</v>
      </c>
    </row>
    <row r="540" spans="1:10" x14ac:dyDescent="0.25">
      <c r="A540" s="1" t="s">
        <v>620</v>
      </c>
      <c r="B540" s="1" t="s">
        <v>32</v>
      </c>
      <c r="C540" s="1" t="s">
        <v>68</v>
      </c>
      <c r="E540">
        <v>0.15</v>
      </c>
      <c r="F540" s="2">
        <v>44782</v>
      </c>
      <c r="G540" s="2" t="str">
        <f>TEXT(LayoffsData[[#This Row],[date]],"yyyy-mm")</f>
        <v>2022-08</v>
      </c>
      <c r="H540" s="1" t="s">
        <v>37</v>
      </c>
      <c r="I540" s="1" t="s">
        <v>17</v>
      </c>
      <c r="J540">
        <v>814</v>
      </c>
    </row>
    <row r="541" spans="1:10" x14ac:dyDescent="0.25">
      <c r="A541" s="1" t="s">
        <v>621</v>
      </c>
      <c r="B541" s="1" t="s">
        <v>370</v>
      </c>
      <c r="C541" s="1" t="s">
        <v>74</v>
      </c>
      <c r="D541">
        <v>40</v>
      </c>
      <c r="F541" s="2">
        <v>44708</v>
      </c>
      <c r="G541" s="2" t="str">
        <f>TEXT(LayoffsData[[#This Row],[date]],"yyyy-mm")</f>
        <v>2022-05</v>
      </c>
      <c r="H541" s="1" t="s">
        <v>21</v>
      </c>
      <c r="I541" s="1" t="s">
        <v>69</v>
      </c>
      <c r="J541">
        <v>23</v>
      </c>
    </row>
    <row r="542" spans="1:10" x14ac:dyDescent="0.25">
      <c r="A542" s="1" t="s">
        <v>622</v>
      </c>
      <c r="B542" s="1" t="s">
        <v>79</v>
      </c>
      <c r="C542" s="1" t="s">
        <v>10</v>
      </c>
      <c r="E542">
        <v>0.16</v>
      </c>
      <c r="F542" s="2">
        <v>44881</v>
      </c>
      <c r="G542" s="2" t="str">
        <f>TEXT(LayoffsData[[#This Row],[date]],"yyyy-mm")</f>
        <v>2022-11</v>
      </c>
      <c r="H542" s="1" t="s">
        <v>37</v>
      </c>
      <c r="I542" s="1" t="s">
        <v>80</v>
      </c>
      <c r="J542">
        <v>63</v>
      </c>
    </row>
    <row r="543" spans="1:10" x14ac:dyDescent="0.25">
      <c r="A543" s="1" t="s">
        <v>623</v>
      </c>
      <c r="B543" s="1" t="s">
        <v>62</v>
      </c>
      <c r="C543" s="1" t="s">
        <v>29</v>
      </c>
      <c r="D543">
        <v>200</v>
      </c>
      <c r="E543">
        <v>0.15</v>
      </c>
      <c r="F543" s="2">
        <v>44721</v>
      </c>
      <c r="G543" s="2" t="str">
        <f>TEXT(LayoffsData[[#This Row],[date]],"yyyy-mm")</f>
        <v>2022-06</v>
      </c>
      <c r="H543" s="1" t="s">
        <v>37</v>
      </c>
      <c r="I543" s="1" t="s">
        <v>64</v>
      </c>
    </row>
    <row r="544" spans="1:10" x14ac:dyDescent="0.25">
      <c r="A544" s="1" t="s">
        <v>624</v>
      </c>
      <c r="B544" s="1" t="s">
        <v>60</v>
      </c>
      <c r="C544" s="1" t="s">
        <v>36</v>
      </c>
      <c r="E544">
        <v>0.2</v>
      </c>
      <c r="F544" s="2">
        <v>44980</v>
      </c>
      <c r="G544" s="2" t="str">
        <f>TEXT(LayoffsData[[#This Row],[date]],"yyyy-mm")</f>
        <v>2023-02</v>
      </c>
      <c r="H544" s="1" t="s">
        <v>33</v>
      </c>
      <c r="I544" s="1" t="s">
        <v>17</v>
      </c>
      <c r="J544">
        <v>607</v>
      </c>
    </row>
    <row r="545" spans="1:10" x14ac:dyDescent="0.25">
      <c r="A545" s="1" t="s">
        <v>624</v>
      </c>
      <c r="B545" s="1" t="s">
        <v>60</v>
      </c>
      <c r="C545" s="1" t="s">
        <v>36</v>
      </c>
      <c r="D545">
        <v>134</v>
      </c>
      <c r="E545">
        <v>0.22</v>
      </c>
      <c r="F545" s="2">
        <v>44867</v>
      </c>
      <c r="G545" s="2" t="str">
        <f>TEXT(LayoffsData[[#This Row],[date]],"yyyy-mm")</f>
        <v>2022-11</v>
      </c>
      <c r="H545" s="1" t="s">
        <v>33</v>
      </c>
      <c r="I545" s="1" t="s">
        <v>17</v>
      </c>
      <c r="J545">
        <v>607</v>
      </c>
    </row>
    <row r="546" spans="1:10" x14ac:dyDescent="0.25">
      <c r="A546" s="1" t="s">
        <v>625</v>
      </c>
      <c r="B546" s="1" t="s">
        <v>101</v>
      </c>
      <c r="C546" s="1" t="s">
        <v>29</v>
      </c>
      <c r="E546">
        <v>0.11</v>
      </c>
      <c r="F546" s="2">
        <v>44963</v>
      </c>
      <c r="G546" s="2" t="str">
        <f>TEXT(LayoffsData[[#This Row],[date]],"yyyy-mm")</f>
        <v>2023-02</v>
      </c>
      <c r="H546" s="1" t="s">
        <v>37</v>
      </c>
      <c r="I546" s="1" t="s">
        <v>101</v>
      </c>
    </row>
    <row r="547" spans="1:10" x14ac:dyDescent="0.25">
      <c r="A547" s="1" t="s">
        <v>626</v>
      </c>
      <c r="B547" s="1" t="s">
        <v>14</v>
      </c>
      <c r="C547" s="1" t="s">
        <v>113</v>
      </c>
      <c r="D547">
        <v>6</v>
      </c>
      <c r="E547">
        <v>1</v>
      </c>
      <c r="F547" s="2">
        <v>44005</v>
      </c>
      <c r="G547" s="2" t="str">
        <f>TEXT(LayoffsData[[#This Row],[date]],"yyyy-mm")</f>
        <v>2020-06</v>
      </c>
      <c r="H547" s="1" t="s">
        <v>131</v>
      </c>
      <c r="I547" s="1" t="s">
        <v>17</v>
      </c>
      <c r="J547">
        <v>3</v>
      </c>
    </row>
    <row r="548" spans="1:10" x14ac:dyDescent="0.25">
      <c r="A548" s="1" t="s">
        <v>627</v>
      </c>
      <c r="B548" s="1" t="s">
        <v>168</v>
      </c>
      <c r="C548" s="1" t="s">
        <v>68</v>
      </c>
      <c r="D548">
        <v>30</v>
      </c>
      <c r="E548">
        <v>0.18</v>
      </c>
      <c r="F548" s="2">
        <v>44900</v>
      </c>
      <c r="G548" s="2" t="str">
        <f>TEXT(LayoffsData[[#This Row],[date]],"yyyy-mm")</f>
        <v>2022-12</v>
      </c>
      <c r="H548" s="1" t="s">
        <v>24</v>
      </c>
      <c r="I548" s="1" t="s">
        <v>170</v>
      </c>
      <c r="J548">
        <v>103</v>
      </c>
    </row>
    <row r="549" spans="1:10" x14ac:dyDescent="0.25">
      <c r="A549" s="1" t="s">
        <v>628</v>
      </c>
      <c r="B549" s="1" t="s">
        <v>73</v>
      </c>
      <c r="C549" s="1" t="s">
        <v>74</v>
      </c>
      <c r="F549" s="2">
        <v>44781</v>
      </c>
      <c r="G549" s="2" t="str">
        <f>TEXT(LayoffsData[[#This Row],[date]],"yyyy-mm")</f>
        <v>2022-08</v>
      </c>
      <c r="H549" s="1" t="s">
        <v>450</v>
      </c>
      <c r="I549" s="1" t="s">
        <v>17</v>
      </c>
      <c r="J549">
        <v>1000</v>
      </c>
    </row>
    <row r="550" spans="1:10" x14ac:dyDescent="0.25">
      <c r="A550" s="1" t="s">
        <v>628</v>
      </c>
      <c r="B550" s="1" t="s">
        <v>73</v>
      </c>
      <c r="C550" s="1" t="s">
        <v>74</v>
      </c>
      <c r="E550">
        <v>0.26</v>
      </c>
      <c r="F550" s="2">
        <v>44796</v>
      </c>
      <c r="G550" s="2" t="str">
        <f>TEXT(LayoffsData[[#This Row],[date]],"yyyy-mm")</f>
        <v>2022-08</v>
      </c>
      <c r="H550" s="1" t="s">
        <v>450</v>
      </c>
      <c r="I550" s="1" t="s">
        <v>17</v>
      </c>
      <c r="J550">
        <v>1000</v>
      </c>
    </row>
    <row r="551" spans="1:10" x14ac:dyDescent="0.25">
      <c r="A551" s="1" t="s">
        <v>628</v>
      </c>
      <c r="B551" s="1" t="s">
        <v>73</v>
      </c>
      <c r="C551" s="1" t="s">
        <v>74</v>
      </c>
      <c r="D551">
        <v>70</v>
      </c>
      <c r="E551">
        <v>7.0000000000000007E-2</v>
      </c>
      <c r="F551" s="2">
        <v>44692</v>
      </c>
      <c r="G551" s="2" t="str">
        <f>TEXT(LayoffsData[[#This Row],[date]],"yyyy-mm")</f>
        <v>2022-05</v>
      </c>
      <c r="H551" s="1" t="s">
        <v>450</v>
      </c>
      <c r="I551" s="1" t="s">
        <v>17</v>
      </c>
      <c r="J551">
        <v>1000</v>
      </c>
    </row>
    <row r="552" spans="1:10" x14ac:dyDescent="0.25">
      <c r="A552" s="1" t="s">
        <v>628</v>
      </c>
      <c r="B552" s="1" t="s">
        <v>73</v>
      </c>
      <c r="C552" s="1" t="s">
        <v>74</v>
      </c>
      <c r="D552">
        <v>200</v>
      </c>
      <c r="F552" s="2">
        <v>43917</v>
      </c>
      <c r="G552" s="2" t="str">
        <f>TEXT(LayoffsData[[#This Row],[date]],"yyyy-mm")</f>
        <v>2020-03</v>
      </c>
      <c r="H552" s="1" t="s">
        <v>16</v>
      </c>
      <c r="I552" s="1" t="s">
        <v>17</v>
      </c>
      <c r="J552">
        <v>430</v>
      </c>
    </row>
    <row r="553" spans="1:10" x14ac:dyDescent="0.25">
      <c r="A553" s="1" t="s">
        <v>629</v>
      </c>
      <c r="B553" s="1" t="s">
        <v>14</v>
      </c>
      <c r="C553" s="1" t="s">
        <v>74</v>
      </c>
      <c r="D553">
        <v>15</v>
      </c>
      <c r="F553" s="2">
        <v>43935</v>
      </c>
      <c r="G553" s="2" t="str">
        <f>TEXT(LayoffsData[[#This Row],[date]],"yyyy-mm")</f>
        <v>2020-04</v>
      </c>
      <c r="H553" s="1" t="s">
        <v>16</v>
      </c>
      <c r="I553" s="1" t="s">
        <v>17</v>
      </c>
      <c r="J553">
        <v>190</v>
      </c>
    </row>
    <row r="554" spans="1:10" x14ac:dyDescent="0.25">
      <c r="A554" s="1" t="s">
        <v>630</v>
      </c>
      <c r="B554" s="1" t="s">
        <v>14</v>
      </c>
      <c r="C554" s="1" t="s">
        <v>124</v>
      </c>
      <c r="E554">
        <v>0.1</v>
      </c>
      <c r="F554" s="2">
        <v>43969</v>
      </c>
      <c r="G554" s="2" t="str">
        <f>TEXT(LayoffsData[[#This Row],[date]],"yyyy-mm")</f>
        <v>2020-05</v>
      </c>
      <c r="H554" s="1" t="s">
        <v>28</v>
      </c>
      <c r="I554" s="1" t="s">
        <v>17</v>
      </c>
      <c r="J554">
        <v>63</v>
      </c>
    </row>
    <row r="555" spans="1:10" x14ac:dyDescent="0.25">
      <c r="A555" s="1" t="s">
        <v>631</v>
      </c>
      <c r="B555" s="1" t="s">
        <v>632</v>
      </c>
      <c r="C555" s="1" t="s">
        <v>124</v>
      </c>
      <c r="F555" s="2">
        <v>43963</v>
      </c>
      <c r="G555" s="2" t="str">
        <f>TEXT(LayoffsData[[#This Row],[date]],"yyyy-mm")</f>
        <v>2020-05</v>
      </c>
      <c r="H555" s="1" t="s">
        <v>57</v>
      </c>
      <c r="I555" s="1" t="s">
        <v>17</v>
      </c>
      <c r="J555">
        <v>100</v>
      </c>
    </row>
    <row r="556" spans="1:10" x14ac:dyDescent="0.25">
      <c r="A556" s="1" t="s">
        <v>633</v>
      </c>
      <c r="B556" s="1" t="s">
        <v>14</v>
      </c>
      <c r="C556" s="1" t="s">
        <v>15</v>
      </c>
      <c r="F556" s="2">
        <v>44819</v>
      </c>
      <c r="G556" s="2" t="str">
        <f>TEXT(LayoffsData[[#This Row],[date]],"yyyy-mm")</f>
        <v>2022-09</v>
      </c>
      <c r="H556" s="1" t="s">
        <v>24</v>
      </c>
      <c r="I556" s="1" t="s">
        <v>17</v>
      </c>
      <c r="J556">
        <v>90</v>
      </c>
    </row>
    <row r="557" spans="1:10" x14ac:dyDescent="0.25">
      <c r="A557" s="1" t="s">
        <v>634</v>
      </c>
      <c r="B557" s="1" t="s">
        <v>200</v>
      </c>
      <c r="C557" s="1" t="s">
        <v>27</v>
      </c>
      <c r="D557">
        <v>50</v>
      </c>
      <c r="E557">
        <v>0.02</v>
      </c>
      <c r="F557" s="2">
        <v>44707</v>
      </c>
      <c r="G557" s="2" t="str">
        <f>TEXT(LayoffsData[[#This Row],[date]],"yyyy-mm")</f>
        <v>2022-05</v>
      </c>
      <c r="H557" s="1" t="s">
        <v>37</v>
      </c>
      <c r="I557" s="1" t="s">
        <v>201</v>
      </c>
    </row>
    <row r="558" spans="1:10" x14ac:dyDescent="0.25">
      <c r="A558" s="1" t="s">
        <v>635</v>
      </c>
      <c r="B558" s="1" t="s">
        <v>293</v>
      </c>
      <c r="C558" s="1" t="s">
        <v>29</v>
      </c>
      <c r="D558">
        <v>100</v>
      </c>
      <c r="E558">
        <v>0.06</v>
      </c>
      <c r="F558" s="2">
        <v>44953</v>
      </c>
      <c r="G558" s="2" t="str">
        <f>TEXT(LayoffsData[[#This Row],[date]],"yyyy-mm")</f>
        <v>2023-01</v>
      </c>
      <c r="H558" s="1" t="s">
        <v>16</v>
      </c>
      <c r="I558" s="1" t="s">
        <v>69</v>
      </c>
      <c r="J558">
        <v>390</v>
      </c>
    </row>
    <row r="559" spans="1:10" x14ac:dyDescent="0.25">
      <c r="A559" s="1" t="s">
        <v>636</v>
      </c>
      <c r="B559" s="1" t="s">
        <v>14</v>
      </c>
      <c r="C559" s="1" t="s">
        <v>15</v>
      </c>
      <c r="F559" s="2">
        <v>44953</v>
      </c>
      <c r="G559" s="2" t="str">
        <f>TEXT(LayoffsData[[#This Row],[date]],"yyyy-mm")</f>
        <v>2023-01</v>
      </c>
      <c r="H559" s="1" t="s">
        <v>21</v>
      </c>
      <c r="I559" s="1" t="s">
        <v>17</v>
      </c>
      <c r="J559">
        <v>18</v>
      </c>
    </row>
    <row r="560" spans="1:10" x14ac:dyDescent="0.25">
      <c r="A560" s="1" t="s">
        <v>637</v>
      </c>
      <c r="B560" s="1" t="s">
        <v>32</v>
      </c>
      <c r="C560" s="1" t="s">
        <v>172</v>
      </c>
      <c r="E560">
        <v>0.1</v>
      </c>
      <c r="F560" s="2">
        <v>44718</v>
      </c>
      <c r="G560" s="2" t="str">
        <f>TEXT(LayoffsData[[#This Row],[date]],"yyyy-mm")</f>
        <v>2022-06</v>
      </c>
      <c r="H560" s="1" t="s">
        <v>33</v>
      </c>
      <c r="I560" s="1" t="s">
        <v>17</v>
      </c>
      <c r="J560">
        <v>259</v>
      </c>
    </row>
    <row r="561" spans="1:10" x14ac:dyDescent="0.25">
      <c r="A561" s="1" t="s">
        <v>638</v>
      </c>
      <c r="B561" s="1" t="s">
        <v>55</v>
      </c>
      <c r="C561" s="1" t="s">
        <v>74</v>
      </c>
      <c r="F561" s="2">
        <v>44599</v>
      </c>
      <c r="G561" s="2" t="str">
        <f>TEXT(LayoffsData[[#This Row],[date]],"yyyy-mm")</f>
        <v>2022-02</v>
      </c>
      <c r="H561" s="1" t="s">
        <v>24</v>
      </c>
      <c r="I561" s="1" t="s">
        <v>17</v>
      </c>
      <c r="J561">
        <v>78</v>
      </c>
    </row>
    <row r="562" spans="1:10" x14ac:dyDescent="0.25">
      <c r="A562" s="1" t="s">
        <v>639</v>
      </c>
      <c r="B562" s="1" t="s">
        <v>73</v>
      </c>
      <c r="C562" s="1" t="s">
        <v>15</v>
      </c>
      <c r="D562">
        <v>55</v>
      </c>
      <c r="E562">
        <v>0.06</v>
      </c>
      <c r="F562" s="2">
        <v>44938</v>
      </c>
      <c r="G562" s="2" t="str">
        <f>TEXT(LayoffsData[[#This Row],[date]],"yyyy-mm")</f>
        <v>2023-01</v>
      </c>
      <c r="H562" s="1" t="s">
        <v>11</v>
      </c>
      <c r="I562" s="1" t="s">
        <v>17</v>
      </c>
    </row>
    <row r="563" spans="1:10" x14ac:dyDescent="0.25">
      <c r="A563" s="1" t="s">
        <v>640</v>
      </c>
      <c r="B563" s="1" t="s">
        <v>14</v>
      </c>
      <c r="C563" s="1" t="s">
        <v>41</v>
      </c>
      <c r="E563">
        <v>0.15</v>
      </c>
      <c r="F563" s="2">
        <v>44741</v>
      </c>
      <c r="G563" s="2" t="str">
        <f>TEXT(LayoffsData[[#This Row],[date]],"yyyy-mm")</f>
        <v>2022-06</v>
      </c>
      <c r="H563" s="1" t="s">
        <v>33</v>
      </c>
      <c r="I563" s="1" t="s">
        <v>17</v>
      </c>
      <c r="J563">
        <v>411</v>
      </c>
    </row>
    <row r="564" spans="1:10" x14ac:dyDescent="0.25">
      <c r="A564" s="1" t="s">
        <v>641</v>
      </c>
      <c r="B564" s="1" t="s">
        <v>424</v>
      </c>
      <c r="C564" s="1" t="s">
        <v>51</v>
      </c>
      <c r="F564" s="2">
        <v>44774</v>
      </c>
      <c r="G564" s="2" t="str">
        <f>TEXT(LayoffsData[[#This Row],[date]],"yyyy-mm")</f>
        <v>2022-08</v>
      </c>
      <c r="H564" s="1" t="s">
        <v>33</v>
      </c>
      <c r="I564" s="1" t="s">
        <v>69</v>
      </c>
      <c r="J564">
        <v>194</v>
      </c>
    </row>
    <row r="565" spans="1:10" x14ac:dyDescent="0.25">
      <c r="A565" s="1" t="s">
        <v>641</v>
      </c>
      <c r="B565" s="1" t="s">
        <v>642</v>
      </c>
      <c r="C565" s="1" t="s">
        <v>51</v>
      </c>
      <c r="E565">
        <v>0.05</v>
      </c>
      <c r="F565" s="2">
        <v>44941</v>
      </c>
      <c r="G565" s="2" t="str">
        <f>TEXT(LayoffsData[[#This Row],[date]],"yyyy-mm")</f>
        <v>2023-01</v>
      </c>
      <c r="H565" s="1" t="s">
        <v>16</v>
      </c>
      <c r="I565" s="1" t="s">
        <v>69</v>
      </c>
      <c r="J565">
        <v>254</v>
      </c>
    </row>
    <row r="566" spans="1:10" x14ac:dyDescent="0.25">
      <c r="A566" s="1" t="s">
        <v>643</v>
      </c>
      <c r="B566" s="1" t="s">
        <v>14</v>
      </c>
      <c r="C566" s="1" t="s">
        <v>29</v>
      </c>
      <c r="D566">
        <v>669</v>
      </c>
      <c r="E566">
        <v>1</v>
      </c>
      <c r="F566" s="2">
        <v>43964</v>
      </c>
      <c r="G566" s="2" t="str">
        <f>TEXT(LayoffsData[[#This Row],[date]],"yyyy-mm")</f>
        <v>2020-05</v>
      </c>
      <c r="H566" s="1" t="s">
        <v>28</v>
      </c>
      <c r="I566" s="1" t="s">
        <v>17</v>
      </c>
      <c r="J566">
        <v>80</v>
      </c>
    </row>
    <row r="567" spans="1:10" x14ac:dyDescent="0.25">
      <c r="A567" s="1" t="s">
        <v>644</v>
      </c>
      <c r="B567" s="1" t="s">
        <v>200</v>
      </c>
      <c r="C567" s="1" t="s">
        <v>51</v>
      </c>
      <c r="D567">
        <v>350</v>
      </c>
      <c r="E567">
        <v>0.09</v>
      </c>
      <c r="F567" s="2">
        <v>44966</v>
      </c>
      <c r="G567" s="2" t="str">
        <f>TEXT(LayoffsData[[#This Row],[date]],"yyyy-mm")</f>
        <v>2023-02</v>
      </c>
      <c r="H567" s="1" t="s">
        <v>11</v>
      </c>
      <c r="I567" s="1" t="s">
        <v>201</v>
      </c>
      <c r="J567">
        <v>1700</v>
      </c>
    </row>
    <row r="568" spans="1:10" x14ac:dyDescent="0.25">
      <c r="A568" s="1" t="s">
        <v>644</v>
      </c>
      <c r="B568" s="1" t="s">
        <v>200</v>
      </c>
      <c r="C568" s="1" t="s">
        <v>51</v>
      </c>
      <c r="D568">
        <v>367</v>
      </c>
      <c r="E568">
        <v>0.15</v>
      </c>
      <c r="F568" s="2">
        <v>43949</v>
      </c>
      <c r="G568" s="2" t="str">
        <f>TEXT(LayoffsData[[#This Row],[date]],"yyyy-mm")</f>
        <v>2020-04</v>
      </c>
      <c r="H568" s="1" t="s">
        <v>450</v>
      </c>
      <c r="I568" s="1" t="s">
        <v>201</v>
      </c>
      <c r="J568">
        <v>1500</v>
      </c>
    </row>
    <row r="569" spans="1:10" x14ac:dyDescent="0.25">
      <c r="A569" s="1" t="s">
        <v>645</v>
      </c>
      <c r="B569" s="1" t="s">
        <v>259</v>
      </c>
      <c r="C569" s="1" t="s">
        <v>51</v>
      </c>
      <c r="D569">
        <v>120</v>
      </c>
      <c r="E569">
        <v>1</v>
      </c>
      <c r="F569" s="2">
        <v>44880</v>
      </c>
      <c r="G569" s="2" t="str">
        <f>TEXT(LayoffsData[[#This Row],[date]],"yyyy-mm")</f>
        <v>2022-11</v>
      </c>
      <c r="H569" s="1" t="s">
        <v>11</v>
      </c>
      <c r="I569" s="1" t="s">
        <v>46</v>
      </c>
      <c r="J569">
        <v>1700</v>
      </c>
    </row>
    <row r="570" spans="1:10" x14ac:dyDescent="0.25">
      <c r="A570" s="1" t="s">
        <v>646</v>
      </c>
      <c r="B570" s="1" t="s">
        <v>79</v>
      </c>
      <c r="C570" s="1" t="s">
        <v>51</v>
      </c>
      <c r="D570">
        <v>100</v>
      </c>
      <c r="F570" s="2">
        <v>44868</v>
      </c>
      <c r="G570" s="2" t="str">
        <f>TEXT(LayoffsData[[#This Row],[date]],"yyyy-mm")</f>
        <v>2022-11</v>
      </c>
      <c r="H570" s="1" t="s">
        <v>11</v>
      </c>
      <c r="I570" s="1" t="s">
        <v>80</v>
      </c>
      <c r="J570">
        <v>8300</v>
      </c>
    </row>
    <row r="571" spans="1:10" x14ac:dyDescent="0.25">
      <c r="A571" s="1" t="s">
        <v>646</v>
      </c>
      <c r="B571" s="1" t="s">
        <v>79</v>
      </c>
      <c r="C571" s="1" t="s">
        <v>51</v>
      </c>
      <c r="D571">
        <v>156</v>
      </c>
      <c r="E571">
        <v>0.04</v>
      </c>
      <c r="F571" s="2">
        <v>44956</v>
      </c>
      <c r="G571" s="2" t="str">
        <f>TEXT(LayoffsData[[#This Row],[date]],"yyyy-mm")</f>
        <v>2023-01</v>
      </c>
      <c r="H571" s="1" t="s">
        <v>11</v>
      </c>
      <c r="I571" s="1" t="s">
        <v>80</v>
      </c>
      <c r="J571">
        <v>9900</v>
      </c>
    </row>
    <row r="572" spans="1:10" x14ac:dyDescent="0.25">
      <c r="A572" s="1" t="s">
        <v>646</v>
      </c>
      <c r="B572" s="1" t="s">
        <v>79</v>
      </c>
      <c r="C572" s="1" t="s">
        <v>51</v>
      </c>
      <c r="D572">
        <v>300</v>
      </c>
      <c r="F572" s="2">
        <v>44552</v>
      </c>
      <c r="G572" s="2" t="str">
        <f>TEXT(LayoffsData[[#This Row],[date]],"yyyy-mm")</f>
        <v>2021-12</v>
      </c>
      <c r="H572" s="1" t="s">
        <v>11</v>
      </c>
      <c r="I572" s="1" t="s">
        <v>80</v>
      </c>
      <c r="J572">
        <v>8300</v>
      </c>
    </row>
    <row r="573" spans="1:10" x14ac:dyDescent="0.25">
      <c r="A573" s="1" t="s">
        <v>647</v>
      </c>
      <c r="B573" s="1" t="s">
        <v>137</v>
      </c>
      <c r="C573" s="1" t="s">
        <v>325</v>
      </c>
      <c r="D573">
        <v>6650</v>
      </c>
      <c r="E573">
        <v>0.05</v>
      </c>
      <c r="F573" s="2">
        <v>44963</v>
      </c>
      <c r="G573" s="2" t="str">
        <f>TEXT(LayoffsData[[#This Row],[date]],"yyyy-mm")</f>
        <v>2023-02</v>
      </c>
      <c r="H573" s="1" t="s">
        <v>11</v>
      </c>
      <c r="I573" s="1" t="s">
        <v>17</v>
      </c>
    </row>
    <row r="574" spans="1:10" x14ac:dyDescent="0.25">
      <c r="A574" s="1" t="s">
        <v>648</v>
      </c>
      <c r="B574" s="1" t="s">
        <v>14</v>
      </c>
      <c r="C574" s="1" t="s">
        <v>48</v>
      </c>
      <c r="D574">
        <v>27</v>
      </c>
      <c r="E574">
        <v>0.03</v>
      </c>
      <c r="F574" s="2">
        <v>44811</v>
      </c>
      <c r="G574" s="2" t="str">
        <f>TEXT(LayoffsData[[#This Row],[date]],"yyyy-mm")</f>
        <v>2022-09</v>
      </c>
      <c r="H574" s="1" t="s">
        <v>414</v>
      </c>
      <c r="I574" s="1" t="s">
        <v>17</v>
      </c>
      <c r="J574">
        <v>143</v>
      </c>
    </row>
    <row r="575" spans="1:10" x14ac:dyDescent="0.25">
      <c r="A575" s="1" t="s">
        <v>649</v>
      </c>
      <c r="B575" s="1" t="s">
        <v>44</v>
      </c>
      <c r="C575" s="1" t="s">
        <v>147</v>
      </c>
      <c r="D575">
        <v>60</v>
      </c>
      <c r="E575">
        <v>0.3</v>
      </c>
      <c r="F575" s="2">
        <v>43955</v>
      </c>
      <c r="G575" s="2" t="str">
        <f>TEXT(LayoffsData[[#This Row],[date]],"yyyy-mm")</f>
        <v>2020-05</v>
      </c>
      <c r="H575" s="1" t="s">
        <v>24</v>
      </c>
      <c r="I575" s="1" t="s">
        <v>46</v>
      </c>
      <c r="J575">
        <v>106</v>
      </c>
    </row>
    <row r="576" spans="1:10" x14ac:dyDescent="0.25">
      <c r="A576" s="1" t="s">
        <v>650</v>
      </c>
      <c r="B576" s="1" t="s">
        <v>651</v>
      </c>
      <c r="C576" s="1" t="s">
        <v>74</v>
      </c>
      <c r="D576">
        <v>12</v>
      </c>
      <c r="E576">
        <v>0.16</v>
      </c>
      <c r="F576" s="2">
        <v>43984</v>
      </c>
      <c r="G576" s="2" t="str">
        <f>TEXT(LayoffsData[[#This Row],[date]],"yyyy-mm")</f>
        <v>2020-06</v>
      </c>
      <c r="H576" s="1" t="s">
        <v>24</v>
      </c>
      <c r="I576" s="1" t="s">
        <v>17</v>
      </c>
      <c r="J576">
        <v>58</v>
      </c>
    </row>
    <row r="577" spans="1:10" x14ac:dyDescent="0.25">
      <c r="A577" s="1" t="s">
        <v>652</v>
      </c>
      <c r="B577" s="1" t="s">
        <v>73</v>
      </c>
      <c r="C577" s="1" t="s">
        <v>149</v>
      </c>
      <c r="F577" s="2">
        <v>44959</v>
      </c>
      <c r="G577" s="2" t="str">
        <f>TEXT(LayoffsData[[#This Row],[date]],"yyyy-mm")</f>
        <v>2023-02</v>
      </c>
      <c r="H577" s="1" t="s">
        <v>11</v>
      </c>
      <c r="I577" s="1" t="s">
        <v>17</v>
      </c>
      <c r="J577">
        <v>811</v>
      </c>
    </row>
    <row r="578" spans="1:10" x14ac:dyDescent="0.25">
      <c r="A578" s="1" t="s">
        <v>652</v>
      </c>
      <c r="B578" s="1" t="s">
        <v>73</v>
      </c>
      <c r="C578" s="1" t="s">
        <v>149</v>
      </c>
      <c r="F578" s="2">
        <v>43949</v>
      </c>
      <c r="G578" s="2" t="str">
        <f>TEXT(LayoffsData[[#This Row],[date]],"yyyy-mm")</f>
        <v>2020-04</v>
      </c>
      <c r="H578" s="1" t="s">
        <v>16</v>
      </c>
      <c r="I578" s="1" t="s">
        <v>17</v>
      </c>
      <c r="J578">
        <v>436</v>
      </c>
    </row>
    <row r="579" spans="1:10" x14ac:dyDescent="0.25">
      <c r="A579" s="1" t="s">
        <v>652</v>
      </c>
      <c r="B579" s="1" t="s">
        <v>73</v>
      </c>
      <c r="C579" s="1" t="s">
        <v>149</v>
      </c>
      <c r="E579">
        <v>0.12</v>
      </c>
      <c r="F579" s="2">
        <v>44725</v>
      </c>
      <c r="G579" s="2" t="str">
        <f>TEXT(LayoffsData[[#This Row],[date]],"yyyy-mm")</f>
        <v>2022-06</v>
      </c>
      <c r="H579" s="1" t="s">
        <v>11</v>
      </c>
      <c r="I579" s="1" t="s">
        <v>17</v>
      </c>
      <c r="J579">
        <v>811</v>
      </c>
    </row>
    <row r="580" spans="1:10" x14ac:dyDescent="0.25">
      <c r="A580" s="1" t="s">
        <v>653</v>
      </c>
      <c r="B580" s="1" t="s">
        <v>73</v>
      </c>
      <c r="C580" s="1" t="s">
        <v>172</v>
      </c>
      <c r="E580">
        <v>0.15</v>
      </c>
      <c r="F580" s="2">
        <v>44886</v>
      </c>
      <c r="G580" s="2" t="str">
        <f>TEXT(LayoffsData[[#This Row],[date]],"yyyy-mm")</f>
        <v>2022-11</v>
      </c>
      <c r="H580" s="1" t="s">
        <v>86</v>
      </c>
      <c r="I580" s="1" t="s">
        <v>17</v>
      </c>
      <c r="J580">
        <v>481</v>
      </c>
    </row>
    <row r="581" spans="1:10" x14ac:dyDescent="0.25">
      <c r="A581" s="1" t="s">
        <v>654</v>
      </c>
      <c r="B581" s="1" t="s">
        <v>655</v>
      </c>
      <c r="C581" s="1" t="s">
        <v>20</v>
      </c>
      <c r="D581">
        <v>5</v>
      </c>
      <c r="E581">
        <v>0.14000000000000001</v>
      </c>
      <c r="F581" s="2">
        <v>43921</v>
      </c>
      <c r="G581" s="2" t="str">
        <f>TEXT(LayoffsData[[#This Row],[date]],"yyyy-mm")</f>
        <v>2020-03</v>
      </c>
      <c r="H581" s="1" t="s">
        <v>24</v>
      </c>
      <c r="I581" s="1" t="s">
        <v>17</v>
      </c>
      <c r="J581">
        <v>26</v>
      </c>
    </row>
    <row r="582" spans="1:10" x14ac:dyDescent="0.25">
      <c r="A582" s="1" t="s">
        <v>656</v>
      </c>
      <c r="B582" s="1" t="s">
        <v>71</v>
      </c>
      <c r="C582" s="1" t="s">
        <v>149</v>
      </c>
      <c r="F582" s="2">
        <v>44974</v>
      </c>
      <c r="G582" s="2" t="str">
        <f>TEXT(LayoffsData[[#This Row],[date]],"yyyy-mm")</f>
        <v>2023-02</v>
      </c>
      <c r="H582" s="1" t="s">
        <v>11</v>
      </c>
      <c r="I582" s="1" t="s">
        <v>17</v>
      </c>
      <c r="J582">
        <v>105</v>
      </c>
    </row>
    <row r="583" spans="1:10" x14ac:dyDescent="0.25">
      <c r="A583" s="1" t="s">
        <v>657</v>
      </c>
      <c r="B583" s="1" t="s">
        <v>658</v>
      </c>
      <c r="C583" s="1" t="s">
        <v>36</v>
      </c>
      <c r="D583">
        <v>10</v>
      </c>
      <c r="E583">
        <v>0.13</v>
      </c>
      <c r="F583" s="2">
        <v>44867</v>
      </c>
      <c r="G583" s="2" t="str">
        <f>TEXT(LayoffsData[[#This Row],[date]],"yyyy-mm")</f>
        <v>2022-11</v>
      </c>
      <c r="H583" s="1" t="s">
        <v>37</v>
      </c>
      <c r="I583" s="1" t="s">
        <v>17</v>
      </c>
    </row>
    <row r="584" spans="1:10" x14ac:dyDescent="0.25">
      <c r="A584" s="1" t="s">
        <v>659</v>
      </c>
      <c r="B584" s="1" t="s">
        <v>192</v>
      </c>
      <c r="C584" s="1" t="s">
        <v>36</v>
      </c>
      <c r="E584">
        <v>1</v>
      </c>
      <c r="F584" s="2">
        <v>44904</v>
      </c>
      <c r="G584" s="2" t="str">
        <f>TEXT(LayoffsData[[#This Row],[date]],"yyyy-mm")</f>
        <v>2022-12</v>
      </c>
      <c r="H584" s="1" t="s">
        <v>37</v>
      </c>
      <c r="I584" s="1" t="s">
        <v>46</v>
      </c>
    </row>
    <row r="585" spans="1:10" x14ac:dyDescent="0.25">
      <c r="A585" s="1" t="s">
        <v>660</v>
      </c>
      <c r="B585" s="1" t="s">
        <v>32</v>
      </c>
      <c r="C585" s="1" t="s">
        <v>124</v>
      </c>
      <c r="D585">
        <v>200</v>
      </c>
      <c r="E585">
        <v>0.11</v>
      </c>
      <c r="F585" s="2">
        <v>44972</v>
      </c>
      <c r="G585" s="2" t="str">
        <f>TEXT(LayoffsData[[#This Row],[date]],"yyyy-mm")</f>
        <v>2023-02</v>
      </c>
      <c r="H585" s="1" t="s">
        <v>11</v>
      </c>
      <c r="I585" s="1" t="s">
        <v>17</v>
      </c>
      <c r="J585">
        <v>491</v>
      </c>
    </row>
    <row r="586" spans="1:10" x14ac:dyDescent="0.25">
      <c r="A586" s="1" t="s">
        <v>661</v>
      </c>
      <c r="B586" s="1" t="s">
        <v>137</v>
      </c>
      <c r="C586" s="1" t="s">
        <v>598</v>
      </c>
      <c r="D586">
        <v>75</v>
      </c>
      <c r="F586" s="2">
        <v>43917</v>
      </c>
      <c r="G586" s="2" t="str">
        <f>TEXT(LayoffsData[[#This Row],[date]],"yyyy-mm")</f>
        <v>2020-03</v>
      </c>
      <c r="H586" s="1" t="s">
        <v>16</v>
      </c>
      <c r="I586" s="1" t="s">
        <v>17</v>
      </c>
      <c r="J586">
        <v>133</v>
      </c>
    </row>
    <row r="587" spans="1:10" x14ac:dyDescent="0.25">
      <c r="A587" s="1" t="s">
        <v>662</v>
      </c>
      <c r="B587" s="1" t="s">
        <v>73</v>
      </c>
      <c r="C587" s="1" t="s">
        <v>149</v>
      </c>
      <c r="E587">
        <v>0.38</v>
      </c>
      <c r="F587" s="2">
        <v>43938</v>
      </c>
      <c r="G587" s="2" t="str">
        <f>TEXT(LayoffsData[[#This Row],[date]],"yyyy-mm")</f>
        <v>2020-04</v>
      </c>
      <c r="H587" s="1" t="s">
        <v>21</v>
      </c>
      <c r="I587" s="1" t="s">
        <v>17</v>
      </c>
      <c r="J587">
        <v>18</v>
      </c>
    </row>
    <row r="588" spans="1:10" x14ac:dyDescent="0.25">
      <c r="A588" s="1" t="s">
        <v>663</v>
      </c>
      <c r="B588" s="1" t="s">
        <v>26</v>
      </c>
      <c r="C588" s="1" t="s">
        <v>10</v>
      </c>
      <c r="D588">
        <v>57</v>
      </c>
      <c r="E588">
        <v>0.36</v>
      </c>
      <c r="F588" s="2">
        <v>43945</v>
      </c>
      <c r="G588" s="2" t="str">
        <f>TEXT(LayoffsData[[#This Row],[date]],"yyyy-mm")</f>
        <v>2020-04</v>
      </c>
      <c r="H588" s="1" t="s">
        <v>24</v>
      </c>
      <c r="I588" s="1" t="s">
        <v>17</v>
      </c>
      <c r="J588">
        <v>88</v>
      </c>
    </row>
    <row r="589" spans="1:10" x14ac:dyDescent="0.25">
      <c r="A589" s="1" t="s">
        <v>664</v>
      </c>
      <c r="B589" s="1" t="s">
        <v>92</v>
      </c>
      <c r="C589" s="1" t="s">
        <v>68</v>
      </c>
      <c r="F589" s="2">
        <v>43970</v>
      </c>
      <c r="G589" s="2" t="str">
        <f>TEXT(LayoffsData[[#This Row],[date]],"yyyy-mm")</f>
        <v>2020-05</v>
      </c>
      <c r="H589" s="1" t="s">
        <v>28</v>
      </c>
      <c r="I589" s="1" t="s">
        <v>17</v>
      </c>
      <c r="J589">
        <v>252</v>
      </c>
    </row>
    <row r="590" spans="1:10" x14ac:dyDescent="0.25">
      <c r="A590" s="1" t="s">
        <v>665</v>
      </c>
      <c r="B590" s="1" t="s">
        <v>14</v>
      </c>
      <c r="C590" s="1" t="s">
        <v>174</v>
      </c>
      <c r="F590" s="2">
        <v>44972</v>
      </c>
      <c r="G590" s="2" t="str">
        <f>TEXT(LayoffsData[[#This Row],[date]],"yyyy-mm")</f>
        <v>2023-02</v>
      </c>
      <c r="H590" s="1" t="s">
        <v>24</v>
      </c>
      <c r="I590" s="1" t="s">
        <v>17</v>
      </c>
      <c r="J590">
        <v>180</v>
      </c>
    </row>
    <row r="591" spans="1:10" x14ac:dyDescent="0.25">
      <c r="A591" s="1" t="s">
        <v>665</v>
      </c>
      <c r="B591" s="1" t="s">
        <v>14</v>
      </c>
      <c r="C591" s="1" t="s">
        <v>174</v>
      </c>
      <c r="E591">
        <v>0.08</v>
      </c>
      <c r="F591" s="2">
        <v>43915</v>
      </c>
      <c r="G591" s="2" t="str">
        <f>TEXT(LayoffsData[[#This Row],[date]],"yyyy-mm")</f>
        <v>2020-03</v>
      </c>
      <c r="H591" s="1" t="s">
        <v>24</v>
      </c>
      <c r="I591" s="1" t="s">
        <v>17</v>
      </c>
      <c r="J591">
        <v>180</v>
      </c>
    </row>
    <row r="592" spans="1:10" x14ac:dyDescent="0.25">
      <c r="A592" s="1" t="s">
        <v>665</v>
      </c>
      <c r="B592" s="1" t="s">
        <v>14</v>
      </c>
      <c r="C592" s="1" t="s">
        <v>174</v>
      </c>
      <c r="D592">
        <v>40</v>
      </c>
      <c r="E592">
        <v>0.12</v>
      </c>
      <c r="F592" s="2">
        <v>44831</v>
      </c>
      <c r="G592" s="2" t="str">
        <f>TEXT(LayoffsData[[#This Row],[date]],"yyyy-mm")</f>
        <v>2022-09</v>
      </c>
      <c r="H592" s="1" t="s">
        <v>24</v>
      </c>
      <c r="I592" s="1" t="s">
        <v>17</v>
      </c>
      <c r="J592">
        <v>180</v>
      </c>
    </row>
    <row r="593" spans="1:10" x14ac:dyDescent="0.25">
      <c r="A593" s="1" t="s">
        <v>666</v>
      </c>
      <c r="B593" s="1" t="s">
        <v>667</v>
      </c>
      <c r="C593" s="1" t="s">
        <v>15</v>
      </c>
      <c r="D593">
        <v>62</v>
      </c>
      <c r="F593" s="2">
        <v>44687</v>
      </c>
      <c r="G593" s="2" t="str">
        <f>TEXT(LayoffsData[[#This Row],[date]],"yyyy-mm")</f>
        <v>2022-05</v>
      </c>
      <c r="H593" s="1" t="s">
        <v>57</v>
      </c>
      <c r="I593" s="1" t="s">
        <v>17</v>
      </c>
      <c r="J593">
        <v>0</v>
      </c>
    </row>
    <row r="594" spans="1:10" x14ac:dyDescent="0.25">
      <c r="A594" s="1" t="s">
        <v>668</v>
      </c>
      <c r="B594" s="1" t="s">
        <v>14</v>
      </c>
      <c r="C594" s="1" t="s">
        <v>27</v>
      </c>
      <c r="F594" s="2">
        <v>44251</v>
      </c>
      <c r="G594" s="2" t="str">
        <f>TEXT(LayoffsData[[#This Row],[date]],"yyyy-mm")</f>
        <v>2021-02</v>
      </c>
      <c r="H594" s="1" t="s">
        <v>37</v>
      </c>
      <c r="I594" s="1" t="s">
        <v>17</v>
      </c>
      <c r="J594">
        <v>105</v>
      </c>
    </row>
    <row r="595" spans="1:10" x14ac:dyDescent="0.25">
      <c r="A595" s="1" t="s">
        <v>668</v>
      </c>
      <c r="B595" s="1" t="s">
        <v>324</v>
      </c>
      <c r="C595" s="1" t="s">
        <v>27</v>
      </c>
      <c r="F595" s="2">
        <v>44060</v>
      </c>
      <c r="G595" s="2" t="str">
        <f>TEXT(LayoffsData[[#This Row],[date]],"yyyy-mm")</f>
        <v>2020-08</v>
      </c>
      <c r="H595" s="1" t="s">
        <v>37</v>
      </c>
      <c r="I595" s="1" t="s">
        <v>296</v>
      </c>
      <c r="J595">
        <v>105</v>
      </c>
    </row>
    <row r="596" spans="1:10" x14ac:dyDescent="0.25">
      <c r="A596" s="1" t="s">
        <v>669</v>
      </c>
      <c r="B596" s="1" t="s">
        <v>35</v>
      </c>
      <c r="C596" s="1" t="s">
        <v>68</v>
      </c>
      <c r="D596">
        <v>190</v>
      </c>
      <c r="E596">
        <v>0.12</v>
      </c>
      <c r="F596" s="2">
        <v>44872</v>
      </c>
      <c r="G596" s="2" t="str">
        <f>TEXT(LayoffsData[[#This Row],[date]],"yyyy-mm")</f>
        <v>2022-11</v>
      </c>
      <c r="H596" s="1" t="s">
        <v>105</v>
      </c>
      <c r="I596" s="1" t="s">
        <v>38</v>
      </c>
      <c r="J596">
        <v>280</v>
      </c>
    </row>
    <row r="597" spans="1:10" x14ac:dyDescent="0.25">
      <c r="A597" s="1" t="s">
        <v>670</v>
      </c>
      <c r="B597" s="1" t="s">
        <v>200</v>
      </c>
      <c r="C597" s="1" t="s">
        <v>15</v>
      </c>
      <c r="D597">
        <v>8</v>
      </c>
      <c r="E597">
        <v>0.8</v>
      </c>
      <c r="F597" s="2">
        <v>44062</v>
      </c>
      <c r="G597" s="2" t="str">
        <f>TEXT(LayoffsData[[#This Row],[date]],"yyyy-mm")</f>
        <v>2020-08</v>
      </c>
      <c r="H597" s="1" t="s">
        <v>131</v>
      </c>
      <c r="I597" s="1" t="s">
        <v>201</v>
      </c>
      <c r="J597">
        <v>16</v>
      </c>
    </row>
    <row r="598" spans="1:10" x14ac:dyDescent="0.25">
      <c r="A598" s="1" t="s">
        <v>671</v>
      </c>
      <c r="B598" s="1" t="s">
        <v>14</v>
      </c>
      <c r="C598" s="1" t="s">
        <v>48</v>
      </c>
      <c r="D598">
        <v>671</v>
      </c>
      <c r="E598">
        <v>0.09</v>
      </c>
      <c r="F598" s="2">
        <v>44832</v>
      </c>
      <c r="G598" s="2" t="str">
        <f>TEXT(LayoffsData[[#This Row],[date]],"yyyy-mm")</f>
        <v>2022-09</v>
      </c>
      <c r="H598" s="1" t="s">
        <v>11</v>
      </c>
      <c r="I598" s="1" t="s">
        <v>17</v>
      </c>
      <c r="J598">
        <v>536</v>
      </c>
    </row>
    <row r="599" spans="1:10" x14ac:dyDescent="0.25">
      <c r="A599" s="1" t="s">
        <v>671</v>
      </c>
      <c r="B599" s="1" t="s">
        <v>14</v>
      </c>
      <c r="C599" s="1" t="s">
        <v>48</v>
      </c>
      <c r="D599">
        <v>680</v>
      </c>
      <c r="E599">
        <v>0.1</v>
      </c>
      <c r="F599" s="2">
        <v>44973</v>
      </c>
      <c r="G599" s="2" t="str">
        <f>TEXT(LayoffsData[[#This Row],[date]],"yyyy-mm")</f>
        <v>2023-02</v>
      </c>
      <c r="H599" s="1" t="s">
        <v>11</v>
      </c>
      <c r="I599" s="1" t="s">
        <v>17</v>
      </c>
      <c r="J599">
        <v>536</v>
      </c>
    </row>
    <row r="600" spans="1:10" x14ac:dyDescent="0.25">
      <c r="A600" s="1" t="s">
        <v>672</v>
      </c>
      <c r="B600" s="1" t="s">
        <v>14</v>
      </c>
      <c r="C600" s="1" t="s">
        <v>68</v>
      </c>
      <c r="D600">
        <v>250</v>
      </c>
      <c r="E600">
        <v>0.13</v>
      </c>
      <c r="F600" s="2">
        <v>44777</v>
      </c>
      <c r="G600" s="2" t="str">
        <f>TEXT(LayoffsData[[#This Row],[date]],"yyyy-mm")</f>
        <v>2022-08</v>
      </c>
      <c r="H600" s="1" t="s">
        <v>11</v>
      </c>
      <c r="I600" s="1" t="s">
        <v>17</v>
      </c>
      <c r="J600">
        <v>679</v>
      </c>
    </row>
    <row r="601" spans="1:10" x14ac:dyDescent="0.25">
      <c r="A601" s="1" t="s">
        <v>672</v>
      </c>
      <c r="B601" s="1" t="s">
        <v>14</v>
      </c>
      <c r="C601" s="1" t="s">
        <v>68</v>
      </c>
      <c r="D601">
        <v>310</v>
      </c>
      <c r="E601">
        <v>0.15</v>
      </c>
      <c r="F601" s="2">
        <v>44691</v>
      </c>
      <c r="G601" s="2" t="str">
        <f>TEXT(LayoffsData[[#This Row],[date]],"yyyy-mm")</f>
        <v>2022-05</v>
      </c>
      <c r="H601" s="1" t="s">
        <v>11</v>
      </c>
      <c r="I601" s="1" t="s">
        <v>17</v>
      </c>
      <c r="J601">
        <v>679</v>
      </c>
    </row>
    <row r="602" spans="1:10" x14ac:dyDescent="0.25">
      <c r="A602" s="1" t="s">
        <v>672</v>
      </c>
      <c r="B602" s="1" t="s">
        <v>14</v>
      </c>
      <c r="C602" s="1" t="s">
        <v>68</v>
      </c>
      <c r="D602">
        <v>515</v>
      </c>
      <c r="E602">
        <v>0.4</v>
      </c>
      <c r="F602" s="2">
        <v>44901</v>
      </c>
      <c r="G602" s="2" t="str">
        <f>TEXT(LayoffsData[[#This Row],[date]],"yyyy-mm")</f>
        <v>2022-12</v>
      </c>
      <c r="H602" s="1" t="s">
        <v>11</v>
      </c>
      <c r="I602" s="1" t="s">
        <v>17</v>
      </c>
      <c r="J602">
        <v>679</v>
      </c>
    </row>
    <row r="603" spans="1:10" x14ac:dyDescent="0.25">
      <c r="A603" s="1" t="s">
        <v>673</v>
      </c>
      <c r="B603" s="1" t="s">
        <v>14</v>
      </c>
      <c r="C603" s="1" t="s">
        <v>41</v>
      </c>
      <c r="D603">
        <v>150</v>
      </c>
      <c r="E603">
        <v>0.19</v>
      </c>
      <c r="F603" s="2">
        <v>44679</v>
      </c>
      <c r="G603" s="2" t="str">
        <f>TEXT(LayoffsData[[#This Row],[date]],"yyyy-mm")</f>
        <v>2022-04</v>
      </c>
      <c r="H603" s="1" t="s">
        <v>33</v>
      </c>
      <c r="I603" s="1" t="s">
        <v>17</v>
      </c>
      <c r="J603">
        <v>130</v>
      </c>
    </row>
    <row r="604" spans="1:10" x14ac:dyDescent="0.25">
      <c r="A604" s="1" t="s">
        <v>674</v>
      </c>
      <c r="B604" s="1" t="s">
        <v>14</v>
      </c>
      <c r="C604" s="1" t="s">
        <v>74</v>
      </c>
      <c r="E604">
        <v>0.25</v>
      </c>
      <c r="F604" s="2">
        <v>44872</v>
      </c>
      <c r="G604" s="2" t="str">
        <f>TEXT(LayoffsData[[#This Row],[date]],"yyyy-mm")</f>
        <v>2022-11</v>
      </c>
      <c r="H604" s="1" t="s">
        <v>86</v>
      </c>
      <c r="I604" s="1" t="s">
        <v>17</v>
      </c>
      <c r="J604">
        <v>223</v>
      </c>
    </row>
    <row r="605" spans="1:10" x14ac:dyDescent="0.25">
      <c r="A605" s="1" t="s">
        <v>675</v>
      </c>
      <c r="B605" s="1" t="s">
        <v>32</v>
      </c>
      <c r="C605" s="1" t="s">
        <v>174</v>
      </c>
      <c r="E605">
        <v>0.5</v>
      </c>
      <c r="F605" s="2">
        <v>44153</v>
      </c>
      <c r="G605" s="2" t="str">
        <f>TEXT(LayoffsData[[#This Row],[date]],"yyyy-mm")</f>
        <v>2020-11</v>
      </c>
      <c r="H605" s="1" t="s">
        <v>24</v>
      </c>
      <c r="I605" s="1" t="s">
        <v>17</v>
      </c>
      <c r="J605">
        <v>116</v>
      </c>
    </row>
    <row r="606" spans="1:10" x14ac:dyDescent="0.25">
      <c r="A606" s="1" t="s">
        <v>675</v>
      </c>
      <c r="B606" s="1" t="s">
        <v>32</v>
      </c>
      <c r="C606" s="1" t="s">
        <v>84</v>
      </c>
      <c r="E606">
        <v>0.3</v>
      </c>
      <c r="F606" s="2">
        <v>43921</v>
      </c>
      <c r="G606" s="2" t="str">
        <f>TEXT(LayoffsData[[#This Row],[date]],"yyyy-mm")</f>
        <v>2020-03</v>
      </c>
      <c r="H606" s="1" t="s">
        <v>24</v>
      </c>
      <c r="I606" s="1" t="s">
        <v>17</v>
      </c>
      <c r="J606">
        <v>116</v>
      </c>
    </row>
    <row r="607" spans="1:10" x14ac:dyDescent="0.25">
      <c r="A607" s="1" t="s">
        <v>676</v>
      </c>
      <c r="B607" s="1" t="s">
        <v>92</v>
      </c>
      <c r="C607" s="1" t="s">
        <v>74</v>
      </c>
      <c r="D607">
        <v>90</v>
      </c>
      <c r="E607">
        <v>0.1</v>
      </c>
      <c r="F607" s="2">
        <v>43930</v>
      </c>
      <c r="G607" s="2" t="str">
        <f>TEXT(LayoffsData[[#This Row],[date]],"yyyy-mm")</f>
        <v>2020-04</v>
      </c>
      <c r="H607" s="1" t="s">
        <v>11</v>
      </c>
      <c r="I607" s="1" t="s">
        <v>17</v>
      </c>
      <c r="J607">
        <v>689</v>
      </c>
    </row>
    <row r="608" spans="1:10" x14ac:dyDescent="0.25">
      <c r="A608" s="1" t="s">
        <v>677</v>
      </c>
      <c r="B608" s="1" t="s">
        <v>60</v>
      </c>
      <c r="C608" s="1" t="s">
        <v>48</v>
      </c>
      <c r="D608">
        <v>12</v>
      </c>
      <c r="F608" s="2">
        <v>44782</v>
      </c>
      <c r="G608" s="2" t="str">
        <f>TEXT(LayoffsData[[#This Row],[date]],"yyyy-mm")</f>
        <v>2022-08</v>
      </c>
      <c r="H608" s="1" t="s">
        <v>24</v>
      </c>
      <c r="I608" s="1" t="s">
        <v>12</v>
      </c>
      <c r="J608">
        <v>102</v>
      </c>
    </row>
    <row r="609" spans="1:10" x14ac:dyDescent="0.25">
      <c r="A609" s="1" t="s">
        <v>678</v>
      </c>
      <c r="B609" s="1" t="s">
        <v>14</v>
      </c>
      <c r="C609" s="1" t="s">
        <v>51</v>
      </c>
      <c r="D609">
        <v>1250</v>
      </c>
      <c r="E609">
        <v>0.06</v>
      </c>
      <c r="F609" s="2">
        <v>44895</v>
      </c>
      <c r="G609" s="2" t="str">
        <f>TEXT(LayoffsData[[#This Row],[date]],"yyyy-mm")</f>
        <v>2022-11</v>
      </c>
      <c r="H609" s="1" t="s">
        <v>11</v>
      </c>
      <c r="I609" s="1" t="s">
        <v>17</v>
      </c>
      <c r="J609">
        <v>2500</v>
      </c>
    </row>
    <row r="610" spans="1:10" x14ac:dyDescent="0.25">
      <c r="A610" s="1" t="s">
        <v>679</v>
      </c>
      <c r="B610" s="1" t="s">
        <v>200</v>
      </c>
      <c r="C610" s="1" t="s">
        <v>113</v>
      </c>
      <c r="D610">
        <v>10</v>
      </c>
      <c r="E610">
        <v>1</v>
      </c>
      <c r="F610" s="2">
        <v>43970</v>
      </c>
      <c r="G610" s="2" t="str">
        <f>TEXT(LayoffsData[[#This Row],[date]],"yyyy-mm")</f>
        <v>2020-05</v>
      </c>
      <c r="H610" s="1" t="s">
        <v>37</v>
      </c>
      <c r="I610" s="1" t="s">
        <v>201</v>
      </c>
    </row>
    <row r="611" spans="1:10" x14ac:dyDescent="0.25">
      <c r="A611" s="1" t="s">
        <v>680</v>
      </c>
      <c r="B611" s="1" t="s">
        <v>14</v>
      </c>
      <c r="C611" s="1" t="s">
        <v>165</v>
      </c>
      <c r="D611">
        <v>23</v>
      </c>
      <c r="E611">
        <v>0.3</v>
      </c>
      <c r="F611" s="2">
        <v>44768</v>
      </c>
      <c r="G611" s="2" t="str">
        <f>TEXT(LayoffsData[[#This Row],[date]],"yyyy-mm")</f>
        <v>2022-07</v>
      </c>
      <c r="H611" s="1" t="s">
        <v>21</v>
      </c>
      <c r="I611" s="1" t="s">
        <v>17</v>
      </c>
      <c r="J611">
        <v>22</v>
      </c>
    </row>
    <row r="612" spans="1:10" x14ac:dyDescent="0.25">
      <c r="A612" s="1" t="s">
        <v>681</v>
      </c>
      <c r="B612" s="1" t="s">
        <v>73</v>
      </c>
      <c r="C612" s="1" t="s">
        <v>27</v>
      </c>
      <c r="D612">
        <v>140</v>
      </c>
      <c r="E612">
        <v>0.04</v>
      </c>
      <c r="F612" s="2">
        <v>44958</v>
      </c>
      <c r="G612" s="2" t="str">
        <f>TEXT(LayoffsData[[#This Row],[date]],"yyyy-mm")</f>
        <v>2023-02</v>
      </c>
      <c r="H612" s="1" t="s">
        <v>11</v>
      </c>
      <c r="I612" s="1" t="s">
        <v>17</v>
      </c>
      <c r="J612">
        <v>719</v>
      </c>
    </row>
    <row r="613" spans="1:10" x14ac:dyDescent="0.25">
      <c r="A613" s="1" t="s">
        <v>682</v>
      </c>
      <c r="B613" s="1" t="s">
        <v>55</v>
      </c>
      <c r="C613" s="1" t="s">
        <v>41</v>
      </c>
      <c r="F613" s="2">
        <v>44813</v>
      </c>
      <c r="G613" s="2" t="str">
        <f>TEXT(LayoffsData[[#This Row],[date]],"yyyy-mm")</f>
        <v>2022-09</v>
      </c>
      <c r="H613" s="1" t="s">
        <v>57</v>
      </c>
      <c r="I613" s="1" t="s">
        <v>17</v>
      </c>
      <c r="J613">
        <v>175</v>
      </c>
    </row>
    <row r="614" spans="1:10" x14ac:dyDescent="0.25">
      <c r="A614" s="1" t="s">
        <v>683</v>
      </c>
      <c r="B614" s="1" t="s">
        <v>73</v>
      </c>
      <c r="C614" s="1" t="s">
        <v>20</v>
      </c>
      <c r="D614">
        <v>59</v>
      </c>
      <c r="F614" s="2">
        <v>44963</v>
      </c>
      <c r="G614" s="2" t="str">
        <f>TEXT(LayoffsData[[#This Row],[date]],"yyyy-mm")</f>
        <v>2023-02</v>
      </c>
      <c r="H614" s="1" t="s">
        <v>57</v>
      </c>
      <c r="I614" s="1" t="s">
        <v>17</v>
      </c>
      <c r="J614">
        <v>107</v>
      </c>
    </row>
    <row r="615" spans="1:10" x14ac:dyDescent="0.25">
      <c r="A615" s="1" t="s">
        <v>684</v>
      </c>
      <c r="B615" s="1" t="s">
        <v>92</v>
      </c>
      <c r="C615" s="1" t="s">
        <v>20</v>
      </c>
      <c r="D615">
        <v>20</v>
      </c>
      <c r="F615" s="2">
        <v>43913</v>
      </c>
      <c r="G615" s="2" t="str">
        <f>TEXT(LayoffsData[[#This Row],[date]],"yyyy-mm")</f>
        <v>2020-03</v>
      </c>
      <c r="H615" s="1" t="s">
        <v>57</v>
      </c>
      <c r="I615" s="1" t="s">
        <v>17</v>
      </c>
      <c r="J615">
        <v>0</v>
      </c>
    </row>
    <row r="616" spans="1:10" x14ac:dyDescent="0.25">
      <c r="A616" s="1" t="s">
        <v>685</v>
      </c>
      <c r="B616" s="1" t="s">
        <v>686</v>
      </c>
      <c r="C616" s="1" t="s">
        <v>68</v>
      </c>
      <c r="E616">
        <v>0.2</v>
      </c>
      <c r="F616" s="2">
        <v>44952</v>
      </c>
      <c r="G616" s="2" t="str">
        <f>TEXT(LayoffsData[[#This Row],[date]],"yyyy-mm")</f>
        <v>2023-01</v>
      </c>
      <c r="H616" s="1" t="s">
        <v>33</v>
      </c>
      <c r="I616" s="1" t="s">
        <v>17</v>
      </c>
      <c r="J616">
        <v>550</v>
      </c>
    </row>
    <row r="617" spans="1:10" x14ac:dyDescent="0.25">
      <c r="A617" s="1" t="s">
        <v>687</v>
      </c>
      <c r="B617" s="1" t="s">
        <v>9</v>
      </c>
      <c r="C617" s="1" t="s">
        <v>20</v>
      </c>
      <c r="D617">
        <v>24</v>
      </c>
      <c r="F617" s="2">
        <v>44866</v>
      </c>
      <c r="G617" s="2" t="str">
        <f>TEXT(LayoffsData[[#This Row],[date]],"yyyy-mm")</f>
        <v>2022-11</v>
      </c>
      <c r="H617" s="1" t="s">
        <v>24</v>
      </c>
      <c r="I617" s="1" t="s">
        <v>12</v>
      </c>
      <c r="J617">
        <v>56</v>
      </c>
    </row>
    <row r="618" spans="1:10" x14ac:dyDescent="0.25">
      <c r="A618" s="1" t="s">
        <v>688</v>
      </c>
      <c r="B618" s="1" t="s">
        <v>14</v>
      </c>
      <c r="C618" s="1" t="s">
        <v>149</v>
      </c>
      <c r="D618">
        <v>315</v>
      </c>
      <c r="E618">
        <v>0.15</v>
      </c>
      <c r="F618" s="2">
        <v>44209</v>
      </c>
      <c r="G618" s="2" t="str">
        <f>TEXT(LayoffsData[[#This Row],[date]],"yyyy-mm")</f>
        <v>2021-01</v>
      </c>
      <c r="H618" s="1" t="s">
        <v>11</v>
      </c>
      <c r="I618" s="1" t="s">
        <v>17</v>
      </c>
      <c r="J618">
        <v>1700</v>
      </c>
    </row>
    <row r="619" spans="1:10" x14ac:dyDescent="0.25">
      <c r="A619" s="1" t="s">
        <v>689</v>
      </c>
      <c r="B619" s="1" t="s">
        <v>92</v>
      </c>
      <c r="C619" s="1" t="s">
        <v>29</v>
      </c>
      <c r="D619">
        <v>12</v>
      </c>
      <c r="F619" s="2">
        <v>43924</v>
      </c>
      <c r="G619" s="2" t="str">
        <f>TEXT(LayoffsData[[#This Row],[date]],"yyyy-mm")</f>
        <v>2020-04</v>
      </c>
      <c r="H619" s="1" t="s">
        <v>21</v>
      </c>
      <c r="I619" s="1" t="s">
        <v>17</v>
      </c>
      <c r="J619">
        <v>4</v>
      </c>
    </row>
    <row r="620" spans="1:10" x14ac:dyDescent="0.25">
      <c r="A620" s="1" t="s">
        <v>690</v>
      </c>
      <c r="B620" s="1" t="s">
        <v>691</v>
      </c>
      <c r="C620" s="1" t="s">
        <v>149</v>
      </c>
      <c r="E620">
        <v>0.2</v>
      </c>
      <c r="F620" s="2">
        <v>43936</v>
      </c>
      <c r="G620" s="2" t="str">
        <f>TEXT(LayoffsData[[#This Row],[date]],"yyyy-mm")</f>
        <v>2020-04</v>
      </c>
      <c r="H620" s="1" t="s">
        <v>57</v>
      </c>
      <c r="I620" s="1" t="s">
        <v>17</v>
      </c>
      <c r="J620">
        <v>100</v>
      </c>
    </row>
    <row r="621" spans="1:10" x14ac:dyDescent="0.25">
      <c r="A621" s="1" t="s">
        <v>692</v>
      </c>
      <c r="B621" s="1" t="s">
        <v>293</v>
      </c>
      <c r="C621" s="1" t="s">
        <v>29</v>
      </c>
      <c r="D621">
        <v>23</v>
      </c>
      <c r="F621" s="2">
        <v>44865</v>
      </c>
      <c r="G621" s="2" t="str">
        <f>TEXT(LayoffsData[[#This Row],[date]],"yyyy-mm")</f>
        <v>2022-10</v>
      </c>
      <c r="H621" s="1" t="s">
        <v>21</v>
      </c>
      <c r="I621" s="1" t="s">
        <v>69</v>
      </c>
      <c r="J621">
        <v>17</v>
      </c>
    </row>
    <row r="622" spans="1:10" x14ac:dyDescent="0.25">
      <c r="A622" s="1" t="s">
        <v>693</v>
      </c>
      <c r="B622" s="1" t="s">
        <v>293</v>
      </c>
      <c r="C622" s="1" t="s">
        <v>51</v>
      </c>
      <c r="E622">
        <v>0.03</v>
      </c>
      <c r="F622" s="2">
        <v>44942</v>
      </c>
      <c r="G622" s="2" t="str">
        <f>TEXT(LayoffsData[[#This Row],[date]],"yyyy-mm")</f>
        <v>2023-01</v>
      </c>
      <c r="H622" s="1" t="s">
        <v>37</v>
      </c>
      <c r="I622" s="1" t="s">
        <v>69</v>
      </c>
      <c r="J622">
        <v>382</v>
      </c>
    </row>
    <row r="623" spans="1:10" x14ac:dyDescent="0.25">
      <c r="A623" s="1" t="s">
        <v>694</v>
      </c>
      <c r="B623" s="1" t="s">
        <v>695</v>
      </c>
      <c r="C623" s="1" t="s">
        <v>149</v>
      </c>
      <c r="D623">
        <v>50</v>
      </c>
      <c r="E623">
        <v>7.0000000000000007E-2</v>
      </c>
      <c r="F623" s="2">
        <v>44718</v>
      </c>
      <c r="G623" s="2" t="str">
        <f>TEXT(LayoffsData[[#This Row],[date]],"yyyy-mm")</f>
        <v>2022-06</v>
      </c>
      <c r="H623" s="1" t="s">
        <v>33</v>
      </c>
      <c r="I623" s="1" t="s">
        <v>17</v>
      </c>
      <c r="J623">
        <v>603</v>
      </c>
    </row>
    <row r="624" spans="1:10" x14ac:dyDescent="0.25">
      <c r="A624" s="1" t="s">
        <v>696</v>
      </c>
      <c r="B624" s="1" t="s">
        <v>293</v>
      </c>
      <c r="C624" s="1" t="s">
        <v>41</v>
      </c>
      <c r="E624">
        <v>1</v>
      </c>
      <c r="F624" s="2">
        <v>44985</v>
      </c>
      <c r="G624" s="2" t="str">
        <f>TEXT(LayoffsData[[#This Row],[date]],"yyyy-mm")</f>
        <v>2023-02</v>
      </c>
      <c r="H624" s="1" t="s">
        <v>37</v>
      </c>
      <c r="I624" s="1" t="s">
        <v>69</v>
      </c>
    </row>
    <row r="625" spans="1:10" x14ac:dyDescent="0.25">
      <c r="A625" s="1" t="s">
        <v>697</v>
      </c>
      <c r="B625" s="1" t="s">
        <v>14</v>
      </c>
      <c r="C625" s="1" t="s">
        <v>147</v>
      </c>
      <c r="D625">
        <v>35</v>
      </c>
      <c r="E625">
        <v>0.19</v>
      </c>
      <c r="F625" s="2">
        <v>43923</v>
      </c>
      <c r="G625" s="2" t="str">
        <f>TEXT(LayoffsData[[#This Row],[date]],"yyyy-mm")</f>
        <v>2020-04</v>
      </c>
      <c r="H625" s="1" t="s">
        <v>16</v>
      </c>
      <c r="I625" s="1" t="s">
        <v>17</v>
      </c>
      <c r="J625">
        <v>114</v>
      </c>
    </row>
    <row r="626" spans="1:10" x14ac:dyDescent="0.25">
      <c r="A626" s="1" t="s">
        <v>698</v>
      </c>
      <c r="B626" s="1" t="s">
        <v>14</v>
      </c>
      <c r="C626" s="1" t="s">
        <v>68</v>
      </c>
      <c r="D626">
        <v>50</v>
      </c>
      <c r="E626">
        <v>0.2</v>
      </c>
      <c r="F626" s="2">
        <v>43922</v>
      </c>
      <c r="G626" s="2" t="str">
        <f>TEXT(LayoffsData[[#This Row],[date]],"yyyy-mm")</f>
        <v>2020-04</v>
      </c>
      <c r="H626" s="1" t="s">
        <v>28</v>
      </c>
      <c r="I626" s="1" t="s">
        <v>17</v>
      </c>
      <c r="J626">
        <v>190</v>
      </c>
    </row>
    <row r="627" spans="1:10" x14ac:dyDescent="0.25">
      <c r="A627" s="1" t="s">
        <v>699</v>
      </c>
      <c r="B627" s="1" t="s">
        <v>374</v>
      </c>
      <c r="C627" s="1" t="s">
        <v>10</v>
      </c>
      <c r="E627">
        <v>1</v>
      </c>
      <c r="F627" s="2">
        <v>44945</v>
      </c>
      <c r="G627" s="2" t="str">
        <f>TEXT(LayoffsData[[#This Row],[date]],"yyyy-mm")</f>
        <v>2023-01</v>
      </c>
      <c r="H627" s="1" t="s">
        <v>37</v>
      </c>
      <c r="I627" s="1" t="s">
        <v>17</v>
      </c>
      <c r="J627">
        <v>2</v>
      </c>
    </row>
    <row r="628" spans="1:10" x14ac:dyDescent="0.25">
      <c r="A628" s="1" t="s">
        <v>700</v>
      </c>
      <c r="B628" s="1" t="s">
        <v>92</v>
      </c>
      <c r="C628" s="1" t="s">
        <v>108</v>
      </c>
      <c r="D628">
        <v>75</v>
      </c>
      <c r="F628" s="2">
        <v>43901</v>
      </c>
      <c r="G628" s="2" t="str">
        <f>TEXT(LayoffsData[[#This Row],[date]],"yyyy-mm")</f>
        <v>2020-03</v>
      </c>
      <c r="H628" s="1" t="s">
        <v>21</v>
      </c>
      <c r="I628" s="1" t="s">
        <v>17</v>
      </c>
      <c r="J628">
        <v>12</v>
      </c>
    </row>
    <row r="629" spans="1:10" x14ac:dyDescent="0.25">
      <c r="A629" s="1" t="s">
        <v>700</v>
      </c>
      <c r="B629" s="1" t="s">
        <v>14</v>
      </c>
      <c r="C629" s="1" t="s">
        <v>108</v>
      </c>
      <c r="D629">
        <v>50</v>
      </c>
      <c r="E629">
        <v>0.25</v>
      </c>
      <c r="F629" s="2">
        <v>43934</v>
      </c>
      <c r="G629" s="2" t="str">
        <f>TEXT(LayoffsData[[#This Row],[date]],"yyyy-mm")</f>
        <v>2020-04</v>
      </c>
      <c r="H629" s="1" t="s">
        <v>21</v>
      </c>
      <c r="I629" s="1" t="s">
        <v>17</v>
      </c>
      <c r="J629">
        <v>12</v>
      </c>
    </row>
    <row r="630" spans="1:10" x14ac:dyDescent="0.25">
      <c r="A630" s="1" t="s">
        <v>701</v>
      </c>
      <c r="B630" s="1" t="s">
        <v>14</v>
      </c>
      <c r="C630" s="1" t="s">
        <v>51</v>
      </c>
      <c r="D630">
        <v>40</v>
      </c>
      <c r="F630" s="2">
        <v>44981</v>
      </c>
      <c r="G630" s="2" t="str">
        <f>TEXT(LayoffsData[[#This Row],[date]],"yyyy-mm")</f>
        <v>2023-02</v>
      </c>
      <c r="H630" s="1" t="s">
        <v>37</v>
      </c>
      <c r="I630" s="1" t="s">
        <v>17</v>
      </c>
      <c r="J630">
        <v>465</v>
      </c>
    </row>
    <row r="631" spans="1:10" x14ac:dyDescent="0.25">
      <c r="A631" s="1" t="s">
        <v>702</v>
      </c>
      <c r="B631" s="1" t="s">
        <v>101</v>
      </c>
      <c r="C631" s="1" t="s">
        <v>51</v>
      </c>
      <c r="D631">
        <v>20</v>
      </c>
      <c r="E631">
        <v>1</v>
      </c>
      <c r="F631" s="2">
        <v>44051</v>
      </c>
      <c r="G631" s="2" t="str">
        <f>TEXT(LayoffsData[[#This Row],[date]],"yyyy-mm")</f>
        <v>2020-08</v>
      </c>
      <c r="H631" s="1" t="s">
        <v>131</v>
      </c>
      <c r="I631" s="1" t="s">
        <v>101</v>
      </c>
      <c r="J631">
        <v>1</v>
      </c>
    </row>
    <row r="632" spans="1:10" x14ac:dyDescent="0.25">
      <c r="A632" s="1" t="s">
        <v>703</v>
      </c>
      <c r="B632" s="1" t="s">
        <v>14</v>
      </c>
      <c r="C632" s="1" t="s">
        <v>27</v>
      </c>
      <c r="D632">
        <v>25</v>
      </c>
      <c r="F632" s="2">
        <v>44713</v>
      </c>
      <c r="G632" s="2" t="str">
        <f>TEXT(LayoffsData[[#This Row],[date]],"yyyy-mm")</f>
        <v>2022-06</v>
      </c>
      <c r="H632" s="1" t="s">
        <v>33</v>
      </c>
      <c r="I632" s="1" t="s">
        <v>17</v>
      </c>
      <c r="J632">
        <v>202</v>
      </c>
    </row>
    <row r="633" spans="1:10" x14ac:dyDescent="0.25">
      <c r="A633" s="1" t="s">
        <v>704</v>
      </c>
      <c r="B633" s="1" t="s">
        <v>264</v>
      </c>
      <c r="C633" s="1" t="s">
        <v>68</v>
      </c>
      <c r="D633">
        <v>62</v>
      </c>
      <c r="E633">
        <v>0.08</v>
      </c>
      <c r="F633" s="2">
        <v>43978</v>
      </c>
      <c r="G633" s="2" t="str">
        <f>TEXT(LayoffsData[[#This Row],[date]],"yyyy-mm")</f>
        <v>2020-05</v>
      </c>
      <c r="H633" s="1" t="s">
        <v>37</v>
      </c>
      <c r="I633" s="1" t="s">
        <v>38</v>
      </c>
      <c r="J633">
        <v>30</v>
      </c>
    </row>
    <row r="634" spans="1:10" x14ac:dyDescent="0.25">
      <c r="A634" s="1" t="s">
        <v>704</v>
      </c>
      <c r="B634" s="1" t="s">
        <v>264</v>
      </c>
      <c r="C634" s="1" t="s">
        <v>68</v>
      </c>
      <c r="D634">
        <v>340</v>
      </c>
      <c r="E634">
        <v>0.2</v>
      </c>
      <c r="F634" s="2">
        <v>44733</v>
      </c>
      <c r="G634" s="2" t="str">
        <f>TEXT(LayoffsData[[#This Row],[date]],"yyyy-mm")</f>
        <v>2022-06</v>
      </c>
      <c r="H634" s="1" t="s">
        <v>24</v>
      </c>
      <c r="I634" s="1" t="s">
        <v>38</v>
      </c>
      <c r="J634">
        <v>460</v>
      </c>
    </row>
    <row r="635" spans="1:10" x14ac:dyDescent="0.25">
      <c r="A635" s="1" t="s">
        <v>705</v>
      </c>
      <c r="B635" s="1" t="s">
        <v>14</v>
      </c>
      <c r="C635" s="1" t="s">
        <v>29</v>
      </c>
      <c r="D635">
        <v>500</v>
      </c>
      <c r="E635">
        <v>0.04</v>
      </c>
      <c r="F635" s="2">
        <v>44964</v>
      </c>
      <c r="G635" s="2" t="str">
        <f>TEXT(LayoffsData[[#This Row],[date]],"yyyy-mm")</f>
        <v>2023-02</v>
      </c>
      <c r="H635" s="1" t="s">
        <v>11</v>
      </c>
      <c r="I635" s="1" t="s">
        <v>17</v>
      </c>
      <c r="J635">
        <v>1200</v>
      </c>
    </row>
    <row r="636" spans="1:10" x14ac:dyDescent="0.25">
      <c r="A636" s="1" t="s">
        <v>706</v>
      </c>
      <c r="B636" s="1" t="s">
        <v>9</v>
      </c>
      <c r="C636" s="1" t="s">
        <v>45</v>
      </c>
      <c r="D636">
        <v>47</v>
      </c>
      <c r="E636">
        <v>0.1</v>
      </c>
      <c r="F636" s="2">
        <v>43916</v>
      </c>
      <c r="G636" s="2" t="str">
        <f>TEXT(LayoffsData[[#This Row],[date]],"yyyy-mm")</f>
        <v>2020-03</v>
      </c>
      <c r="H636" s="1" t="s">
        <v>28</v>
      </c>
      <c r="I636" s="1" t="s">
        <v>12</v>
      </c>
      <c r="J636">
        <v>149</v>
      </c>
    </row>
    <row r="637" spans="1:10" x14ac:dyDescent="0.25">
      <c r="A637" s="1" t="s">
        <v>707</v>
      </c>
      <c r="B637" s="1" t="s">
        <v>32</v>
      </c>
      <c r="C637" s="1" t="s">
        <v>174</v>
      </c>
      <c r="D637">
        <v>40</v>
      </c>
      <c r="E637">
        <v>0.4</v>
      </c>
      <c r="F637" s="2">
        <v>43929</v>
      </c>
      <c r="G637" s="2" t="str">
        <f>TEXT(LayoffsData[[#This Row],[date]],"yyyy-mm")</f>
        <v>2020-04</v>
      </c>
      <c r="H637" s="1" t="s">
        <v>24</v>
      </c>
      <c r="I637" s="1" t="s">
        <v>17</v>
      </c>
      <c r="J637">
        <v>40</v>
      </c>
    </row>
    <row r="638" spans="1:10" x14ac:dyDescent="0.25">
      <c r="A638" s="1" t="s">
        <v>708</v>
      </c>
      <c r="B638" s="1" t="s">
        <v>238</v>
      </c>
      <c r="C638" s="1" t="s">
        <v>124</v>
      </c>
      <c r="D638">
        <v>95</v>
      </c>
      <c r="E638">
        <v>0.1</v>
      </c>
      <c r="F638" s="2">
        <v>44908</v>
      </c>
      <c r="G638" s="2" t="str">
        <f>TEXT(LayoffsData[[#This Row],[date]],"yyyy-mm")</f>
        <v>2022-12</v>
      </c>
      <c r="H638" s="1" t="s">
        <v>11</v>
      </c>
      <c r="I638" s="1" t="s">
        <v>17</v>
      </c>
      <c r="J638">
        <v>462</v>
      </c>
    </row>
    <row r="639" spans="1:10" x14ac:dyDescent="0.25">
      <c r="A639" s="1" t="s">
        <v>709</v>
      </c>
      <c r="B639" s="1" t="s">
        <v>55</v>
      </c>
      <c r="C639" s="1" t="s">
        <v>15</v>
      </c>
      <c r="D639">
        <v>30</v>
      </c>
      <c r="F639" s="2">
        <v>44946</v>
      </c>
      <c r="G639" s="2" t="str">
        <f>TEXT(LayoffsData[[#This Row],[date]],"yyyy-mm")</f>
        <v>2023-01</v>
      </c>
      <c r="H639" s="1" t="s">
        <v>37</v>
      </c>
      <c r="I639" s="1" t="s">
        <v>17</v>
      </c>
      <c r="J639">
        <v>1</v>
      </c>
    </row>
    <row r="640" spans="1:10" x14ac:dyDescent="0.25">
      <c r="A640" s="1" t="s">
        <v>710</v>
      </c>
      <c r="B640" s="1" t="s">
        <v>73</v>
      </c>
      <c r="C640" s="1" t="s">
        <v>15</v>
      </c>
      <c r="E640">
        <v>0.2</v>
      </c>
      <c r="F640" s="2">
        <v>44935</v>
      </c>
      <c r="G640" s="2" t="str">
        <f>TEXT(LayoffsData[[#This Row],[date]],"yyyy-mm")</f>
        <v>2023-01</v>
      </c>
      <c r="H640" s="1" t="s">
        <v>11</v>
      </c>
      <c r="I640" s="1" t="s">
        <v>17</v>
      </c>
      <c r="J640">
        <v>656</v>
      </c>
    </row>
    <row r="641" spans="1:10" x14ac:dyDescent="0.25">
      <c r="A641" s="1" t="s">
        <v>711</v>
      </c>
      <c r="B641" s="1" t="s">
        <v>14</v>
      </c>
      <c r="C641" s="1" t="s">
        <v>41</v>
      </c>
      <c r="E641">
        <v>1</v>
      </c>
      <c r="F641" s="2">
        <v>44789</v>
      </c>
      <c r="G641" s="2" t="str">
        <f>TEXT(LayoffsData[[#This Row],[date]],"yyyy-mm")</f>
        <v>2022-08</v>
      </c>
      <c r="H641" s="1" t="s">
        <v>57</v>
      </c>
      <c r="I641" s="1" t="s">
        <v>17</v>
      </c>
      <c r="J641">
        <v>77</v>
      </c>
    </row>
    <row r="642" spans="1:10" x14ac:dyDescent="0.25">
      <c r="A642" s="1" t="s">
        <v>712</v>
      </c>
      <c r="B642" s="1" t="s">
        <v>195</v>
      </c>
      <c r="C642" s="1" t="s">
        <v>506</v>
      </c>
      <c r="D642">
        <v>100</v>
      </c>
      <c r="E642">
        <v>0.25</v>
      </c>
      <c r="F642" s="2">
        <v>43923</v>
      </c>
      <c r="G642" s="2" t="str">
        <f>TEXT(LayoffsData[[#This Row],[date]],"yyyy-mm")</f>
        <v>2020-04</v>
      </c>
      <c r="H642" s="1" t="s">
        <v>33</v>
      </c>
      <c r="I642" s="1" t="s">
        <v>80</v>
      </c>
      <c r="J642">
        <v>109</v>
      </c>
    </row>
    <row r="643" spans="1:10" x14ac:dyDescent="0.25">
      <c r="A643" s="1" t="s">
        <v>713</v>
      </c>
      <c r="B643" s="1" t="s">
        <v>32</v>
      </c>
      <c r="C643" s="1" t="s">
        <v>29</v>
      </c>
      <c r="E643">
        <v>0.2</v>
      </c>
      <c r="F643" s="2">
        <v>43913</v>
      </c>
      <c r="G643" s="2" t="str">
        <f>TEXT(LayoffsData[[#This Row],[date]],"yyyy-mm")</f>
        <v>2020-03</v>
      </c>
      <c r="H643" s="1" t="s">
        <v>28</v>
      </c>
      <c r="I643" s="1" t="s">
        <v>17</v>
      </c>
      <c r="J643">
        <v>70</v>
      </c>
    </row>
    <row r="644" spans="1:10" x14ac:dyDescent="0.25">
      <c r="A644" s="1" t="s">
        <v>714</v>
      </c>
      <c r="B644" s="1" t="s">
        <v>14</v>
      </c>
      <c r="C644" s="1" t="s">
        <v>165</v>
      </c>
      <c r="D644">
        <v>84</v>
      </c>
      <c r="E644">
        <v>1</v>
      </c>
      <c r="F644" s="2">
        <v>43909</v>
      </c>
      <c r="G644" s="2" t="str">
        <f>TEXT(LayoffsData[[#This Row],[date]],"yyyy-mm")</f>
        <v>2020-03</v>
      </c>
      <c r="H644" s="1" t="s">
        <v>37</v>
      </c>
      <c r="I644" s="1" t="s">
        <v>17</v>
      </c>
    </row>
    <row r="645" spans="1:10" x14ac:dyDescent="0.25">
      <c r="A645" s="1" t="s">
        <v>715</v>
      </c>
      <c r="B645" s="1" t="s">
        <v>14</v>
      </c>
      <c r="C645" s="1" t="s">
        <v>74</v>
      </c>
      <c r="E645">
        <v>0.13</v>
      </c>
      <c r="F645" s="2">
        <v>44895</v>
      </c>
      <c r="G645" s="2" t="str">
        <f>TEXT(LayoffsData[[#This Row],[date]],"yyyy-mm")</f>
        <v>2022-11</v>
      </c>
      <c r="H645" s="1" t="s">
        <v>11</v>
      </c>
      <c r="I645" s="1" t="s">
        <v>17</v>
      </c>
      <c r="J645">
        <v>162</v>
      </c>
    </row>
    <row r="646" spans="1:10" x14ac:dyDescent="0.25">
      <c r="A646" s="1" t="s">
        <v>716</v>
      </c>
      <c r="B646" s="1" t="s">
        <v>32</v>
      </c>
      <c r="C646" s="1" t="s">
        <v>149</v>
      </c>
      <c r="D646">
        <v>81</v>
      </c>
      <c r="F646" s="2">
        <v>44803</v>
      </c>
      <c r="G646" s="2" t="str">
        <f>TEXT(LayoffsData[[#This Row],[date]],"yyyy-mm")</f>
        <v>2022-08</v>
      </c>
      <c r="H646" s="1" t="s">
        <v>33</v>
      </c>
      <c r="I646" s="1" t="s">
        <v>17</v>
      </c>
      <c r="J646">
        <v>212</v>
      </c>
    </row>
    <row r="647" spans="1:10" x14ac:dyDescent="0.25">
      <c r="A647" s="1" t="s">
        <v>716</v>
      </c>
      <c r="B647" s="1" t="s">
        <v>32</v>
      </c>
      <c r="C647" s="1" t="s">
        <v>149</v>
      </c>
      <c r="D647">
        <v>141</v>
      </c>
      <c r="E647">
        <v>0.25</v>
      </c>
      <c r="F647" s="2">
        <v>44970</v>
      </c>
      <c r="G647" s="2" t="str">
        <f>TEXT(LayoffsData[[#This Row],[date]],"yyyy-mm")</f>
        <v>2023-02</v>
      </c>
      <c r="H647" s="1" t="s">
        <v>33</v>
      </c>
      <c r="I647" s="1" t="s">
        <v>17</v>
      </c>
      <c r="J647">
        <v>212</v>
      </c>
    </row>
    <row r="648" spans="1:10" x14ac:dyDescent="0.25">
      <c r="A648" s="1" t="s">
        <v>717</v>
      </c>
      <c r="B648" s="1" t="s">
        <v>718</v>
      </c>
      <c r="C648" s="1" t="s">
        <v>27</v>
      </c>
      <c r="D648">
        <v>200</v>
      </c>
      <c r="F648" s="2">
        <v>44985</v>
      </c>
      <c r="G648" s="2" t="str">
        <f>TEXT(LayoffsData[[#This Row],[date]],"yyyy-mm")</f>
        <v>2023-02</v>
      </c>
      <c r="H648" s="1" t="s">
        <v>11</v>
      </c>
      <c r="I648" s="1" t="s">
        <v>17</v>
      </c>
      <c r="J648">
        <v>2</v>
      </c>
    </row>
    <row r="649" spans="1:10" x14ac:dyDescent="0.25">
      <c r="A649" s="1" t="s">
        <v>719</v>
      </c>
      <c r="B649" s="1" t="s">
        <v>200</v>
      </c>
      <c r="C649" s="1" t="s">
        <v>149</v>
      </c>
      <c r="E649">
        <v>0.15</v>
      </c>
      <c r="F649" s="2">
        <v>44920</v>
      </c>
      <c r="G649" s="2" t="str">
        <f>TEXT(LayoffsData[[#This Row],[date]],"yyyy-mm")</f>
        <v>2022-12</v>
      </c>
      <c r="H649" s="1" t="s">
        <v>24</v>
      </c>
      <c r="I649" s="1" t="s">
        <v>201</v>
      </c>
      <c r="J649">
        <v>96</v>
      </c>
    </row>
    <row r="650" spans="1:10" x14ac:dyDescent="0.25">
      <c r="A650" s="1" t="s">
        <v>720</v>
      </c>
      <c r="B650" s="1" t="s">
        <v>134</v>
      </c>
      <c r="C650" s="1" t="s">
        <v>149</v>
      </c>
      <c r="D650">
        <v>62</v>
      </c>
      <c r="E650">
        <v>0.15</v>
      </c>
      <c r="F650" s="2">
        <v>43955</v>
      </c>
      <c r="G650" s="2" t="str">
        <f>TEXT(LayoffsData[[#This Row],[date]],"yyyy-mm")</f>
        <v>2020-05</v>
      </c>
      <c r="H650" s="1" t="s">
        <v>24</v>
      </c>
      <c r="I650" s="1" t="s">
        <v>12</v>
      </c>
      <c r="J650">
        <v>257</v>
      </c>
    </row>
    <row r="651" spans="1:10" x14ac:dyDescent="0.25">
      <c r="A651" s="1" t="s">
        <v>721</v>
      </c>
      <c r="B651" s="1" t="s">
        <v>14</v>
      </c>
      <c r="C651" s="1" t="s">
        <v>74</v>
      </c>
      <c r="D651">
        <v>10</v>
      </c>
      <c r="F651" s="2">
        <v>43915</v>
      </c>
      <c r="G651" s="2" t="str">
        <f>TEXT(LayoffsData[[#This Row],[date]],"yyyy-mm")</f>
        <v>2020-03</v>
      </c>
      <c r="H651" s="1" t="s">
        <v>21</v>
      </c>
      <c r="I651" s="1" t="s">
        <v>17</v>
      </c>
      <c r="J651">
        <v>22</v>
      </c>
    </row>
    <row r="652" spans="1:10" x14ac:dyDescent="0.25">
      <c r="A652" s="1" t="s">
        <v>722</v>
      </c>
      <c r="B652" s="1" t="s">
        <v>168</v>
      </c>
      <c r="C652" s="1" t="s">
        <v>63</v>
      </c>
      <c r="D652">
        <v>60</v>
      </c>
      <c r="E652">
        <v>0.15</v>
      </c>
      <c r="F652" s="2">
        <v>44727</v>
      </c>
      <c r="G652" s="2" t="str">
        <f>TEXT(LayoffsData[[#This Row],[date]],"yyyy-mm")</f>
        <v>2022-06</v>
      </c>
      <c r="H652" s="1" t="s">
        <v>37</v>
      </c>
      <c r="I652" s="1" t="s">
        <v>170</v>
      </c>
      <c r="J652">
        <v>65</v>
      </c>
    </row>
    <row r="653" spans="1:10" x14ac:dyDescent="0.25">
      <c r="A653" s="1" t="s">
        <v>723</v>
      </c>
      <c r="B653" s="1" t="s">
        <v>14</v>
      </c>
      <c r="C653" s="1" t="s">
        <v>15</v>
      </c>
      <c r="F653" s="2">
        <v>44900</v>
      </c>
      <c r="G653" s="2" t="str">
        <f>TEXT(LayoffsData[[#This Row],[date]],"yyyy-mm")</f>
        <v>2022-12</v>
      </c>
      <c r="H653" s="1" t="s">
        <v>24</v>
      </c>
      <c r="I653" s="1" t="s">
        <v>17</v>
      </c>
      <c r="J653">
        <v>323</v>
      </c>
    </row>
    <row r="654" spans="1:10" x14ac:dyDescent="0.25">
      <c r="A654" s="1" t="s">
        <v>723</v>
      </c>
      <c r="B654" s="1" t="s">
        <v>14</v>
      </c>
      <c r="C654" s="1" t="s">
        <v>15</v>
      </c>
      <c r="F654" s="2">
        <v>44760</v>
      </c>
      <c r="G654" s="2" t="str">
        <f>TEXT(LayoffsData[[#This Row],[date]],"yyyy-mm")</f>
        <v>2022-07</v>
      </c>
      <c r="H654" s="1" t="s">
        <v>24</v>
      </c>
      <c r="I654" s="1" t="s">
        <v>17</v>
      </c>
      <c r="J654">
        <v>323</v>
      </c>
    </row>
    <row r="655" spans="1:10" x14ac:dyDescent="0.25">
      <c r="A655" s="1" t="s">
        <v>724</v>
      </c>
      <c r="B655" s="1" t="s">
        <v>79</v>
      </c>
      <c r="C655" s="1" t="s">
        <v>68</v>
      </c>
      <c r="D655">
        <v>43</v>
      </c>
      <c r="E655">
        <v>0.33</v>
      </c>
      <c r="F655" s="2">
        <v>44855</v>
      </c>
      <c r="G655" s="2" t="str">
        <f>TEXT(LayoffsData[[#This Row],[date]],"yyyy-mm")</f>
        <v>2022-10</v>
      </c>
      <c r="H655" s="1" t="s">
        <v>37</v>
      </c>
      <c r="I655" s="1" t="s">
        <v>80</v>
      </c>
      <c r="J655">
        <v>30</v>
      </c>
    </row>
    <row r="656" spans="1:10" x14ac:dyDescent="0.25">
      <c r="A656" s="1" t="s">
        <v>725</v>
      </c>
      <c r="B656" s="1" t="s">
        <v>200</v>
      </c>
      <c r="C656" s="1" t="s">
        <v>36</v>
      </c>
      <c r="E656">
        <v>0.3</v>
      </c>
      <c r="F656" s="2">
        <v>43930</v>
      </c>
      <c r="G656" s="2" t="str">
        <f>TEXT(LayoffsData[[#This Row],[date]],"yyyy-mm")</f>
        <v>2020-04</v>
      </c>
      <c r="H656" s="1" t="s">
        <v>24</v>
      </c>
      <c r="I656" s="1" t="s">
        <v>201</v>
      </c>
      <c r="J656">
        <v>40</v>
      </c>
    </row>
    <row r="657" spans="1:10" x14ac:dyDescent="0.25">
      <c r="A657" s="1" t="s">
        <v>726</v>
      </c>
      <c r="B657" s="1" t="s">
        <v>73</v>
      </c>
      <c r="C657" s="1" t="s">
        <v>15</v>
      </c>
      <c r="D657">
        <v>41</v>
      </c>
      <c r="F657" s="2">
        <v>44937</v>
      </c>
      <c r="G657" s="2" t="str">
        <f>TEXT(LayoffsData[[#This Row],[date]],"yyyy-mm")</f>
        <v>2023-01</v>
      </c>
      <c r="H657" s="1" t="s">
        <v>24</v>
      </c>
      <c r="I657" s="1" t="s">
        <v>17</v>
      </c>
      <c r="J657">
        <v>94</v>
      </c>
    </row>
    <row r="658" spans="1:10" x14ac:dyDescent="0.25">
      <c r="A658" s="1" t="s">
        <v>727</v>
      </c>
      <c r="B658" s="1" t="s">
        <v>14</v>
      </c>
      <c r="C658" s="1" t="s">
        <v>10</v>
      </c>
      <c r="D658">
        <v>230</v>
      </c>
      <c r="E658">
        <v>0.7</v>
      </c>
      <c r="F658" s="2">
        <v>44988</v>
      </c>
      <c r="G658" s="2" t="str">
        <f>TEXT(LayoffsData[[#This Row],[date]],"yyyy-mm")</f>
        <v>2023-03</v>
      </c>
      <c r="H658" s="1" t="s">
        <v>11</v>
      </c>
      <c r="I658" s="1" t="s">
        <v>17</v>
      </c>
      <c r="J658">
        <v>317</v>
      </c>
    </row>
    <row r="659" spans="1:10" x14ac:dyDescent="0.25">
      <c r="A659" s="1" t="s">
        <v>728</v>
      </c>
      <c r="B659" s="1" t="s">
        <v>14</v>
      </c>
      <c r="C659" s="1" t="s">
        <v>68</v>
      </c>
      <c r="D659">
        <v>30</v>
      </c>
      <c r="E659">
        <v>0.12</v>
      </c>
      <c r="F659" s="2">
        <v>44859</v>
      </c>
      <c r="G659" s="2" t="str">
        <f>TEXT(LayoffsData[[#This Row],[date]],"yyyy-mm")</f>
        <v>2022-10</v>
      </c>
      <c r="H659" s="1" t="s">
        <v>28</v>
      </c>
      <c r="I659" s="1" t="s">
        <v>17</v>
      </c>
      <c r="J659">
        <v>142</v>
      </c>
    </row>
    <row r="660" spans="1:10" x14ac:dyDescent="0.25">
      <c r="A660" s="1" t="s">
        <v>729</v>
      </c>
      <c r="B660" s="1" t="s">
        <v>200</v>
      </c>
      <c r="C660" s="1" t="s">
        <v>45</v>
      </c>
      <c r="F660" s="2">
        <v>44845</v>
      </c>
      <c r="G660" s="2" t="str">
        <f>TEXT(LayoffsData[[#This Row],[date]],"yyyy-mm")</f>
        <v>2022-10</v>
      </c>
      <c r="H660" s="1" t="s">
        <v>21</v>
      </c>
      <c r="I660" s="1" t="s">
        <v>201</v>
      </c>
      <c r="J660">
        <v>16</v>
      </c>
    </row>
    <row r="661" spans="1:10" x14ac:dyDescent="0.25">
      <c r="A661" s="1" t="s">
        <v>730</v>
      </c>
      <c r="B661" s="1" t="s">
        <v>26</v>
      </c>
      <c r="C661" s="1" t="s">
        <v>20</v>
      </c>
      <c r="D661">
        <v>30</v>
      </c>
      <c r="E661">
        <v>0.18</v>
      </c>
      <c r="F661" s="2">
        <v>44749</v>
      </c>
      <c r="G661" s="2" t="str">
        <f>TEXT(LayoffsData[[#This Row],[date]],"yyyy-mm")</f>
        <v>2022-07</v>
      </c>
      <c r="H661" s="1" t="s">
        <v>24</v>
      </c>
      <c r="I661" s="1" t="s">
        <v>17</v>
      </c>
      <c r="J661">
        <v>78</v>
      </c>
    </row>
    <row r="662" spans="1:10" x14ac:dyDescent="0.25">
      <c r="A662" s="1" t="s">
        <v>731</v>
      </c>
      <c r="B662" s="1" t="s">
        <v>32</v>
      </c>
      <c r="C662" s="1" t="s">
        <v>20</v>
      </c>
      <c r="D662">
        <v>100</v>
      </c>
      <c r="E662">
        <v>1</v>
      </c>
      <c r="F662" s="2">
        <v>44970</v>
      </c>
      <c r="G662" s="2" t="str">
        <f>TEXT(LayoffsData[[#This Row],[date]],"yyyy-mm")</f>
        <v>2023-02</v>
      </c>
      <c r="H662" s="1" t="s">
        <v>37</v>
      </c>
      <c r="I662" s="1" t="s">
        <v>17</v>
      </c>
    </row>
    <row r="663" spans="1:10" x14ac:dyDescent="0.25">
      <c r="A663" s="1" t="s">
        <v>732</v>
      </c>
      <c r="B663" s="1" t="s">
        <v>733</v>
      </c>
      <c r="C663" s="1" t="s">
        <v>29</v>
      </c>
      <c r="E663">
        <v>1</v>
      </c>
      <c r="F663" s="2">
        <v>44010</v>
      </c>
      <c r="G663" s="2" t="str">
        <f>TEXT(LayoffsData[[#This Row],[date]],"yyyy-mm")</f>
        <v>2020-06</v>
      </c>
      <c r="H663" s="1" t="s">
        <v>37</v>
      </c>
      <c r="I663" s="1" t="s">
        <v>17</v>
      </c>
      <c r="J663">
        <v>4</v>
      </c>
    </row>
    <row r="664" spans="1:10" x14ac:dyDescent="0.25">
      <c r="A664" s="1" t="s">
        <v>734</v>
      </c>
      <c r="B664" s="1" t="s">
        <v>35</v>
      </c>
      <c r="C664" s="1" t="s">
        <v>29</v>
      </c>
      <c r="D664">
        <v>31</v>
      </c>
      <c r="E664">
        <v>0.1</v>
      </c>
      <c r="F664" s="2">
        <v>44946</v>
      </c>
      <c r="G664" s="2" t="str">
        <f>TEXT(LayoffsData[[#This Row],[date]],"yyyy-mm")</f>
        <v>2023-01</v>
      </c>
      <c r="H664" s="1" t="s">
        <v>37</v>
      </c>
      <c r="I664" s="1" t="s">
        <v>38</v>
      </c>
      <c r="J664">
        <v>14</v>
      </c>
    </row>
    <row r="665" spans="1:10" x14ac:dyDescent="0.25">
      <c r="A665" s="1" t="s">
        <v>735</v>
      </c>
      <c r="B665" s="1" t="s">
        <v>14</v>
      </c>
      <c r="C665" s="1" t="s">
        <v>29</v>
      </c>
      <c r="D665">
        <v>400</v>
      </c>
      <c r="E665">
        <v>0.18</v>
      </c>
      <c r="F665" s="2">
        <v>44742</v>
      </c>
      <c r="G665" s="2" t="str">
        <f>TEXT(LayoffsData[[#This Row],[date]],"yyyy-mm")</f>
        <v>2022-06</v>
      </c>
      <c r="H665" s="1" t="s">
        <v>11</v>
      </c>
      <c r="I665" s="1" t="s">
        <v>17</v>
      </c>
      <c r="J665">
        <v>310</v>
      </c>
    </row>
    <row r="666" spans="1:10" x14ac:dyDescent="0.25">
      <c r="A666" s="1" t="s">
        <v>736</v>
      </c>
      <c r="B666" s="1" t="s">
        <v>259</v>
      </c>
      <c r="C666" s="1" t="s">
        <v>20</v>
      </c>
      <c r="D666">
        <v>100</v>
      </c>
      <c r="F666" s="2">
        <v>44714</v>
      </c>
      <c r="G666" s="2" t="str">
        <f>TEXT(LayoffsData[[#This Row],[date]],"yyyy-mm")</f>
        <v>2022-06</v>
      </c>
      <c r="H666" s="1" t="s">
        <v>37</v>
      </c>
      <c r="I666" s="1" t="s">
        <v>46</v>
      </c>
    </row>
    <row r="667" spans="1:10" x14ac:dyDescent="0.25">
      <c r="A667" s="1" t="s">
        <v>737</v>
      </c>
      <c r="B667" s="1" t="s">
        <v>14</v>
      </c>
      <c r="C667" s="1" t="s">
        <v>147</v>
      </c>
      <c r="D667">
        <v>58</v>
      </c>
      <c r="E667">
        <v>0.3</v>
      </c>
      <c r="F667" s="2">
        <v>43935</v>
      </c>
      <c r="G667" s="2" t="str">
        <f>TEXT(LayoffsData[[#This Row],[date]],"yyyy-mm")</f>
        <v>2020-04</v>
      </c>
      <c r="H667" s="1" t="s">
        <v>24</v>
      </c>
      <c r="I667" s="1" t="s">
        <v>17</v>
      </c>
      <c r="J667">
        <v>59</v>
      </c>
    </row>
    <row r="668" spans="1:10" x14ac:dyDescent="0.25">
      <c r="A668" s="1" t="s">
        <v>738</v>
      </c>
      <c r="B668" s="1" t="s">
        <v>14</v>
      </c>
      <c r="C668" s="1" t="s">
        <v>68</v>
      </c>
      <c r="D668">
        <v>24</v>
      </c>
      <c r="E668">
        <v>0.25</v>
      </c>
      <c r="F668" s="2">
        <v>44965</v>
      </c>
      <c r="G668" s="2" t="str">
        <f>TEXT(LayoffsData[[#This Row],[date]],"yyyy-mm")</f>
        <v>2023-02</v>
      </c>
      <c r="H668" s="1" t="s">
        <v>24</v>
      </c>
      <c r="I668" s="1" t="s">
        <v>17</v>
      </c>
      <c r="J668">
        <v>85</v>
      </c>
    </row>
    <row r="669" spans="1:10" x14ac:dyDescent="0.25">
      <c r="A669" s="1" t="s">
        <v>738</v>
      </c>
      <c r="B669" s="1" t="s">
        <v>14</v>
      </c>
      <c r="C669" s="1" t="s">
        <v>68</v>
      </c>
      <c r="D669">
        <v>25</v>
      </c>
      <c r="E669">
        <v>0.2</v>
      </c>
      <c r="F669" s="2">
        <v>44865</v>
      </c>
      <c r="G669" s="2" t="str">
        <f>TEXT(LayoffsData[[#This Row],[date]],"yyyy-mm")</f>
        <v>2022-10</v>
      </c>
      <c r="H669" s="1" t="s">
        <v>24</v>
      </c>
      <c r="I669" s="1" t="s">
        <v>17</v>
      </c>
      <c r="J669">
        <v>85</v>
      </c>
    </row>
    <row r="670" spans="1:10" x14ac:dyDescent="0.25">
      <c r="A670" s="1" t="s">
        <v>739</v>
      </c>
      <c r="B670" s="1" t="s">
        <v>32</v>
      </c>
      <c r="C670" s="1" t="s">
        <v>68</v>
      </c>
      <c r="D670">
        <v>30</v>
      </c>
      <c r="E670">
        <v>0.27</v>
      </c>
      <c r="F670" s="2">
        <v>44865</v>
      </c>
      <c r="G670" s="2" t="str">
        <f>TEXT(LayoffsData[[#This Row],[date]],"yyyy-mm")</f>
        <v>2022-10</v>
      </c>
      <c r="H670" s="1" t="s">
        <v>24</v>
      </c>
      <c r="I670" s="1" t="s">
        <v>17</v>
      </c>
      <c r="J670">
        <v>11</v>
      </c>
    </row>
    <row r="671" spans="1:10" x14ac:dyDescent="0.25">
      <c r="A671" s="1" t="s">
        <v>740</v>
      </c>
      <c r="B671" s="1" t="s">
        <v>62</v>
      </c>
      <c r="C671" s="1" t="s">
        <v>149</v>
      </c>
      <c r="D671">
        <v>8500</v>
      </c>
      <c r="E671">
        <v>0.08</v>
      </c>
      <c r="F671" s="2">
        <v>44981</v>
      </c>
      <c r="G671" s="2" t="str">
        <f>TEXT(LayoffsData[[#This Row],[date]],"yyyy-mm")</f>
        <v>2023-02</v>
      </c>
      <c r="H671" s="1" t="s">
        <v>11</v>
      </c>
      <c r="I671" s="1" t="s">
        <v>64</v>
      </c>
      <c r="J671">
        <v>663</v>
      </c>
    </row>
    <row r="672" spans="1:10" x14ac:dyDescent="0.25">
      <c r="A672" s="1" t="s">
        <v>741</v>
      </c>
      <c r="B672" s="1" t="s">
        <v>14</v>
      </c>
      <c r="C672" s="1" t="s">
        <v>172</v>
      </c>
      <c r="D672">
        <v>30</v>
      </c>
      <c r="E672">
        <v>0.17</v>
      </c>
      <c r="F672" s="2">
        <v>44949</v>
      </c>
      <c r="G672" s="2" t="str">
        <f>TEXT(LayoffsData[[#This Row],[date]],"yyyy-mm")</f>
        <v>2023-01</v>
      </c>
      <c r="H672" s="1" t="s">
        <v>24</v>
      </c>
      <c r="I672" s="1" t="s">
        <v>17</v>
      </c>
      <c r="J672">
        <v>97</v>
      </c>
    </row>
    <row r="673" spans="1:10" x14ac:dyDescent="0.25">
      <c r="A673" s="1" t="s">
        <v>742</v>
      </c>
      <c r="B673" s="1" t="s">
        <v>67</v>
      </c>
      <c r="C673" s="1" t="s">
        <v>41</v>
      </c>
      <c r="D673">
        <v>40</v>
      </c>
      <c r="F673" s="2">
        <v>44716</v>
      </c>
      <c r="G673" s="2" t="str">
        <f>TEXT(LayoffsData[[#This Row],[date]],"yyyy-mm")</f>
        <v>2022-06</v>
      </c>
      <c r="H673" s="1" t="s">
        <v>16</v>
      </c>
      <c r="I673" s="1" t="s">
        <v>69</v>
      </c>
      <c r="J673">
        <v>1200</v>
      </c>
    </row>
    <row r="674" spans="1:10" x14ac:dyDescent="0.25">
      <c r="A674" s="1" t="s">
        <v>743</v>
      </c>
      <c r="B674" s="1" t="s">
        <v>73</v>
      </c>
      <c r="C674" s="1" t="s">
        <v>41</v>
      </c>
      <c r="F674" s="2">
        <v>44714</v>
      </c>
      <c r="G674" s="2" t="str">
        <f>TEXT(LayoffsData[[#This Row],[date]],"yyyy-mm")</f>
        <v>2022-06</v>
      </c>
      <c r="H674" s="1" t="s">
        <v>37</v>
      </c>
      <c r="I674" s="1" t="s">
        <v>17</v>
      </c>
      <c r="J674">
        <v>37</v>
      </c>
    </row>
    <row r="675" spans="1:10" x14ac:dyDescent="0.25">
      <c r="A675" s="1" t="s">
        <v>744</v>
      </c>
      <c r="B675" s="1" t="s">
        <v>55</v>
      </c>
      <c r="C675" s="1" t="s">
        <v>149</v>
      </c>
      <c r="E675">
        <v>0.12</v>
      </c>
      <c r="F675" s="2">
        <v>44735</v>
      </c>
      <c r="G675" s="2" t="str">
        <f>TEXT(LayoffsData[[#This Row],[date]],"yyyy-mm")</f>
        <v>2022-06</v>
      </c>
      <c r="H675" s="1" t="s">
        <v>21</v>
      </c>
      <c r="I675" s="1" t="s">
        <v>17</v>
      </c>
      <c r="J675">
        <v>10</v>
      </c>
    </row>
    <row r="676" spans="1:10" x14ac:dyDescent="0.25">
      <c r="A676" s="1" t="s">
        <v>744</v>
      </c>
      <c r="B676" s="1" t="s">
        <v>55</v>
      </c>
      <c r="C676" s="1" t="s">
        <v>149</v>
      </c>
      <c r="E676">
        <v>0.21</v>
      </c>
      <c r="F676" s="2">
        <v>44936</v>
      </c>
      <c r="G676" s="2" t="str">
        <f>TEXT(LayoffsData[[#This Row],[date]],"yyyy-mm")</f>
        <v>2023-01</v>
      </c>
      <c r="H676" s="1" t="s">
        <v>21</v>
      </c>
      <c r="I676" s="1" t="s">
        <v>17</v>
      </c>
      <c r="J676">
        <v>10</v>
      </c>
    </row>
    <row r="677" spans="1:10" x14ac:dyDescent="0.25">
      <c r="A677" s="1" t="s">
        <v>745</v>
      </c>
      <c r="B677" s="1" t="s">
        <v>387</v>
      </c>
      <c r="C677" s="1" t="s">
        <v>149</v>
      </c>
      <c r="D677">
        <v>40</v>
      </c>
      <c r="F677" s="2">
        <v>44895</v>
      </c>
      <c r="G677" s="2" t="str">
        <f>TEXT(LayoffsData[[#This Row],[date]],"yyyy-mm")</f>
        <v>2022-11</v>
      </c>
      <c r="H677" s="1" t="s">
        <v>37</v>
      </c>
      <c r="I677" s="1" t="s">
        <v>388</v>
      </c>
    </row>
    <row r="678" spans="1:10" x14ac:dyDescent="0.25">
      <c r="A678" s="1" t="s">
        <v>746</v>
      </c>
      <c r="B678" s="1" t="s">
        <v>14</v>
      </c>
      <c r="C678" s="1" t="s">
        <v>68</v>
      </c>
      <c r="D678">
        <v>18</v>
      </c>
      <c r="E678">
        <v>0.14000000000000001</v>
      </c>
      <c r="F678" s="2">
        <v>43987</v>
      </c>
      <c r="G678" s="2" t="str">
        <f>TEXT(LayoffsData[[#This Row],[date]],"yyyy-mm")</f>
        <v>2020-06</v>
      </c>
      <c r="H678" s="1" t="s">
        <v>28</v>
      </c>
      <c r="I678" s="1" t="s">
        <v>17</v>
      </c>
      <c r="J678">
        <v>106</v>
      </c>
    </row>
    <row r="679" spans="1:10" x14ac:dyDescent="0.25">
      <c r="A679" s="1" t="s">
        <v>746</v>
      </c>
      <c r="B679" s="1" t="s">
        <v>14</v>
      </c>
      <c r="C679" s="1" t="s">
        <v>68</v>
      </c>
      <c r="D679">
        <v>40</v>
      </c>
      <c r="E679">
        <v>0.12</v>
      </c>
      <c r="F679" s="2">
        <v>44736</v>
      </c>
      <c r="G679" s="2" t="str">
        <f>TEXT(LayoffsData[[#This Row],[date]],"yyyy-mm")</f>
        <v>2022-06</v>
      </c>
      <c r="H679" s="1" t="s">
        <v>33</v>
      </c>
      <c r="I679" s="1" t="s">
        <v>17</v>
      </c>
      <c r="J679">
        <v>406</v>
      </c>
    </row>
    <row r="680" spans="1:10" x14ac:dyDescent="0.25">
      <c r="A680" s="1" t="s">
        <v>746</v>
      </c>
      <c r="B680" s="1" t="s">
        <v>14</v>
      </c>
      <c r="C680" s="1" t="s">
        <v>68</v>
      </c>
      <c r="D680">
        <v>50</v>
      </c>
      <c r="F680" s="2">
        <v>44978</v>
      </c>
      <c r="G680" s="2" t="str">
        <f>TEXT(LayoffsData[[#This Row],[date]],"yyyy-mm")</f>
        <v>2023-02</v>
      </c>
      <c r="H680" s="1" t="s">
        <v>33</v>
      </c>
      <c r="I680" s="1" t="s">
        <v>17</v>
      </c>
      <c r="J680">
        <v>406</v>
      </c>
    </row>
    <row r="681" spans="1:10" x14ac:dyDescent="0.25">
      <c r="A681" s="1" t="s">
        <v>747</v>
      </c>
      <c r="B681" s="1" t="s">
        <v>168</v>
      </c>
      <c r="C681" s="1" t="s">
        <v>68</v>
      </c>
      <c r="D681">
        <v>100</v>
      </c>
      <c r="E681">
        <v>0.06</v>
      </c>
      <c r="F681" s="2">
        <v>44747</v>
      </c>
      <c r="G681" s="2" t="str">
        <f>TEXT(LayoffsData[[#This Row],[date]],"yyyy-mm")</f>
        <v>2022-07</v>
      </c>
      <c r="H681" s="1" t="s">
        <v>37</v>
      </c>
      <c r="I681" s="1" t="s">
        <v>170</v>
      </c>
      <c r="J681">
        <v>322</v>
      </c>
    </row>
    <row r="682" spans="1:10" x14ac:dyDescent="0.25">
      <c r="A682" s="1" t="s">
        <v>748</v>
      </c>
      <c r="B682" s="1" t="s">
        <v>44</v>
      </c>
      <c r="C682" s="1" t="s">
        <v>15</v>
      </c>
      <c r="D682">
        <v>50</v>
      </c>
      <c r="E682">
        <v>0.2</v>
      </c>
      <c r="F682" s="2">
        <v>44764</v>
      </c>
      <c r="G682" s="2" t="str">
        <f>TEXT(LayoffsData[[#This Row],[date]],"yyyy-mm")</f>
        <v>2022-07</v>
      </c>
      <c r="H682" s="1" t="s">
        <v>28</v>
      </c>
      <c r="I682" s="1" t="s">
        <v>17</v>
      </c>
      <c r="J682">
        <v>69</v>
      </c>
    </row>
    <row r="683" spans="1:10" x14ac:dyDescent="0.25">
      <c r="A683" s="1" t="s">
        <v>749</v>
      </c>
      <c r="B683" s="1" t="s">
        <v>14</v>
      </c>
      <c r="C683" s="1" t="s">
        <v>27</v>
      </c>
      <c r="D683">
        <v>80</v>
      </c>
      <c r="E683">
        <v>0.08</v>
      </c>
      <c r="F683" s="2">
        <v>44985</v>
      </c>
      <c r="G683" s="2" t="str">
        <f>TEXT(LayoffsData[[#This Row],[date]],"yyyy-mm")</f>
        <v>2023-02</v>
      </c>
      <c r="H683" s="1" t="s">
        <v>11</v>
      </c>
      <c r="I683" s="1" t="s">
        <v>17</v>
      </c>
      <c r="J683">
        <v>557</v>
      </c>
    </row>
    <row r="684" spans="1:10" x14ac:dyDescent="0.25">
      <c r="A684" s="1" t="s">
        <v>749</v>
      </c>
      <c r="B684" s="1" t="s">
        <v>14</v>
      </c>
      <c r="C684" s="1" t="s">
        <v>27</v>
      </c>
      <c r="D684">
        <v>500</v>
      </c>
      <c r="E684">
        <v>0.45</v>
      </c>
      <c r="F684" s="2">
        <v>43929</v>
      </c>
      <c r="G684" s="2" t="str">
        <f>TEXT(LayoffsData[[#This Row],[date]],"yyyy-mm")</f>
        <v>2020-04</v>
      </c>
      <c r="H684" s="1" t="s">
        <v>11</v>
      </c>
      <c r="I684" s="1" t="s">
        <v>17</v>
      </c>
      <c r="J684">
        <v>332</v>
      </c>
    </row>
    <row r="685" spans="1:10" x14ac:dyDescent="0.25">
      <c r="A685" s="1" t="s">
        <v>750</v>
      </c>
      <c r="B685" s="1" t="s">
        <v>73</v>
      </c>
      <c r="C685" s="1" t="s">
        <v>149</v>
      </c>
      <c r="D685">
        <v>200</v>
      </c>
      <c r="F685" s="2">
        <v>44873</v>
      </c>
      <c r="G685" s="2" t="str">
        <f>TEXT(LayoffsData[[#This Row],[date]],"yyyy-mm")</f>
        <v>2022-11</v>
      </c>
      <c r="H685" s="1" t="s">
        <v>11</v>
      </c>
      <c r="I685" s="1" t="s">
        <v>17</v>
      </c>
      <c r="J685">
        <v>476</v>
      </c>
    </row>
    <row r="686" spans="1:10" x14ac:dyDescent="0.25">
      <c r="A686" s="1" t="s">
        <v>751</v>
      </c>
      <c r="B686" s="1" t="s">
        <v>14</v>
      </c>
      <c r="C686" s="1" t="s">
        <v>29</v>
      </c>
      <c r="D686">
        <v>30</v>
      </c>
      <c r="E686">
        <v>0.17</v>
      </c>
      <c r="F686" s="2">
        <v>44931</v>
      </c>
      <c r="G686" s="2" t="str">
        <f>TEXT(LayoffsData[[#This Row],[date]],"yyyy-mm")</f>
        <v>2023-01</v>
      </c>
      <c r="H686" s="1" t="s">
        <v>37</v>
      </c>
      <c r="I686" s="1" t="s">
        <v>17</v>
      </c>
      <c r="J686">
        <v>176</v>
      </c>
    </row>
    <row r="687" spans="1:10" x14ac:dyDescent="0.25">
      <c r="A687" s="1" t="s">
        <v>751</v>
      </c>
      <c r="B687" s="1" t="s">
        <v>14</v>
      </c>
      <c r="C687" s="1" t="s">
        <v>29</v>
      </c>
      <c r="D687">
        <v>227</v>
      </c>
      <c r="F687" s="2">
        <v>43917</v>
      </c>
      <c r="G687" s="2" t="str">
        <f>TEXT(LayoffsData[[#This Row],[date]],"yyyy-mm")</f>
        <v>2020-03</v>
      </c>
      <c r="H687" s="1" t="s">
        <v>37</v>
      </c>
      <c r="I687" s="1" t="s">
        <v>17</v>
      </c>
      <c r="J687">
        <v>18</v>
      </c>
    </row>
    <row r="688" spans="1:10" x14ac:dyDescent="0.25">
      <c r="A688" s="1" t="s">
        <v>752</v>
      </c>
      <c r="B688" s="1" t="s">
        <v>14</v>
      </c>
      <c r="C688" s="1" t="s">
        <v>27</v>
      </c>
      <c r="D688">
        <v>129</v>
      </c>
      <c r="F688" s="2">
        <v>44974</v>
      </c>
      <c r="G688" s="2" t="str">
        <f>TEXT(LayoffsData[[#This Row],[date]],"yyyy-mm")</f>
        <v>2023-02</v>
      </c>
      <c r="H688" s="1" t="s">
        <v>57</v>
      </c>
      <c r="I688" s="1" t="s">
        <v>17</v>
      </c>
      <c r="J688">
        <v>290</v>
      </c>
    </row>
    <row r="689" spans="1:10" x14ac:dyDescent="0.25">
      <c r="A689" s="1" t="s">
        <v>753</v>
      </c>
      <c r="B689" s="1" t="s">
        <v>26</v>
      </c>
      <c r="C689" s="1" t="s">
        <v>10</v>
      </c>
      <c r="D689">
        <v>40</v>
      </c>
      <c r="F689" s="2">
        <v>44980</v>
      </c>
      <c r="G689" s="2" t="str">
        <f>TEXT(LayoffsData[[#This Row],[date]],"yyyy-mm")</f>
        <v>2023-02</v>
      </c>
      <c r="H689" s="1" t="s">
        <v>11</v>
      </c>
      <c r="I689" s="1" t="s">
        <v>17</v>
      </c>
      <c r="J689">
        <v>400</v>
      </c>
    </row>
    <row r="690" spans="1:10" x14ac:dyDescent="0.25">
      <c r="A690" s="1" t="s">
        <v>754</v>
      </c>
      <c r="B690" s="1" t="s">
        <v>755</v>
      </c>
      <c r="C690" s="1" t="s">
        <v>36</v>
      </c>
      <c r="D690">
        <v>59</v>
      </c>
      <c r="E690">
        <v>0.22</v>
      </c>
      <c r="F690" s="2">
        <v>44869</v>
      </c>
      <c r="G690" s="2" t="str">
        <f>TEXT(LayoffsData[[#This Row],[date]],"yyyy-mm")</f>
        <v>2022-11</v>
      </c>
      <c r="H690" s="1" t="s">
        <v>37</v>
      </c>
      <c r="I690" s="1" t="s">
        <v>17</v>
      </c>
      <c r="J690">
        <v>60</v>
      </c>
    </row>
    <row r="691" spans="1:10" x14ac:dyDescent="0.25">
      <c r="A691" s="1" t="s">
        <v>756</v>
      </c>
      <c r="B691" s="1" t="s">
        <v>293</v>
      </c>
      <c r="C691" s="1" t="s">
        <v>53</v>
      </c>
      <c r="D691">
        <v>142</v>
      </c>
      <c r="E691">
        <v>0.15</v>
      </c>
      <c r="F691" s="2">
        <v>44943</v>
      </c>
      <c r="G691" s="2" t="str">
        <f>TEXT(LayoffsData[[#This Row],[date]],"yyyy-mm")</f>
        <v>2023-01</v>
      </c>
      <c r="H691" s="1" t="s">
        <v>33</v>
      </c>
      <c r="I691" s="1" t="s">
        <v>69</v>
      </c>
      <c r="J691">
        <v>87</v>
      </c>
    </row>
    <row r="692" spans="1:10" x14ac:dyDescent="0.25">
      <c r="A692" s="1" t="s">
        <v>757</v>
      </c>
      <c r="B692" s="1" t="s">
        <v>44</v>
      </c>
      <c r="C692" s="1" t="s">
        <v>165</v>
      </c>
      <c r="D692">
        <v>7</v>
      </c>
      <c r="F692" s="2">
        <v>44784</v>
      </c>
      <c r="G692" s="2" t="str">
        <f>TEXT(LayoffsData[[#This Row],[date]],"yyyy-mm")</f>
        <v>2022-08</v>
      </c>
      <c r="H692" s="1" t="s">
        <v>28</v>
      </c>
      <c r="I692" s="1" t="s">
        <v>46</v>
      </c>
      <c r="J692">
        <v>26</v>
      </c>
    </row>
    <row r="693" spans="1:10" x14ac:dyDescent="0.25">
      <c r="A693" s="1" t="s">
        <v>758</v>
      </c>
      <c r="B693" s="1" t="s">
        <v>71</v>
      </c>
      <c r="C693" s="1" t="s">
        <v>598</v>
      </c>
      <c r="D693">
        <v>24</v>
      </c>
      <c r="E693">
        <v>0.03</v>
      </c>
      <c r="F693" s="2">
        <v>44958</v>
      </c>
      <c r="G693" s="2" t="str">
        <f>TEXT(LayoffsData[[#This Row],[date]],"yyyy-mm")</f>
        <v>2023-02</v>
      </c>
      <c r="H693" s="1" t="s">
        <v>105</v>
      </c>
      <c r="I693" s="1" t="s">
        <v>17</v>
      </c>
      <c r="J693">
        <v>100</v>
      </c>
    </row>
    <row r="694" spans="1:10" x14ac:dyDescent="0.25">
      <c r="A694" s="1" t="s">
        <v>759</v>
      </c>
      <c r="B694" s="1" t="s">
        <v>55</v>
      </c>
      <c r="C694" s="1" t="s">
        <v>172</v>
      </c>
      <c r="F694" s="2">
        <v>44847</v>
      </c>
      <c r="G694" s="2" t="str">
        <f>TEXT(LayoffsData[[#This Row],[date]],"yyyy-mm")</f>
        <v>2022-10</v>
      </c>
      <c r="H694" s="1" t="s">
        <v>28</v>
      </c>
      <c r="I694" s="1" t="s">
        <v>17</v>
      </c>
      <c r="J694">
        <v>61</v>
      </c>
    </row>
    <row r="695" spans="1:10" x14ac:dyDescent="0.25">
      <c r="A695" s="1" t="s">
        <v>759</v>
      </c>
      <c r="B695" s="1" t="s">
        <v>55</v>
      </c>
      <c r="C695" s="1" t="s">
        <v>172</v>
      </c>
      <c r="F695" s="2">
        <v>43943</v>
      </c>
      <c r="G695" s="2" t="str">
        <f>TEXT(LayoffsData[[#This Row],[date]],"yyyy-mm")</f>
        <v>2020-04</v>
      </c>
      <c r="H695" s="1" t="s">
        <v>28</v>
      </c>
      <c r="I695" s="1" t="s">
        <v>17</v>
      </c>
      <c r="J695">
        <v>61</v>
      </c>
    </row>
    <row r="696" spans="1:10" x14ac:dyDescent="0.25">
      <c r="A696" s="1" t="s">
        <v>760</v>
      </c>
      <c r="B696" s="1" t="s">
        <v>73</v>
      </c>
      <c r="C696" s="1" t="s">
        <v>51</v>
      </c>
      <c r="D696">
        <v>400</v>
      </c>
      <c r="E696">
        <v>0.44</v>
      </c>
      <c r="F696" s="2">
        <v>43928</v>
      </c>
      <c r="G696" s="2" t="str">
        <f>TEXT(LayoffsData[[#This Row],[date]],"yyyy-mm")</f>
        <v>2020-04</v>
      </c>
      <c r="H696" s="1" t="s">
        <v>33</v>
      </c>
      <c r="I696" s="1" t="s">
        <v>17</v>
      </c>
      <c r="J696">
        <v>319</v>
      </c>
    </row>
    <row r="697" spans="1:10" x14ac:dyDescent="0.25">
      <c r="A697" s="1" t="s">
        <v>761</v>
      </c>
      <c r="B697" s="1" t="s">
        <v>55</v>
      </c>
      <c r="C697" s="1" t="s">
        <v>172</v>
      </c>
      <c r="D697">
        <v>100</v>
      </c>
      <c r="E697">
        <v>0.01</v>
      </c>
      <c r="F697" s="2">
        <v>44855</v>
      </c>
      <c r="G697" s="2" t="str">
        <f>TEXT(LayoffsData[[#This Row],[date]],"yyyy-mm")</f>
        <v>2022-10</v>
      </c>
      <c r="H697" s="1" t="s">
        <v>11</v>
      </c>
      <c r="I697" s="1" t="s">
        <v>17</v>
      </c>
    </row>
    <row r="698" spans="1:10" x14ac:dyDescent="0.25">
      <c r="A698" s="1" t="s">
        <v>762</v>
      </c>
      <c r="B698" s="1" t="s">
        <v>370</v>
      </c>
      <c r="C698" s="1" t="s">
        <v>84</v>
      </c>
      <c r="D698">
        <v>80</v>
      </c>
      <c r="E698">
        <v>0.2</v>
      </c>
      <c r="F698" s="2">
        <v>43920</v>
      </c>
      <c r="G698" s="2" t="str">
        <f>TEXT(LayoffsData[[#This Row],[date]],"yyyy-mm")</f>
        <v>2020-03</v>
      </c>
      <c r="H698" s="1" t="s">
        <v>24</v>
      </c>
      <c r="I698" s="1" t="s">
        <v>69</v>
      </c>
      <c r="J698">
        <v>48</v>
      </c>
    </row>
    <row r="699" spans="1:10" x14ac:dyDescent="0.25">
      <c r="A699" s="1" t="s">
        <v>763</v>
      </c>
      <c r="B699" s="1" t="s">
        <v>32</v>
      </c>
      <c r="C699" s="1" t="s">
        <v>108</v>
      </c>
      <c r="D699">
        <v>120</v>
      </c>
      <c r="E699">
        <v>0.4</v>
      </c>
      <c r="F699" s="2">
        <v>44755</v>
      </c>
      <c r="G699" s="2" t="str">
        <f>TEXT(LayoffsData[[#This Row],[date]],"yyyy-mm")</f>
        <v>2022-07</v>
      </c>
      <c r="H699" s="1" t="s">
        <v>28</v>
      </c>
      <c r="I699" s="1" t="s">
        <v>17</v>
      </c>
      <c r="J699">
        <v>336</v>
      </c>
    </row>
    <row r="700" spans="1:10" x14ac:dyDescent="0.25">
      <c r="A700" s="1" t="s">
        <v>764</v>
      </c>
      <c r="B700" s="1" t="s">
        <v>35</v>
      </c>
      <c r="C700" s="1" t="s">
        <v>29</v>
      </c>
      <c r="D700">
        <v>260</v>
      </c>
      <c r="E700">
        <v>0.3</v>
      </c>
      <c r="F700" s="2">
        <v>44671</v>
      </c>
      <c r="G700" s="2" t="str">
        <f>TEXT(LayoffsData[[#This Row],[date]],"yyyy-mm")</f>
        <v>2022-04</v>
      </c>
      <c r="H700" s="1" t="s">
        <v>33</v>
      </c>
      <c r="I700" s="1" t="s">
        <v>38</v>
      </c>
      <c r="J700">
        <v>502</v>
      </c>
    </row>
    <row r="701" spans="1:10" x14ac:dyDescent="0.25">
      <c r="A701" s="1" t="s">
        <v>765</v>
      </c>
      <c r="B701" s="1" t="s">
        <v>14</v>
      </c>
      <c r="C701" s="1" t="s">
        <v>29</v>
      </c>
      <c r="D701">
        <v>84</v>
      </c>
      <c r="E701">
        <v>7.0000000000000007E-2</v>
      </c>
      <c r="F701" s="2">
        <v>44852</v>
      </c>
      <c r="G701" s="2" t="str">
        <f>TEXT(LayoffsData[[#This Row],[date]],"yyyy-mm")</f>
        <v>2022-10</v>
      </c>
      <c r="H701" s="1" t="s">
        <v>450</v>
      </c>
      <c r="I701" s="1" t="s">
        <v>17</v>
      </c>
      <c r="J701">
        <v>1700</v>
      </c>
    </row>
    <row r="702" spans="1:10" x14ac:dyDescent="0.25">
      <c r="A702" s="1" t="s">
        <v>766</v>
      </c>
      <c r="B702" s="1" t="s">
        <v>14</v>
      </c>
      <c r="C702" s="1" t="s">
        <v>63</v>
      </c>
      <c r="F702" s="2">
        <v>44945</v>
      </c>
      <c r="G702" s="2" t="str">
        <f>TEXT(LayoffsData[[#This Row],[date]],"yyyy-mm")</f>
        <v>2023-01</v>
      </c>
      <c r="H702" s="1" t="s">
        <v>16</v>
      </c>
      <c r="I702" s="1" t="s">
        <v>17</v>
      </c>
      <c r="J702">
        <v>145</v>
      </c>
    </row>
    <row r="703" spans="1:10" x14ac:dyDescent="0.25">
      <c r="A703" s="1" t="s">
        <v>766</v>
      </c>
      <c r="B703" s="1" t="s">
        <v>14</v>
      </c>
      <c r="C703" s="1" t="s">
        <v>63</v>
      </c>
      <c r="E703">
        <v>0.14000000000000001</v>
      </c>
      <c r="F703" s="2">
        <v>43951</v>
      </c>
      <c r="G703" s="2" t="str">
        <f>TEXT(LayoffsData[[#This Row],[date]],"yyyy-mm")</f>
        <v>2020-04</v>
      </c>
      <c r="H703" s="1" t="s">
        <v>16</v>
      </c>
      <c r="I703" s="1" t="s">
        <v>17</v>
      </c>
      <c r="J703">
        <v>145</v>
      </c>
    </row>
    <row r="704" spans="1:10" x14ac:dyDescent="0.25">
      <c r="A704" s="1" t="s">
        <v>767</v>
      </c>
      <c r="B704" s="1" t="s">
        <v>424</v>
      </c>
      <c r="C704" s="1" t="s">
        <v>84</v>
      </c>
      <c r="D704">
        <v>200</v>
      </c>
      <c r="F704" s="2">
        <v>43916</v>
      </c>
      <c r="G704" s="2" t="str">
        <f>TEXT(LayoffsData[[#This Row],[date]],"yyyy-mm")</f>
        <v>2020-03</v>
      </c>
      <c r="H704" s="1" t="s">
        <v>37</v>
      </c>
      <c r="I704" s="1" t="s">
        <v>69</v>
      </c>
    </row>
    <row r="705" spans="1:10" x14ac:dyDescent="0.25">
      <c r="A705" s="1" t="s">
        <v>768</v>
      </c>
      <c r="B705" s="1" t="s">
        <v>370</v>
      </c>
      <c r="C705" s="1" t="s">
        <v>108</v>
      </c>
      <c r="D705">
        <v>90</v>
      </c>
      <c r="F705" s="2">
        <v>44960</v>
      </c>
      <c r="G705" s="2" t="str">
        <f>TEXT(LayoffsData[[#This Row],[date]],"yyyy-mm")</f>
        <v>2023-02</v>
      </c>
      <c r="H705" s="1" t="s">
        <v>16</v>
      </c>
      <c r="I705" s="1" t="s">
        <v>69</v>
      </c>
      <c r="J705">
        <v>150</v>
      </c>
    </row>
    <row r="706" spans="1:10" x14ac:dyDescent="0.25">
      <c r="A706" s="1" t="s">
        <v>768</v>
      </c>
      <c r="B706" s="1" t="s">
        <v>370</v>
      </c>
      <c r="C706" s="1" t="s">
        <v>108</v>
      </c>
      <c r="D706">
        <v>250</v>
      </c>
      <c r="E706">
        <v>0.3</v>
      </c>
      <c r="F706" s="2">
        <v>44722</v>
      </c>
      <c r="G706" s="2" t="str">
        <f>TEXT(LayoffsData[[#This Row],[date]],"yyyy-mm")</f>
        <v>2022-06</v>
      </c>
      <c r="H706" s="1" t="s">
        <v>16</v>
      </c>
      <c r="I706" s="1" t="s">
        <v>69</v>
      </c>
      <c r="J706">
        <v>150</v>
      </c>
    </row>
    <row r="707" spans="1:10" x14ac:dyDescent="0.25">
      <c r="A707" s="1" t="s">
        <v>769</v>
      </c>
      <c r="B707" s="1" t="s">
        <v>14</v>
      </c>
      <c r="C707" s="1" t="s">
        <v>68</v>
      </c>
      <c r="E707">
        <v>1</v>
      </c>
      <c r="F707" s="2">
        <v>44656</v>
      </c>
      <c r="G707" s="2" t="str">
        <f>TEXT(LayoffsData[[#This Row],[date]],"yyyy-mm")</f>
        <v>2022-04</v>
      </c>
      <c r="H707" s="1" t="s">
        <v>24</v>
      </c>
      <c r="I707" s="1" t="s">
        <v>17</v>
      </c>
      <c r="J707">
        <v>124</v>
      </c>
    </row>
    <row r="708" spans="1:10" x14ac:dyDescent="0.25">
      <c r="A708" s="1" t="s">
        <v>770</v>
      </c>
      <c r="B708" s="1" t="s">
        <v>406</v>
      </c>
      <c r="C708" s="1" t="s">
        <v>15</v>
      </c>
      <c r="D708">
        <v>315</v>
      </c>
      <c r="E708">
        <v>0.56999999999999995</v>
      </c>
      <c r="F708" s="2">
        <v>44935</v>
      </c>
      <c r="G708" s="2" t="str">
        <f>TEXT(LayoffsData[[#This Row],[date]],"yyyy-mm")</f>
        <v>2023-01</v>
      </c>
      <c r="H708" s="1" t="s">
        <v>11</v>
      </c>
      <c r="I708" s="1" t="s">
        <v>17</v>
      </c>
      <c r="J708">
        <v>1200</v>
      </c>
    </row>
    <row r="709" spans="1:10" x14ac:dyDescent="0.25">
      <c r="A709" s="1" t="s">
        <v>771</v>
      </c>
      <c r="B709" s="1" t="s">
        <v>35</v>
      </c>
      <c r="C709" s="1" t="s">
        <v>51</v>
      </c>
      <c r="D709">
        <v>170</v>
      </c>
      <c r="F709" s="2">
        <v>44714</v>
      </c>
      <c r="G709" s="2" t="str">
        <f>TEXT(LayoffsData[[#This Row],[date]],"yyyy-mm")</f>
        <v>2022-06</v>
      </c>
      <c r="H709" s="1" t="s">
        <v>21</v>
      </c>
      <c r="I709" s="1" t="s">
        <v>38</v>
      </c>
      <c r="J709">
        <v>31</v>
      </c>
    </row>
    <row r="710" spans="1:10" x14ac:dyDescent="0.25">
      <c r="A710" s="1" t="s">
        <v>772</v>
      </c>
      <c r="B710" s="1" t="s">
        <v>73</v>
      </c>
      <c r="C710" s="1" t="s">
        <v>15</v>
      </c>
      <c r="E710">
        <v>1</v>
      </c>
      <c r="F710" s="2">
        <v>44874</v>
      </c>
      <c r="G710" s="2" t="str">
        <f>TEXT(LayoffsData[[#This Row],[date]],"yyyy-mm")</f>
        <v>2022-11</v>
      </c>
      <c r="H710" s="1" t="s">
        <v>24</v>
      </c>
      <c r="I710" s="1" t="s">
        <v>17</v>
      </c>
      <c r="J710">
        <v>81</v>
      </c>
    </row>
    <row r="711" spans="1:10" x14ac:dyDescent="0.25">
      <c r="A711" s="1" t="s">
        <v>773</v>
      </c>
      <c r="B711" s="1" t="s">
        <v>32</v>
      </c>
      <c r="C711" s="1" t="s">
        <v>29</v>
      </c>
      <c r="F711" s="2">
        <v>44736</v>
      </c>
      <c r="G711" s="2" t="str">
        <f>TEXT(LayoffsData[[#This Row],[date]],"yyyy-mm")</f>
        <v>2022-06</v>
      </c>
      <c r="H711" s="1" t="s">
        <v>37</v>
      </c>
      <c r="I711" s="1" t="s">
        <v>17</v>
      </c>
      <c r="J711">
        <v>76</v>
      </c>
    </row>
    <row r="712" spans="1:10" x14ac:dyDescent="0.25">
      <c r="A712" s="1" t="s">
        <v>774</v>
      </c>
      <c r="B712" s="1" t="s">
        <v>775</v>
      </c>
      <c r="C712" s="1" t="s">
        <v>68</v>
      </c>
      <c r="F712" s="2">
        <v>44953</v>
      </c>
      <c r="G712" s="2" t="str">
        <f>TEXT(LayoffsData[[#This Row],[date]],"yyyy-mm")</f>
        <v>2023-01</v>
      </c>
      <c r="H712" s="1" t="s">
        <v>37</v>
      </c>
      <c r="I712" s="1" t="s">
        <v>776</v>
      </c>
      <c r="J712">
        <v>273</v>
      </c>
    </row>
    <row r="713" spans="1:10" x14ac:dyDescent="0.25">
      <c r="A713" s="1" t="s">
        <v>777</v>
      </c>
      <c r="B713" s="1" t="s">
        <v>196</v>
      </c>
      <c r="C713" s="1" t="s">
        <v>51</v>
      </c>
      <c r="D713">
        <v>100</v>
      </c>
      <c r="E713">
        <v>1</v>
      </c>
      <c r="F713" s="2">
        <v>44862</v>
      </c>
      <c r="G713" s="2" t="str">
        <f>TEXT(LayoffsData[[#This Row],[date]],"yyyy-mm")</f>
        <v>2022-10</v>
      </c>
      <c r="H713" s="1" t="s">
        <v>24</v>
      </c>
      <c r="I713" s="1" t="s">
        <v>17</v>
      </c>
      <c r="J713">
        <v>35</v>
      </c>
    </row>
    <row r="714" spans="1:10" x14ac:dyDescent="0.25">
      <c r="A714" s="1" t="s">
        <v>778</v>
      </c>
      <c r="B714" s="1" t="s">
        <v>92</v>
      </c>
      <c r="C714" s="1" t="s">
        <v>598</v>
      </c>
      <c r="F714" s="2">
        <v>44901</v>
      </c>
      <c r="G714" s="2" t="str">
        <f>TEXT(LayoffsData[[#This Row],[date]],"yyyy-mm")</f>
        <v>2022-12</v>
      </c>
      <c r="H714" s="1" t="s">
        <v>33</v>
      </c>
      <c r="I714" s="1" t="s">
        <v>17</v>
      </c>
      <c r="J714">
        <v>226</v>
      </c>
    </row>
    <row r="715" spans="1:10" x14ac:dyDescent="0.25">
      <c r="A715" s="1" t="s">
        <v>779</v>
      </c>
      <c r="B715" s="1" t="s">
        <v>168</v>
      </c>
      <c r="C715" s="1" t="s">
        <v>68</v>
      </c>
      <c r="F715" s="2">
        <v>44951</v>
      </c>
      <c r="G715" s="2" t="str">
        <f>TEXT(LayoffsData[[#This Row],[date]],"yyyy-mm")</f>
        <v>2023-01</v>
      </c>
      <c r="H715" s="1" t="s">
        <v>37</v>
      </c>
      <c r="I715" s="1" t="s">
        <v>170</v>
      </c>
    </row>
    <row r="716" spans="1:10" x14ac:dyDescent="0.25">
      <c r="A716" s="1" t="s">
        <v>780</v>
      </c>
      <c r="B716" s="1" t="s">
        <v>44</v>
      </c>
      <c r="C716" s="1" t="s">
        <v>29</v>
      </c>
      <c r="E716">
        <v>0.15</v>
      </c>
      <c r="F716" s="2">
        <v>44960</v>
      </c>
      <c r="G716" s="2" t="str">
        <f>TEXT(LayoffsData[[#This Row],[date]],"yyyy-mm")</f>
        <v>2023-02</v>
      </c>
      <c r="H716" s="1" t="s">
        <v>37</v>
      </c>
      <c r="I716" s="1" t="s">
        <v>46</v>
      </c>
      <c r="J716">
        <v>30</v>
      </c>
    </row>
    <row r="717" spans="1:10" x14ac:dyDescent="0.25">
      <c r="A717" s="1" t="s">
        <v>781</v>
      </c>
      <c r="B717" s="1" t="s">
        <v>241</v>
      </c>
      <c r="C717" s="1" t="s">
        <v>172</v>
      </c>
      <c r="D717">
        <v>16</v>
      </c>
      <c r="E717">
        <v>0.2</v>
      </c>
      <c r="F717" s="2">
        <v>44729</v>
      </c>
      <c r="G717" s="2" t="str">
        <f>TEXT(LayoffsData[[#This Row],[date]],"yyyy-mm")</f>
        <v>2022-06</v>
      </c>
      <c r="H717" s="1" t="s">
        <v>24</v>
      </c>
      <c r="I717" s="1" t="s">
        <v>17</v>
      </c>
      <c r="J717">
        <v>49</v>
      </c>
    </row>
    <row r="718" spans="1:10" x14ac:dyDescent="0.25">
      <c r="A718" s="1" t="s">
        <v>782</v>
      </c>
      <c r="B718" s="1" t="s">
        <v>783</v>
      </c>
      <c r="C718" s="1" t="s">
        <v>68</v>
      </c>
      <c r="D718">
        <v>14</v>
      </c>
      <c r="E718">
        <v>0.1</v>
      </c>
      <c r="F718" s="2">
        <v>44742</v>
      </c>
      <c r="G718" s="2" t="str">
        <f>TEXT(LayoffsData[[#This Row],[date]],"yyyy-mm")</f>
        <v>2022-06</v>
      </c>
      <c r="H718" s="1" t="s">
        <v>21</v>
      </c>
      <c r="I718" s="1" t="s">
        <v>80</v>
      </c>
      <c r="J718">
        <v>22</v>
      </c>
    </row>
    <row r="719" spans="1:10" x14ac:dyDescent="0.25">
      <c r="A719" s="1" t="s">
        <v>784</v>
      </c>
      <c r="B719" s="1" t="s">
        <v>188</v>
      </c>
      <c r="C719" s="1" t="s">
        <v>51</v>
      </c>
      <c r="E719">
        <v>1</v>
      </c>
      <c r="F719" s="2">
        <v>44977</v>
      </c>
      <c r="G719" s="2" t="str">
        <f>TEXT(LayoffsData[[#This Row],[date]],"yyyy-mm")</f>
        <v>2023-02</v>
      </c>
      <c r="H719" s="1" t="s">
        <v>21</v>
      </c>
      <c r="I719" s="1" t="s">
        <v>17</v>
      </c>
      <c r="J719">
        <v>9</v>
      </c>
    </row>
    <row r="720" spans="1:10" x14ac:dyDescent="0.25">
      <c r="A720" s="1" t="s">
        <v>785</v>
      </c>
      <c r="B720" s="1" t="s">
        <v>32</v>
      </c>
      <c r="C720" s="1" t="s">
        <v>36</v>
      </c>
      <c r="D720">
        <v>30</v>
      </c>
      <c r="E720">
        <v>0.05</v>
      </c>
      <c r="F720" s="2">
        <v>44977</v>
      </c>
      <c r="G720" s="2" t="str">
        <f>TEXT(LayoffsData[[#This Row],[date]],"yyyy-mm")</f>
        <v>2023-02</v>
      </c>
      <c r="H720" s="1" t="s">
        <v>16</v>
      </c>
      <c r="I720" s="1" t="s">
        <v>17</v>
      </c>
      <c r="J720">
        <v>1000</v>
      </c>
    </row>
    <row r="721" spans="1:10" x14ac:dyDescent="0.25">
      <c r="A721" s="1" t="s">
        <v>786</v>
      </c>
      <c r="B721" s="1" t="s">
        <v>168</v>
      </c>
      <c r="C721" s="1" t="s">
        <v>74</v>
      </c>
      <c r="F721" s="2">
        <v>44811</v>
      </c>
      <c r="G721" s="2" t="str">
        <f>TEXT(LayoffsData[[#This Row],[date]],"yyyy-mm")</f>
        <v>2022-09</v>
      </c>
      <c r="H721" s="1" t="s">
        <v>28</v>
      </c>
      <c r="I721" s="1" t="s">
        <v>170</v>
      </c>
      <c r="J721">
        <v>264</v>
      </c>
    </row>
    <row r="722" spans="1:10" x14ac:dyDescent="0.25">
      <c r="A722" s="1" t="s">
        <v>787</v>
      </c>
      <c r="B722" s="1" t="s">
        <v>32</v>
      </c>
      <c r="C722" s="1" t="s">
        <v>124</v>
      </c>
      <c r="F722" s="2">
        <v>44903</v>
      </c>
      <c r="G722" s="2" t="str">
        <f>TEXT(LayoffsData[[#This Row],[date]],"yyyy-mm")</f>
        <v>2022-12</v>
      </c>
      <c r="H722" s="1" t="s">
        <v>24</v>
      </c>
      <c r="I722" s="1" t="s">
        <v>17</v>
      </c>
      <c r="J722">
        <v>32</v>
      </c>
    </row>
    <row r="723" spans="1:10" x14ac:dyDescent="0.25">
      <c r="A723" s="1" t="s">
        <v>788</v>
      </c>
      <c r="B723" s="1" t="s">
        <v>14</v>
      </c>
      <c r="C723" s="1" t="s">
        <v>29</v>
      </c>
      <c r="E723">
        <v>0.1</v>
      </c>
      <c r="F723" s="2">
        <v>44894</v>
      </c>
      <c r="G723" s="2" t="str">
        <f>TEXT(LayoffsData[[#This Row],[date]],"yyyy-mm")</f>
        <v>2022-11</v>
      </c>
      <c r="H723" s="1" t="s">
        <v>24</v>
      </c>
      <c r="I723" s="1" t="s">
        <v>17</v>
      </c>
      <c r="J723">
        <v>269</v>
      </c>
    </row>
    <row r="724" spans="1:10" x14ac:dyDescent="0.25">
      <c r="A724" s="1" t="s">
        <v>789</v>
      </c>
      <c r="B724" s="1" t="s">
        <v>790</v>
      </c>
      <c r="C724" s="1" t="s">
        <v>68</v>
      </c>
      <c r="F724" s="2">
        <v>44840</v>
      </c>
      <c r="G724" s="2" t="str">
        <f>TEXT(LayoffsData[[#This Row],[date]],"yyyy-mm")</f>
        <v>2022-10</v>
      </c>
      <c r="H724" s="1" t="s">
        <v>24</v>
      </c>
      <c r="I724" s="1" t="s">
        <v>791</v>
      </c>
      <c r="J724">
        <v>29</v>
      </c>
    </row>
    <row r="725" spans="1:10" x14ac:dyDescent="0.25">
      <c r="A725" s="1" t="s">
        <v>792</v>
      </c>
      <c r="B725" s="1" t="s">
        <v>40</v>
      </c>
      <c r="C725" s="1" t="s">
        <v>63</v>
      </c>
      <c r="D725">
        <v>30</v>
      </c>
      <c r="F725" s="2">
        <v>43923</v>
      </c>
      <c r="G725" s="2" t="str">
        <f>TEXT(LayoffsData[[#This Row],[date]],"yyyy-mm")</f>
        <v>2020-04</v>
      </c>
      <c r="H725" s="1" t="s">
        <v>33</v>
      </c>
      <c r="I725" s="1" t="s">
        <v>17</v>
      </c>
      <c r="J725">
        <v>50</v>
      </c>
    </row>
    <row r="726" spans="1:10" x14ac:dyDescent="0.25">
      <c r="A726" s="1" t="s">
        <v>793</v>
      </c>
      <c r="B726" s="1" t="s">
        <v>62</v>
      </c>
      <c r="C726" s="1" t="s">
        <v>27</v>
      </c>
      <c r="F726" s="2">
        <v>44943</v>
      </c>
      <c r="G726" s="2" t="str">
        <f>TEXT(LayoffsData[[#This Row],[date]],"yyyy-mm")</f>
        <v>2023-01</v>
      </c>
      <c r="H726" s="1" t="s">
        <v>37</v>
      </c>
      <c r="I726" s="1" t="s">
        <v>17</v>
      </c>
      <c r="J726">
        <v>59</v>
      </c>
    </row>
    <row r="727" spans="1:10" x14ac:dyDescent="0.25">
      <c r="A727" s="1" t="s">
        <v>794</v>
      </c>
      <c r="B727" s="1" t="s">
        <v>795</v>
      </c>
      <c r="C727" s="1" t="s">
        <v>506</v>
      </c>
      <c r="D727">
        <v>30</v>
      </c>
      <c r="E727">
        <v>0.11</v>
      </c>
      <c r="F727" s="2">
        <v>44987</v>
      </c>
      <c r="G727" s="2" t="str">
        <f>TEXT(LayoffsData[[#This Row],[date]],"yyyy-mm")</f>
        <v>2023-03</v>
      </c>
      <c r="H727" s="1" t="s">
        <v>21</v>
      </c>
      <c r="I727" s="1" t="s">
        <v>69</v>
      </c>
      <c r="J727">
        <v>13</v>
      </c>
    </row>
    <row r="728" spans="1:10" x14ac:dyDescent="0.25">
      <c r="A728" s="1" t="s">
        <v>796</v>
      </c>
      <c r="B728" s="1" t="s">
        <v>168</v>
      </c>
      <c r="C728" s="1" t="s">
        <v>149</v>
      </c>
      <c r="D728">
        <v>60</v>
      </c>
      <c r="E728">
        <v>0.08</v>
      </c>
      <c r="F728" s="2">
        <v>44768</v>
      </c>
      <c r="G728" s="2" t="str">
        <f>TEXT(LayoffsData[[#This Row],[date]],"yyyy-mm")</f>
        <v>2022-07</v>
      </c>
      <c r="H728" s="1" t="s">
        <v>11</v>
      </c>
      <c r="I728" s="1" t="s">
        <v>170</v>
      </c>
      <c r="J728">
        <v>111</v>
      </c>
    </row>
    <row r="729" spans="1:10" x14ac:dyDescent="0.25">
      <c r="A729" s="1" t="s">
        <v>797</v>
      </c>
      <c r="B729" s="1" t="s">
        <v>14</v>
      </c>
      <c r="C729" s="1" t="s">
        <v>74</v>
      </c>
      <c r="E729">
        <v>0.05</v>
      </c>
      <c r="F729" s="2">
        <v>44838</v>
      </c>
      <c r="G729" s="2" t="str">
        <f>TEXT(LayoffsData[[#This Row],[date]],"yyyy-mm")</f>
        <v>2022-10</v>
      </c>
      <c r="H729" s="1" t="s">
        <v>33</v>
      </c>
      <c r="I729" s="1" t="s">
        <v>17</v>
      </c>
    </row>
    <row r="730" spans="1:10" x14ac:dyDescent="0.25">
      <c r="A730" s="1" t="s">
        <v>798</v>
      </c>
      <c r="B730" s="1" t="s">
        <v>101</v>
      </c>
      <c r="C730" s="1" t="s">
        <v>51</v>
      </c>
      <c r="F730" s="2">
        <v>44887</v>
      </c>
      <c r="G730" s="2" t="str">
        <f>TEXT(LayoffsData[[#This Row],[date]],"yyyy-mm")</f>
        <v>2022-11</v>
      </c>
      <c r="H730" s="1" t="s">
        <v>24</v>
      </c>
      <c r="I730" s="1" t="s">
        <v>101</v>
      </c>
      <c r="J730">
        <v>57</v>
      </c>
    </row>
    <row r="731" spans="1:10" x14ac:dyDescent="0.25">
      <c r="A731" s="1" t="s">
        <v>799</v>
      </c>
      <c r="B731" s="1" t="s">
        <v>32</v>
      </c>
      <c r="C731" s="1" t="s">
        <v>41</v>
      </c>
      <c r="D731">
        <v>100</v>
      </c>
      <c r="F731" s="2">
        <v>43957</v>
      </c>
      <c r="G731" s="2" t="str">
        <f>TEXT(LayoffsData[[#This Row],[date]],"yyyy-mm")</f>
        <v>2020-05</v>
      </c>
      <c r="H731" s="1" t="s">
        <v>57</v>
      </c>
      <c r="I731" s="1" t="s">
        <v>17</v>
      </c>
      <c r="J731">
        <v>15</v>
      </c>
    </row>
    <row r="732" spans="1:10" x14ac:dyDescent="0.25">
      <c r="A732" s="1" t="s">
        <v>800</v>
      </c>
      <c r="B732" s="1" t="s">
        <v>14</v>
      </c>
      <c r="C732" s="1" t="s">
        <v>108</v>
      </c>
      <c r="D732">
        <v>640</v>
      </c>
      <c r="E732">
        <v>0.2</v>
      </c>
      <c r="F732" s="2">
        <v>44937</v>
      </c>
      <c r="G732" s="2" t="str">
        <f>TEXT(LayoffsData[[#This Row],[date]],"yyyy-mm")</f>
        <v>2023-01</v>
      </c>
      <c r="H732" s="1" t="s">
        <v>16</v>
      </c>
      <c r="I732" s="1" t="s">
        <v>17</v>
      </c>
      <c r="J732">
        <v>2400</v>
      </c>
    </row>
    <row r="733" spans="1:10" x14ac:dyDescent="0.25">
      <c r="A733" s="1" t="s">
        <v>801</v>
      </c>
      <c r="B733" s="1" t="s">
        <v>14</v>
      </c>
      <c r="C733" s="1" t="s">
        <v>63</v>
      </c>
      <c r="D733">
        <v>24</v>
      </c>
      <c r="E733">
        <v>0.21</v>
      </c>
      <c r="F733" s="2">
        <v>44850</v>
      </c>
      <c r="G733" s="2" t="str">
        <f>TEXT(LayoffsData[[#This Row],[date]],"yyyy-mm")</f>
        <v>2022-10</v>
      </c>
      <c r="H733" s="1" t="s">
        <v>37</v>
      </c>
      <c r="I733" s="1" t="s">
        <v>17</v>
      </c>
      <c r="J733">
        <v>235</v>
      </c>
    </row>
    <row r="734" spans="1:10" x14ac:dyDescent="0.25">
      <c r="A734" s="1" t="s">
        <v>802</v>
      </c>
      <c r="B734" s="1" t="s">
        <v>293</v>
      </c>
      <c r="C734" s="1" t="s">
        <v>29</v>
      </c>
      <c r="F734" s="2">
        <v>44987</v>
      </c>
      <c r="G734" s="2" t="str">
        <f>TEXT(LayoffsData[[#This Row],[date]],"yyyy-mm")</f>
        <v>2023-03</v>
      </c>
      <c r="H734" s="1" t="s">
        <v>57</v>
      </c>
      <c r="I734" s="1" t="s">
        <v>69</v>
      </c>
      <c r="J734">
        <v>12900</v>
      </c>
    </row>
    <row r="735" spans="1:10" x14ac:dyDescent="0.25">
      <c r="A735" s="1" t="s">
        <v>803</v>
      </c>
      <c r="B735" s="1" t="s">
        <v>14</v>
      </c>
      <c r="C735" s="1" t="s">
        <v>41</v>
      </c>
      <c r="D735">
        <v>37</v>
      </c>
      <c r="E735">
        <v>0.5</v>
      </c>
      <c r="F735" s="2">
        <v>44432</v>
      </c>
      <c r="G735" s="2" t="str">
        <f>TEXT(LayoffsData[[#This Row],[date]],"yyyy-mm")</f>
        <v>2021-08</v>
      </c>
      <c r="H735" s="1" t="s">
        <v>21</v>
      </c>
      <c r="I735" s="1" t="s">
        <v>17</v>
      </c>
      <c r="J735">
        <v>14</v>
      </c>
    </row>
    <row r="736" spans="1:10" x14ac:dyDescent="0.25">
      <c r="A736" s="1" t="s">
        <v>804</v>
      </c>
      <c r="B736" s="1" t="s">
        <v>26</v>
      </c>
      <c r="C736" s="1" t="s">
        <v>68</v>
      </c>
      <c r="F736" s="2">
        <v>43931</v>
      </c>
      <c r="G736" s="2" t="str">
        <f>TEXT(LayoffsData[[#This Row],[date]],"yyyy-mm")</f>
        <v>2020-04</v>
      </c>
      <c r="H736" s="1" t="s">
        <v>28</v>
      </c>
      <c r="I736" s="1" t="s">
        <v>17</v>
      </c>
      <c r="J736">
        <v>119</v>
      </c>
    </row>
    <row r="737" spans="1:10" x14ac:dyDescent="0.25">
      <c r="A737" s="1" t="s">
        <v>805</v>
      </c>
      <c r="B737" s="1" t="s">
        <v>128</v>
      </c>
      <c r="C737" s="1" t="s">
        <v>29</v>
      </c>
      <c r="E737">
        <v>0.15</v>
      </c>
      <c r="F737" s="2">
        <v>44813</v>
      </c>
      <c r="G737" s="2" t="str">
        <f>TEXT(LayoffsData[[#This Row],[date]],"yyyy-mm")</f>
        <v>2022-09</v>
      </c>
      <c r="H737" s="1" t="s">
        <v>37</v>
      </c>
      <c r="I737" s="1" t="s">
        <v>17</v>
      </c>
      <c r="J737">
        <v>45</v>
      </c>
    </row>
    <row r="738" spans="1:10" x14ac:dyDescent="0.25">
      <c r="A738" s="1" t="s">
        <v>806</v>
      </c>
      <c r="B738" s="1" t="s">
        <v>9</v>
      </c>
      <c r="C738" s="1" t="s">
        <v>29</v>
      </c>
      <c r="E738">
        <v>0.25</v>
      </c>
      <c r="F738" s="2">
        <v>43914</v>
      </c>
      <c r="G738" s="2" t="str">
        <f>TEXT(LayoffsData[[#This Row],[date]],"yyyy-mm")</f>
        <v>2020-03</v>
      </c>
      <c r="H738" s="1" t="s">
        <v>37</v>
      </c>
      <c r="I738" s="1" t="s">
        <v>12</v>
      </c>
    </row>
    <row r="739" spans="1:10" x14ac:dyDescent="0.25">
      <c r="A739" s="1" t="s">
        <v>807</v>
      </c>
      <c r="B739" s="1" t="s">
        <v>35</v>
      </c>
      <c r="C739" s="1" t="s">
        <v>149</v>
      </c>
      <c r="D739">
        <v>83</v>
      </c>
      <c r="E739">
        <v>0.82</v>
      </c>
      <c r="F739" s="2">
        <v>44790</v>
      </c>
      <c r="G739" s="2" t="str">
        <f>TEXT(LayoffsData[[#This Row],[date]],"yyyy-mm")</f>
        <v>2022-08</v>
      </c>
      <c r="H739" s="1" t="s">
        <v>131</v>
      </c>
      <c r="I739" s="1" t="s">
        <v>38</v>
      </c>
    </row>
    <row r="740" spans="1:10" x14ac:dyDescent="0.25">
      <c r="A740" s="1" t="s">
        <v>808</v>
      </c>
      <c r="B740" s="1" t="s">
        <v>200</v>
      </c>
      <c r="C740" s="1" t="s">
        <v>68</v>
      </c>
      <c r="E740">
        <v>1</v>
      </c>
      <c r="F740" s="2">
        <v>44848</v>
      </c>
      <c r="G740" s="2" t="str">
        <f>TEXT(LayoffsData[[#This Row],[date]],"yyyy-mm")</f>
        <v>2022-10</v>
      </c>
      <c r="H740" s="1" t="s">
        <v>37</v>
      </c>
      <c r="I740" s="1" t="s">
        <v>201</v>
      </c>
      <c r="J740">
        <v>9</v>
      </c>
    </row>
    <row r="741" spans="1:10" x14ac:dyDescent="0.25">
      <c r="A741" s="1" t="s">
        <v>809</v>
      </c>
      <c r="B741" s="1" t="s">
        <v>55</v>
      </c>
      <c r="C741" s="1" t="s">
        <v>174</v>
      </c>
      <c r="D741">
        <v>200</v>
      </c>
      <c r="E741">
        <v>0.2</v>
      </c>
      <c r="F741" s="2">
        <v>44762</v>
      </c>
      <c r="G741" s="2" t="str">
        <f>TEXT(LayoffsData[[#This Row],[date]],"yyyy-mm")</f>
        <v>2022-07</v>
      </c>
      <c r="H741" s="1" t="s">
        <v>28</v>
      </c>
      <c r="I741" s="1" t="s">
        <v>17</v>
      </c>
      <c r="J741">
        <v>310</v>
      </c>
    </row>
    <row r="742" spans="1:10" x14ac:dyDescent="0.25">
      <c r="A742" s="1" t="s">
        <v>809</v>
      </c>
      <c r="B742" s="1" t="s">
        <v>55</v>
      </c>
      <c r="C742" s="1" t="s">
        <v>174</v>
      </c>
      <c r="D742">
        <v>300</v>
      </c>
      <c r="E742">
        <v>0.4</v>
      </c>
      <c r="F742" s="2">
        <v>44874</v>
      </c>
      <c r="G742" s="2" t="str">
        <f>TEXT(LayoffsData[[#This Row],[date]],"yyyy-mm")</f>
        <v>2022-11</v>
      </c>
      <c r="H742" s="1" t="s">
        <v>28</v>
      </c>
      <c r="I742" s="1" t="s">
        <v>17</v>
      </c>
      <c r="J742">
        <v>310</v>
      </c>
    </row>
    <row r="743" spans="1:10" x14ac:dyDescent="0.25">
      <c r="A743" s="1" t="s">
        <v>810</v>
      </c>
      <c r="B743" s="1" t="s">
        <v>811</v>
      </c>
      <c r="C743" s="1" t="s">
        <v>84</v>
      </c>
      <c r="D743">
        <v>200</v>
      </c>
      <c r="E743">
        <v>0.33</v>
      </c>
      <c r="F743" s="2">
        <v>43922</v>
      </c>
      <c r="G743" s="2" t="str">
        <f>TEXT(LayoffsData[[#This Row],[date]],"yyyy-mm")</f>
        <v>2020-04</v>
      </c>
      <c r="H743" s="1" t="s">
        <v>37</v>
      </c>
      <c r="I743" s="1" t="s">
        <v>812</v>
      </c>
    </row>
    <row r="744" spans="1:10" x14ac:dyDescent="0.25">
      <c r="A744" s="1" t="s">
        <v>813</v>
      </c>
      <c r="B744" s="1" t="s">
        <v>293</v>
      </c>
      <c r="C744" s="1" t="s">
        <v>84</v>
      </c>
      <c r="F744" s="2">
        <v>43952</v>
      </c>
      <c r="G744" s="2" t="str">
        <f>TEXT(LayoffsData[[#This Row],[date]],"yyyy-mm")</f>
        <v>2020-05</v>
      </c>
      <c r="H744" s="1" t="s">
        <v>131</v>
      </c>
      <c r="I744" s="1" t="s">
        <v>69</v>
      </c>
      <c r="J744">
        <v>1</v>
      </c>
    </row>
    <row r="745" spans="1:10" x14ac:dyDescent="0.25">
      <c r="A745" s="1" t="s">
        <v>814</v>
      </c>
      <c r="B745" s="1" t="s">
        <v>232</v>
      </c>
      <c r="C745" s="1" t="s">
        <v>20</v>
      </c>
      <c r="D745">
        <v>4</v>
      </c>
      <c r="E745">
        <v>0.2</v>
      </c>
      <c r="F745" s="2">
        <v>43908</v>
      </c>
      <c r="G745" s="2" t="str">
        <f>TEXT(LayoffsData[[#This Row],[date]],"yyyy-mm")</f>
        <v>2020-03</v>
      </c>
      <c r="H745" s="1" t="s">
        <v>131</v>
      </c>
      <c r="I745" s="1" t="s">
        <v>17</v>
      </c>
      <c r="J745">
        <v>4</v>
      </c>
    </row>
    <row r="746" spans="1:10" x14ac:dyDescent="0.25">
      <c r="A746" s="1" t="s">
        <v>815</v>
      </c>
      <c r="B746" s="1" t="s">
        <v>32</v>
      </c>
      <c r="C746" s="1" t="s">
        <v>506</v>
      </c>
      <c r="D746">
        <v>784</v>
      </c>
      <c r="E746">
        <v>0.98</v>
      </c>
      <c r="F746" s="2">
        <v>43910</v>
      </c>
      <c r="G746" s="2" t="str">
        <f>TEXT(LayoffsData[[#This Row],[date]],"yyyy-mm")</f>
        <v>2020-03</v>
      </c>
      <c r="H746" s="1" t="s">
        <v>57</v>
      </c>
      <c r="I746" s="1" t="s">
        <v>17</v>
      </c>
      <c r="J746">
        <v>120</v>
      </c>
    </row>
    <row r="747" spans="1:10" x14ac:dyDescent="0.25">
      <c r="A747" s="1" t="s">
        <v>816</v>
      </c>
      <c r="B747" s="1" t="s">
        <v>73</v>
      </c>
      <c r="C747" s="1" t="s">
        <v>68</v>
      </c>
      <c r="D747">
        <v>60</v>
      </c>
      <c r="E747">
        <v>0.12</v>
      </c>
      <c r="F747" s="2">
        <v>43958</v>
      </c>
      <c r="G747" s="2" t="str">
        <f>TEXT(LayoffsData[[#This Row],[date]],"yyyy-mm")</f>
        <v>2020-05</v>
      </c>
      <c r="H747" s="1" t="s">
        <v>16</v>
      </c>
      <c r="I747" s="1" t="s">
        <v>17</v>
      </c>
      <c r="J747">
        <v>263</v>
      </c>
    </row>
    <row r="748" spans="1:10" x14ac:dyDescent="0.25">
      <c r="A748" s="1" t="s">
        <v>817</v>
      </c>
      <c r="B748" s="1" t="s">
        <v>32</v>
      </c>
      <c r="C748" s="1" t="s">
        <v>51</v>
      </c>
      <c r="F748" s="2">
        <v>43938</v>
      </c>
      <c r="G748" s="2" t="str">
        <f>TEXT(LayoffsData[[#This Row],[date]],"yyyy-mm")</f>
        <v>2020-04</v>
      </c>
      <c r="H748" s="1" t="s">
        <v>57</v>
      </c>
      <c r="I748" s="1" t="s">
        <v>17</v>
      </c>
      <c r="J748">
        <v>96</v>
      </c>
    </row>
    <row r="749" spans="1:10" x14ac:dyDescent="0.25">
      <c r="A749" s="1" t="s">
        <v>817</v>
      </c>
      <c r="B749" s="1" t="s">
        <v>32</v>
      </c>
      <c r="C749" s="1" t="s">
        <v>51</v>
      </c>
      <c r="D749">
        <v>20</v>
      </c>
      <c r="E749">
        <v>0.1</v>
      </c>
      <c r="F749" s="2">
        <v>44659</v>
      </c>
      <c r="G749" s="2" t="str">
        <f>TEXT(LayoffsData[[#This Row],[date]],"yyyy-mm")</f>
        <v>2022-04</v>
      </c>
      <c r="H749" s="1" t="s">
        <v>57</v>
      </c>
      <c r="I749" s="1" t="s">
        <v>17</v>
      </c>
      <c r="J749">
        <v>176</v>
      </c>
    </row>
    <row r="750" spans="1:10" x14ac:dyDescent="0.25">
      <c r="A750" s="1" t="s">
        <v>817</v>
      </c>
      <c r="B750" s="1" t="s">
        <v>32</v>
      </c>
      <c r="C750" s="1" t="s">
        <v>51</v>
      </c>
      <c r="D750">
        <v>21</v>
      </c>
      <c r="E750">
        <v>0.15</v>
      </c>
      <c r="F750" s="2">
        <v>44715</v>
      </c>
      <c r="G750" s="2" t="str">
        <f>TEXT(LayoffsData[[#This Row],[date]],"yyyy-mm")</f>
        <v>2022-06</v>
      </c>
      <c r="H750" s="1" t="s">
        <v>57</v>
      </c>
      <c r="I750" s="1" t="s">
        <v>17</v>
      </c>
      <c r="J750">
        <v>176</v>
      </c>
    </row>
    <row r="751" spans="1:10" x14ac:dyDescent="0.25">
      <c r="A751" s="1" t="s">
        <v>818</v>
      </c>
      <c r="B751" s="1" t="s">
        <v>819</v>
      </c>
      <c r="C751" s="1" t="s">
        <v>51</v>
      </c>
      <c r="D751">
        <v>80</v>
      </c>
      <c r="F751" s="2">
        <v>44707</v>
      </c>
      <c r="G751" s="2" t="str">
        <f>TEXT(LayoffsData[[#This Row],[date]],"yyyy-mm")</f>
        <v>2022-05</v>
      </c>
      <c r="H751" s="1" t="s">
        <v>57</v>
      </c>
      <c r="I751" s="1" t="s">
        <v>820</v>
      </c>
      <c r="J751">
        <v>749</v>
      </c>
    </row>
    <row r="752" spans="1:10" x14ac:dyDescent="0.25">
      <c r="A752" s="1" t="s">
        <v>818</v>
      </c>
      <c r="B752" s="1" t="s">
        <v>101</v>
      </c>
      <c r="C752" s="1" t="s">
        <v>51</v>
      </c>
      <c r="F752" s="2">
        <v>44970</v>
      </c>
      <c r="G752" s="2" t="str">
        <f>TEXT(LayoffsData[[#This Row],[date]],"yyyy-mm")</f>
        <v>2023-02</v>
      </c>
      <c r="H752" s="1" t="s">
        <v>57</v>
      </c>
      <c r="I752" s="1" t="s">
        <v>101</v>
      </c>
      <c r="J752">
        <v>749</v>
      </c>
    </row>
    <row r="753" spans="1:10" x14ac:dyDescent="0.25">
      <c r="A753" s="1" t="s">
        <v>818</v>
      </c>
      <c r="B753" s="1" t="s">
        <v>101</v>
      </c>
      <c r="C753" s="1" t="s">
        <v>51</v>
      </c>
      <c r="D753">
        <v>60</v>
      </c>
      <c r="F753" s="2">
        <v>44811</v>
      </c>
      <c r="G753" s="2" t="str">
        <f>TEXT(LayoffsData[[#This Row],[date]],"yyyy-mm")</f>
        <v>2022-09</v>
      </c>
      <c r="H753" s="1" t="s">
        <v>57</v>
      </c>
      <c r="I753" s="1" t="s">
        <v>101</v>
      </c>
      <c r="J753">
        <v>749</v>
      </c>
    </row>
    <row r="754" spans="1:10" x14ac:dyDescent="0.25">
      <c r="A754" s="1" t="s">
        <v>821</v>
      </c>
      <c r="B754" s="1" t="s">
        <v>235</v>
      </c>
      <c r="C754" s="1" t="s">
        <v>51</v>
      </c>
      <c r="D754">
        <v>87</v>
      </c>
      <c r="E754">
        <v>0.67</v>
      </c>
      <c r="F754" s="2">
        <v>43914</v>
      </c>
      <c r="G754" s="2" t="str">
        <f>TEXT(LayoffsData[[#This Row],[date]],"yyyy-mm")</f>
        <v>2020-03</v>
      </c>
      <c r="H754" s="1" t="s">
        <v>24</v>
      </c>
      <c r="I754" s="1" t="s">
        <v>17</v>
      </c>
      <c r="J754">
        <v>20</v>
      </c>
    </row>
    <row r="755" spans="1:10" x14ac:dyDescent="0.25">
      <c r="A755" s="1" t="s">
        <v>822</v>
      </c>
      <c r="B755" s="1" t="s">
        <v>14</v>
      </c>
      <c r="C755" s="1" t="s">
        <v>172</v>
      </c>
      <c r="D755">
        <v>100</v>
      </c>
      <c r="E755">
        <v>0.1</v>
      </c>
      <c r="F755" s="2">
        <v>44936</v>
      </c>
      <c r="G755" s="2" t="str">
        <f>TEXT(LayoffsData[[#This Row],[date]],"yyyy-mm")</f>
        <v>2023-01</v>
      </c>
      <c r="H755" s="1" t="s">
        <v>11</v>
      </c>
      <c r="I755" s="1" t="s">
        <v>17</v>
      </c>
      <c r="J755">
        <v>125</v>
      </c>
    </row>
    <row r="756" spans="1:10" x14ac:dyDescent="0.25">
      <c r="A756" s="1" t="s">
        <v>823</v>
      </c>
      <c r="B756" s="1" t="s">
        <v>14</v>
      </c>
      <c r="C756" s="1" t="s">
        <v>68</v>
      </c>
      <c r="E756">
        <v>0.4</v>
      </c>
      <c r="F756" s="2">
        <v>44840</v>
      </c>
      <c r="G756" s="2" t="str">
        <f>TEXT(LayoffsData[[#This Row],[date]],"yyyy-mm")</f>
        <v>2022-10</v>
      </c>
      <c r="H756" s="1" t="s">
        <v>24</v>
      </c>
      <c r="I756" s="1" t="s">
        <v>17</v>
      </c>
      <c r="J756">
        <v>58</v>
      </c>
    </row>
    <row r="757" spans="1:10" x14ac:dyDescent="0.25">
      <c r="A757" s="1" t="s">
        <v>824</v>
      </c>
      <c r="B757" s="1" t="s">
        <v>9</v>
      </c>
      <c r="C757" s="1" t="s">
        <v>48</v>
      </c>
      <c r="D757">
        <v>15</v>
      </c>
      <c r="E757">
        <v>0.09</v>
      </c>
      <c r="F757" s="2">
        <v>44762</v>
      </c>
      <c r="G757" s="2" t="str">
        <f>TEXT(LayoffsData[[#This Row],[date]],"yyyy-mm")</f>
        <v>2022-07</v>
      </c>
      <c r="H757" s="1" t="s">
        <v>24</v>
      </c>
      <c r="I757" s="1" t="s">
        <v>12</v>
      </c>
      <c r="J757">
        <v>58</v>
      </c>
    </row>
    <row r="758" spans="1:10" x14ac:dyDescent="0.25">
      <c r="A758" s="1" t="s">
        <v>825</v>
      </c>
      <c r="B758" s="1" t="s">
        <v>79</v>
      </c>
      <c r="C758" s="1" t="s">
        <v>108</v>
      </c>
      <c r="D758">
        <v>60</v>
      </c>
      <c r="E758">
        <v>0.08</v>
      </c>
      <c r="F758" s="2">
        <v>44876</v>
      </c>
      <c r="G758" s="2" t="str">
        <f>TEXT(LayoffsData[[#This Row],[date]],"yyyy-mm")</f>
        <v>2022-11</v>
      </c>
      <c r="H758" s="1" t="s">
        <v>33</v>
      </c>
      <c r="I758" s="1" t="s">
        <v>17</v>
      </c>
      <c r="J758">
        <v>593</v>
      </c>
    </row>
    <row r="759" spans="1:10" x14ac:dyDescent="0.25">
      <c r="A759" s="1" t="s">
        <v>826</v>
      </c>
      <c r="B759" s="1" t="s">
        <v>14</v>
      </c>
      <c r="C759" s="1" t="s">
        <v>15</v>
      </c>
      <c r="E759">
        <v>0.05</v>
      </c>
      <c r="F759" s="2">
        <v>44753</v>
      </c>
      <c r="G759" s="2" t="str">
        <f>TEXT(LayoffsData[[#This Row],[date]],"yyyy-mm")</f>
        <v>2022-07</v>
      </c>
      <c r="H759" s="1" t="s">
        <v>33</v>
      </c>
      <c r="I759" s="1" t="s">
        <v>17</v>
      </c>
      <c r="J759">
        <v>225</v>
      </c>
    </row>
    <row r="760" spans="1:10" x14ac:dyDescent="0.25">
      <c r="A760" s="1" t="s">
        <v>826</v>
      </c>
      <c r="B760" s="1" t="s">
        <v>14</v>
      </c>
      <c r="C760" s="1" t="s">
        <v>15</v>
      </c>
      <c r="D760">
        <v>10</v>
      </c>
      <c r="E760">
        <v>0.03</v>
      </c>
      <c r="F760" s="2">
        <v>43941</v>
      </c>
      <c r="G760" s="2" t="str">
        <f>TEXT(LayoffsData[[#This Row],[date]],"yyyy-mm")</f>
        <v>2020-04</v>
      </c>
      <c r="H760" s="1" t="s">
        <v>28</v>
      </c>
      <c r="I760" s="1" t="s">
        <v>17</v>
      </c>
      <c r="J760">
        <v>100</v>
      </c>
    </row>
    <row r="761" spans="1:10" x14ac:dyDescent="0.25">
      <c r="A761" s="1" t="s">
        <v>827</v>
      </c>
      <c r="B761" s="1" t="s">
        <v>76</v>
      </c>
      <c r="C761" s="1" t="s">
        <v>108</v>
      </c>
      <c r="D761">
        <v>60</v>
      </c>
      <c r="E761">
        <v>0.08</v>
      </c>
      <c r="F761" s="2">
        <v>44784</v>
      </c>
      <c r="G761" s="2" t="str">
        <f>TEXT(LayoffsData[[#This Row],[date]],"yyyy-mm")</f>
        <v>2022-08</v>
      </c>
      <c r="H761" s="1" t="s">
        <v>33</v>
      </c>
      <c r="I761" s="1" t="s">
        <v>17</v>
      </c>
      <c r="J761">
        <v>201</v>
      </c>
    </row>
    <row r="762" spans="1:10" x14ac:dyDescent="0.25">
      <c r="A762" s="1" t="s">
        <v>828</v>
      </c>
      <c r="B762" s="1" t="s">
        <v>76</v>
      </c>
      <c r="C762" s="1" t="s">
        <v>51</v>
      </c>
      <c r="D762">
        <v>26</v>
      </c>
      <c r="E762">
        <v>3.5000000000000003E-2</v>
      </c>
      <c r="F762" s="2">
        <v>44827</v>
      </c>
      <c r="G762" s="2" t="str">
        <f>TEXT(LayoffsData[[#This Row],[date]],"yyyy-mm")</f>
        <v>2022-09</v>
      </c>
      <c r="H762" s="1" t="s">
        <v>28</v>
      </c>
      <c r="I762" s="1" t="s">
        <v>17</v>
      </c>
      <c r="J762">
        <v>166</v>
      </c>
    </row>
    <row r="763" spans="1:10" x14ac:dyDescent="0.25">
      <c r="A763" s="1" t="s">
        <v>829</v>
      </c>
      <c r="B763" s="1" t="s">
        <v>67</v>
      </c>
      <c r="C763" s="1" t="s">
        <v>51</v>
      </c>
      <c r="D763">
        <v>150</v>
      </c>
      <c r="F763" s="2">
        <v>44754</v>
      </c>
      <c r="G763" s="2" t="str">
        <f>TEXT(LayoffsData[[#This Row],[date]],"yyyy-mm")</f>
        <v>2022-07</v>
      </c>
      <c r="H763" s="1" t="s">
        <v>24</v>
      </c>
      <c r="I763" s="1" t="s">
        <v>69</v>
      </c>
      <c r="J763">
        <v>63</v>
      </c>
    </row>
    <row r="764" spans="1:10" x14ac:dyDescent="0.25">
      <c r="A764" s="1" t="s">
        <v>830</v>
      </c>
      <c r="B764" s="1" t="s">
        <v>200</v>
      </c>
      <c r="C764" s="1" t="s">
        <v>68</v>
      </c>
      <c r="D764">
        <v>45</v>
      </c>
      <c r="E764">
        <v>0.15</v>
      </c>
      <c r="F764" s="2">
        <v>44722</v>
      </c>
      <c r="G764" s="2" t="str">
        <f>TEXT(LayoffsData[[#This Row],[date]],"yyyy-mm")</f>
        <v>2022-06</v>
      </c>
      <c r="H764" s="1" t="s">
        <v>37</v>
      </c>
      <c r="I764" s="1" t="s">
        <v>201</v>
      </c>
      <c r="J764">
        <v>133</v>
      </c>
    </row>
    <row r="765" spans="1:10" x14ac:dyDescent="0.25">
      <c r="A765" s="1" t="s">
        <v>831</v>
      </c>
      <c r="B765" s="1" t="s">
        <v>73</v>
      </c>
      <c r="C765" s="1" t="s">
        <v>15</v>
      </c>
      <c r="E765">
        <v>0.5</v>
      </c>
      <c r="F765" s="2">
        <v>44958</v>
      </c>
      <c r="G765" s="2" t="str">
        <f>TEXT(LayoffsData[[#This Row],[date]],"yyyy-mm")</f>
        <v>2023-02</v>
      </c>
      <c r="H765" s="1" t="s">
        <v>11</v>
      </c>
      <c r="I765" s="1" t="s">
        <v>17</v>
      </c>
      <c r="J765">
        <v>76</v>
      </c>
    </row>
    <row r="766" spans="1:10" x14ac:dyDescent="0.25">
      <c r="A766" s="1" t="s">
        <v>832</v>
      </c>
      <c r="B766" s="1" t="s">
        <v>9</v>
      </c>
      <c r="C766" s="1" t="s">
        <v>68</v>
      </c>
      <c r="D766">
        <v>38</v>
      </c>
      <c r="E766">
        <v>0.09</v>
      </c>
      <c r="F766" s="2">
        <v>43942</v>
      </c>
      <c r="G766" s="2" t="str">
        <f>TEXT(LayoffsData[[#This Row],[date]],"yyyy-mm")</f>
        <v>2020-04</v>
      </c>
      <c r="H766" s="1" t="s">
        <v>24</v>
      </c>
      <c r="I766" s="1" t="s">
        <v>12</v>
      </c>
      <c r="J766">
        <v>75</v>
      </c>
    </row>
    <row r="767" spans="1:10" x14ac:dyDescent="0.25">
      <c r="A767" s="1" t="s">
        <v>833</v>
      </c>
      <c r="B767" s="1" t="s">
        <v>341</v>
      </c>
      <c r="C767" s="1" t="s">
        <v>51</v>
      </c>
      <c r="D767">
        <v>40</v>
      </c>
      <c r="F767" s="2">
        <v>44798</v>
      </c>
      <c r="G767" s="2" t="str">
        <f>TEXT(LayoffsData[[#This Row],[date]],"yyyy-mm")</f>
        <v>2022-08</v>
      </c>
      <c r="H767" s="1" t="s">
        <v>57</v>
      </c>
      <c r="I767" s="1" t="s">
        <v>17</v>
      </c>
      <c r="J767">
        <v>280</v>
      </c>
    </row>
    <row r="768" spans="1:10" x14ac:dyDescent="0.25">
      <c r="A768" s="1" t="s">
        <v>834</v>
      </c>
      <c r="B768" s="1" t="s">
        <v>32</v>
      </c>
      <c r="C768" s="1" t="s">
        <v>51</v>
      </c>
      <c r="E768">
        <v>0.25</v>
      </c>
      <c r="F768" s="2">
        <v>44760</v>
      </c>
      <c r="G768" s="2" t="str">
        <f>TEXT(LayoffsData[[#This Row],[date]],"yyyy-mm")</f>
        <v>2022-07</v>
      </c>
      <c r="H768" s="1" t="s">
        <v>57</v>
      </c>
      <c r="I768" s="1" t="s">
        <v>17</v>
      </c>
      <c r="J768">
        <v>107</v>
      </c>
    </row>
    <row r="769" spans="1:10" x14ac:dyDescent="0.25">
      <c r="A769" s="1" t="s">
        <v>834</v>
      </c>
      <c r="B769" s="1" t="s">
        <v>238</v>
      </c>
      <c r="C769" s="1" t="s">
        <v>51</v>
      </c>
      <c r="D769">
        <v>329</v>
      </c>
      <c r="F769" s="2">
        <v>44907</v>
      </c>
      <c r="G769" s="2" t="str">
        <f>TEXT(LayoffsData[[#This Row],[date]],"yyyy-mm")</f>
        <v>2022-12</v>
      </c>
      <c r="H769" s="1" t="s">
        <v>57</v>
      </c>
      <c r="I769" s="1" t="s">
        <v>17</v>
      </c>
      <c r="J769">
        <v>107</v>
      </c>
    </row>
    <row r="770" spans="1:10" x14ac:dyDescent="0.25">
      <c r="A770" s="1" t="s">
        <v>835</v>
      </c>
      <c r="B770" s="1" t="s">
        <v>14</v>
      </c>
      <c r="C770" s="1" t="s">
        <v>53</v>
      </c>
      <c r="D770">
        <v>90</v>
      </c>
      <c r="E770">
        <v>0.02</v>
      </c>
      <c r="F770" s="2">
        <v>44910</v>
      </c>
      <c r="G770" s="2" t="str">
        <f>TEXT(LayoffsData[[#This Row],[date]],"yyyy-mm")</f>
        <v>2022-12</v>
      </c>
      <c r="H770" s="1" t="s">
        <v>11</v>
      </c>
      <c r="I770" s="1" t="s">
        <v>17</v>
      </c>
      <c r="J770">
        <v>484</v>
      </c>
    </row>
    <row r="771" spans="1:10" x14ac:dyDescent="0.25">
      <c r="A771" s="1" t="s">
        <v>836</v>
      </c>
      <c r="B771" s="1" t="s">
        <v>14</v>
      </c>
      <c r="C771" s="1" t="s">
        <v>53</v>
      </c>
      <c r="F771" s="2">
        <v>44832</v>
      </c>
      <c r="G771" s="2" t="str">
        <f>TEXT(LayoffsData[[#This Row],[date]],"yyyy-mm")</f>
        <v>2022-09</v>
      </c>
      <c r="H771" s="1" t="s">
        <v>33</v>
      </c>
      <c r="I771" s="1" t="s">
        <v>17</v>
      </c>
      <c r="J771">
        <v>203</v>
      </c>
    </row>
    <row r="772" spans="1:10" x14ac:dyDescent="0.25">
      <c r="A772" s="1" t="s">
        <v>837</v>
      </c>
      <c r="B772" s="1" t="s">
        <v>838</v>
      </c>
      <c r="C772" s="1" t="s">
        <v>84</v>
      </c>
      <c r="D772">
        <v>35</v>
      </c>
      <c r="E772">
        <v>0.16</v>
      </c>
      <c r="F772" s="2">
        <v>43931</v>
      </c>
      <c r="G772" s="2" t="str">
        <f>TEXT(LayoffsData[[#This Row],[date]],"yyyy-mm")</f>
        <v>2020-04</v>
      </c>
      <c r="H772" s="1" t="s">
        <v>37</v>
      </c>
      <c r="I772" s="1" t="s">
        <v>17</v>
      </c>
      <c r="J772">
        <v>3</v>
      </c>
    </row>
    <row r="773" spans="1:10" x14ac:dyDescent="0.25">
      <c r="A773" s="1" t="s">
        <v>839</v>
      </c>
      <c r="B773" s="1" t="s">
        <v>293</v>
      </c>
      <c r="C773" s="1" t="s">
        <v>41</v>
      </c>
      <c r="D773">
        <v>130</v>
      </c>
      <c r="E773">
        <v>0.75</v>
      </c>
      <c r="F773" s="2">
        <v>44846</v>
      </c>
      <c r="G773" s="2" t="str">
        <f>TEXT(LayoffsData[[#This Row],[date]],"yyyy-mm")</f>
        <v>2022-10</v>
      </c>
      <c r="H773" s="1" t="s">
        <v>21</v>
      </c>
      <c r="I773" s="1" t="s">
        <v>69</v>
      </c>
      <c r="J773">
        <v>17</v>
      </c>
    </row>
    <row r="774" spans="1:10" x14ac:dyDescent="0.25">
      <c r="A774" s="1" t="s">
        <v>839</v>
      </c>
      <c r="B774" s="1" t="s">
        <v>293</v>
      </c>
      <c r="C774" s="1" t="s">
        <v>41</v>
      </c>
      <c r="D774">
        <v>145</v>
      </c>
      <c r="E774">
        <v>0.3</v>
      </c>
      <c r="F774" s="2">
        <v>44708</v>
      </c>
      <c r="G774" s="2" t="str">
        <f>TEXT(LayoffsData[[#This Row],[date]],"yyyy-mm")</f>
        <v>2022-05</v>
      </c>
      <c r="H774" s="1" t="s">
        <v>21</v>
      </c>
      <c r="I774" s="1" t="s">
        <v>69</v>
      </c>
      <c r="J774">
        <v>17</v>
      </c>
    </row>
    <row r="775" spans="1:10" x14ac:dyDescent="0.25">
      <c r="A775" s="1" t="s">
        <v>840</v>
      </c>
      <c r="B775" s="1" t="s">
        <v>88</v>
      </c>
      <c r="C775" s="1" t="s">
        <v>51</v>
      </c>
      <c r="E775">
        <v>0.03</v>
      </c>
      <c r="F775" s="2">
        <v>44733</v>
      </c>
      <c r="G775" s="2" t="str">
        <f>TEXT(LayoffsData[[#This Row],[date]],"yyyy-mm")</f>
        <v>2022-06</v>
      </c>
      <c r="H775" s="1" t="s">
        <v>28</v>
      </c>
      <c r="I775" s="1" t="s">
        <v>89</v>
      </c>
      <c r="J775">
        <v>202</v>
      </c>
    </row>
    <row r="776" spans="1:10" x14ac:dyDescent="0.25">
      <c r="A776" s="1" t="s">
        <v>841</v>
      </c>
      <c r="B776" s="1" t="s">
        <v>32</v>
      </c>
      <c r="C776" s="1" t="s">
        <v>63</v>
      </c>
      <c r="F776" s="2">
        <v>44775</v>
      </c>
      <c r="G776" s="2" t="str">
        <f>TEXT(LayoffsData[[#This Row],[date]],"yyyy-mm")</f>
        <v>2022-08</v>
      </c>
      <c r="H776" s="1" t="s">
        <v>11</v>
      </c>
      <c r="I776" s="1" t="s">
        <v>17</v>
      </c>
      <c r="J776">
        <v>151</v>
      </c>
    </row>
    <row r="777" spans="1:10" x14ac:dyDescent="0.25">
      <c r="A777" s="1" t="s">
        <v>842</v>
      </c>
      <c r="B777" s="1" t="s">
        <v>213</v>
      </c>
      <c r="C777" s="1" t="s">
        <v>20</v>
      </c>
      <c r="F777" s="2">
        <v>43937</v>
      </c>
      <c r="G777" s="2" t="str">
        <f>TEXT(LayoffsData[[#This Row],[date]],"yyyy-mm")</f>
        <v>2020-04</v>
      </c>
      <c r="H777" s="1" t="s">
        <v>28</v>
      </c>
      <c r="I777" s="1" t="s">
        <v>17</v>
      </c>
      <c r="J777">
        <v>59</v>
      </c>
    </row>
    <row r="778" spans="1:10" x14ac:dyDescent="0.25">
      <c r="A778" s="1" t="s">
        <v>842</v>
      </c>
      <c r="B778" s="1" t="s">
        <v>213</v>
      </c>
      <c r="C778" s="1" t="s">
        <v>20</v>
      </c>
      <c r="E778">
        <v>0.12</v>
      </c>
      <c r="F778" s="2">
        <v>44817</v>
      </c>
      <c r="G778" s="2" t="str">
        <f>TEXT(LayoffsData[[#This Row],[date]],"yyyy-mm")</f>
        <v>2022-09</v>
      </c>
      <c r="H778" s="1" t="s">
        <v>37</v>
      </c>
      <c r="I778" s="1" t="s">
        <v>17</v>
      </c>
      <c r="J778">
        <v>197</v>
      </c>
    </row>
    <row r="779" spans="1:10" x14ac:dyDescent="0.25">
      <c r="A779" s="1" t="s">
        <v>843</v>
      </c>
      <c r="B779" s="1" t="s">
        <v>14</v>
      </c>
      <c r="C779" s="1" t="s">
        <v>68</v>
      </c>
      <c r="D779">
        <v>14</v>
      </c>
      <c r="E779">
        <v>0.15</v>
      </c>
      <c r="F779" s="2">
        <v>43984</v>
      </c>
      <c r="G779" s="2" t="str">
        <f>TEXT(LayoffsData[[#This Row],[date]],"yyyy-mm")</f>
        <v>2020-06</v>
      </c>
      <c r="H779" s="1" t="s">
        <v>28</v>
      </c>
      <c r="I779" s="1" t="s">
        <v>17</v>
      </c>
      <c r="J779">
        <v>453</v>
      </c>
    </row>
    <row r="780" spans="1:10" x14ac:dyDescent="0.25">
      <c r="A780" s="1" t="s">
        <v>843</v>
      </c>
      <c r="B780" s="1" t="s">
        <v>14</v>
      </c>
      <c r="C780" s="1" t="s">
        <v>68</v>
      </c>
      <c r="D780">
        <v>150</v>
      </c>
      <c r="E780">
        <v>0.42</v>
      </c>
      <c r="F780" s="2">
        <v>44859</v>
      </c>
      <c r="G780" s="2" t="str">
        <f>TEXT(LayoffsData[[#This Row],[date]],"yyyy-mm")</f>
        <v>2022-10</v>
      </c>
      <c r="H780" s="1" t="s">
        <v>33</v>
      </c>
      <c r="I780" s="1" t="s">
        <v>17</v>
      </c>
      <c r="J780">
        <v>553</v>
      </c>
    </row>
    <row r="781" spans="1:10" x14ac:dyDescent="0.25">
      <c r="A781" s="1" t="s">
        <v>844</v>
      </c>
      <c r="B781" s="1" t="s">
        <v>14</v>
      </c>
      <c r="C781" s="1" t="s">
        <v>68</v>
      </c>
      <c r="D781">
        <v>85</v>
      </c>
      <c r="F781" s="2">
        <v>44020</v>
      </c>
      <c r="G781" s="2" t="str">
        <f>TEXT(LayoffsData[[#This Row],[date]],"yyyy-mm")</f>
        <v>2020-07</v>
      </c>
      <c r="H781" s="1" t="s">
        <v>11</v>
      </c>
      <c r="I781" s="1" t="s">
        <v>17</v>
      </c>
      <c r="J781">
        <v>746</v>
      </c>
    </row>
    <row r="782" spans="1:10" x14ac:dyDescent="0.25">
      <c r="A782" s="1" t="s">
        <v>845</v>
      </c>
      <c r="B782" s="1" t="s">
        <v>101</v>
      </c>
      <c r="C782" s="1" t="s">
        <v>68</v>
      </c>
      <c r="D782">
        <v>65</v>
      </c>
      <c r="E782">
        <v>0.18</v>
      </c>
      <c r="F782" s="2">
        <v>43937</v>
      </c>
      <c r="G782" s="2" t="str">
        <f>TEXT(LayoffsData[[#This Row],[date]],"yyyy-mm")</f>
        <v>2020-04</v>
      </c>
      <c r="H782" s="1" t="s">
        <v>24</v>
      </c>
      <c r="I782" s="1" t="s">
        <v>101</v>
      </c>
      <c r="J782">
        <v>42</v>
      </c>
    </row>
    <row r="783" spans="1:10" x14ac:dyDescent="0.25">
      <c r="A783" s="1" t="s">
        <v>846</v>
      </c>
      <c r="B783" s="1" t="s">
        <v>14</v>
      </c>
      <c r="C783" s="1" t="s">
        <v>36</v>
      </c>
      <c r="F783" s="2">
        <v>44802</v>
      </c>
      <c r="G783" s="2" t="str">
        <f>TEXT(LayoffsData[[#This Row],[date]],"yyyy-mm")</f>
        <v>2022-08</v>
      </c>
      <c r="H783" s="1" t="s">
        <v>28</v>
      </c>
      <c r="I783" s="1" t="s">
        <v>17</v>
      </c>
      <c r="J783">
        <v>310</v>
      </c>
    </row>
    <row r="784" spans="1:10" x14ac:dyDescent="0.25">
      <c r="A784" s="1" t="s">
        <v>847</v>
      </c>
      <c r="B784" s="1" t="s">
        <v>293</v>
      </c>
      <c r="C784" s="1" t="s">
        <v>29</v>
      </c>
      <c r="D784">
        <v>180</v>
      </c>
      <c r="F784" s="2">
        <v>44646</v>
      </c>
      <c r="G784" s="2" t="str">
        <f>TEXT(LayoffsData[[#This Row],[date]],"yyyy-mm")</f>
        <v>2022-03</v>
      </c>
      <c r="H784" s="1" t="s">
        <v>33</v>
      </c>
      <c r="I784" s="1" t="s">
        <v>69</v>
      </c>
      <c r="J784">
        <v>228</v>
      </c>
    </row>
    <row r="785" spans="1:10" x14ac:dyDescent="0.25">
      <c r="A785" s="1" t="s">
        <v>848</v>
      </c>
      <c r="B785" s="1" t="s">
        <v>200</v>
      </c>
      <c r="C785" s="1" t="s">
        <v>41</v>
      </c>
      <c r="F785" s="2">
        <v>44893</v>
      </c>
      <c r="G785" s="2" t="str">
        <f>TEXT(LayoffsData[[#This Row],[date]],"yyyy-mm")</f>
        <v>2022-11</v>
      </c>
      <c r="H785" s="1" t="s">
        <v>37</v>
      </c>
      <c r="I785" s="1" t="s">
        <v>201</v>
      </c>
      <c r="J785">
        <v>50</v>
      </c>
    </row>
    <row r="786" spans="1:10" x14ac:dyDescent="0.25">
      <c r="A786" s="1" t="s">
        <v>849</v>
      </c>
      <c r="B786" s="1" t="s">
        <v>32</v>
      </c>
      <c r="C786" s="1" t="s">
        <v>63</v>
      </c>
      <c r="D786">
        <v>14</v>
      </c>
      <c r="E786">
        <v>0.05</v>
      </c>
      <c r="F786" s="2">
        <v>43924</v>
      </c>
      <c r="G786" s="2" t="str">
        <f>TEXT(LayoffsData[[#This Row],[date]],"yyyy-mm")</f>
        <v>2020-04</v>
      </c>
      <c r="H786" s="1" t="s">
        <v>37</v>
      </c>
      <c r="I786" s="1" t="s">
        <v>17</v>
      </c>
    </row>
    <row r="787" spans="1:10" x14ac:dyDescent="0.25">
      <c r="A787" s="1" t="s">
        <v>850</v>
      </c>
      <c r="B787" s="1" t="s">
        <v>76</v>
      </c>
      <c r="C787" s="1" t="s">
        <v>20</v>
      </c>
      <c r="D787">
        <v>17</v>
      </c>
      <c r="E787">
        <v>0.05</v>
      </c>
      <c r="F787" s="2">
        <v>44012</v>
      </c>
      <c r="G787" s="2" t="str">
        <f>TEXT(LayoffsData[[#This Row],[date]],"yyyy-mm")</f>
        <v>2020-06</v>
      </c>
      <c r="H787" s="1" t="s">
        <v>28</v>
      </c>
      <c r="I787" s="1" t="s">
        <v>17</v>
      </c>
      <c r="J787">
        <v>101</v>
      </c>
    </row>
    <row r="788" spans="1:10" x14ac:dyDescent="0.25">
      <c r="A788" s="1" t="s">
        <v>851</v>
      </c>
      <c r="B788" s="1" t="s">
        <v>14</v>
      </c>
      <c r="C788" s="1" t="s">
        <v>27</v>
      </c>
      <c r="D788">
        <v>30</v>
      </c>
      <c r="E788">
        <v>0.33</v>
      </c>
      <c r="F788" s="2">
        <v>44714</v>
      </c>
      <c r="G788" s="2" t="str">
        <f>TEXT(LayoffsData[[#This Row],[date]],"yyyy-mm")</f>
        <v>2022-06</v>
      </c>
      <c r="H788" s="1" t="s">
        <v>24</v>
      </c>
      <c r="I788" s="1" t="s">
        <v>17</v>
      </c>
      <c r="J788">
        <v>76</v>
      </c>
    </row>
    <row r="789" spans="1:10" x14ac:dyDescent="0.25">
      <c r="A789" s="1" t="s">
        <v>852</v>
      </c>
      <c r="B789" s="1" t="s">
        <v>213</v>
      </c>
      <c r="C789" s="1" t="s">
        <v>20</v>
      </c>
      <c r="E789">
        <v>0.5</v>
      </c>
      <c r="F789" s="2">
        <v>44773</v>
      </c>
      <c r="G789" s="2" t="str">
        <f>TEXT(LayoffsData[[#This Row],[date]],"yyyy-mm")</f>
        <v>2022-07</v>
      </c>
      <c r="H789" s="1" t="s">
        <v>94</v>
      </c>
      <c r="I789" s="1" t="s">
        <v>17</v>
      </c>
    </row>
    <row r="790" spans="1:10" x14ac:dyDescent="0.25">
      <c r="A790" s="1" t="s">
        <v>853</v>
      </c>
      <c r="B790" s="1" t="s">
        <v>26</v>
      </c>
      <c r="C790" s="1" t="s">
        <v>598</v>
      </c>
      <c r="E790">
        <v>1</v>
      </c>
      <c r="F790" s="2">
        <v>44742</v>
      </c>
      <c r="G790" s="2" t="str">
        <f>TEXT(LayoffsData[[#This Row],[date]],"yyyy-mm")</f>
        <v>2022-06</v>
      </c>
      <c r="H790" s="1" t="s">
        <v>131</v>
      </c>
      <c r="I790" s="1" t="s">
        <v>17</v>
      </c>
      <c r="J790">
        <v>5</v>
      </c>
    </row>
    <row r="791" spans="1:10" x14ac:dyDescent="0.25">
      <c r="A791" s="1" t="s">
        <v>854</v>
      </c>
      <c r="B791" s="1" t="s">
        <v>55</v>
      </c>
      <c r="C791" s="1" t="s">
        <v>63</v>
      </c>
      <c r="D791">
        <v>5</v>
      </c>
      <c r="E791">
        <v>0.31</v>
      </c>
      <c r="F791" s="2">
        <v>43931</v>
      </c>
      <c r="G791" s="2" t="str">
        <f>TEXT(LayoffsData[[#This Row],[date]],"yyyy-mm")</f>
        <v>2020-04</v>
      </c>
      <c r="H791" s="1" t="s">
        <v>37</v>
      </c>
      <c r="I791" s="1" t="s">
        <v>17</v>
      </c>
    </row>
    <row r="792" spans="1:10" x14ac:dyDescent="0.25">
      <c r="A792" s="1" t="s">
        <v>855</v>
      </c>
      <c r="B792" s="1" t="s">
        <v>14</v>
      </c>
      <c r="C792" s="1" t="s">
        <v>165</v>
      </c>
      <c r="D792">
        <v>100</v>
      </c>
      <c r="E792">
        <v>0.33</v>
      </c>
      <c r="F792" s="2">
        <v>44866</v>
      </c>
      <c r="G792" s="2" t="str">
        <f>TEXT(LayoffsData[[#This Row],[date]],"yyyy-mm")</f>
        <v>2022-11</v>
      </c>
      <c r="H792" s="1" t="s">
        <v>28</v>
      </c>
      <c r="I792" s="1" t="s">
        <v>17</v>
      </c>
      <c r="J792">
        <v>148</v>
      </c>
    </row>
    <row r="793" spans="1:10" x14ac:dyDescent="0.25">
      <c r="A793" s="1" t="s">
        <v>856</v>
      </c>
      <c r="B793" s="1" t="s">
        <v>32</v>
      </c>
      <c r="C793" s="1" t="s">
        <v>36</v>
      </c>
      <c r="E793">
        <v>0.1</v>
      </c>
      <c r="F793" s="2">
        <v>44949</v>
      </c>
      <c r="G793" s="2" t="str">
        <f>TEXT(LayoffsData[[#This Row],[date]],"yyyy-mm")</f>
        <v>2023-01</v>
      </c>
      <c r="H793" s="1" t="s">
        <v>37</v>
      </c>
      <c r="I793" s="1" t="s">
        <v>17</v>
      </c>
      <c r="J793">
        <v>423</v>
      </c>
    </row>
    <row r="794" spans="1:10" x14ac:dyDescent="0.25">
      <c r="A794" s="1" t="s">
        <v>856</v>
      </c>
      <c r="B794" s="1" t="s">
        <v>32</v>
      </c>
      <c r="C794" s="1" t="s">
        <v>36</v>
      </c>
      <c r="D794">
        <v>100</v>
      </c>
      <c r="E794">
        <v>0.1</v>
      </c>
      <c r="F794" s="2">
        <v>44714</v>
      </c>
      <c r="G794" s="2" t="str">
        <f>TEXT(LayoffsData[[#This Row],[date]],"yyyy-mm")</f>
        <v>2022-06</v>
      </c>
      <c r="H794" s="1" t="s">
        <v>37</v>
      </c>
      <c r="I794" s="1" t="s">
        <v>17</v>
      </c>
      <c r="J794">
        <v>423</v>
      </c>
    </row>
    <row r="795" spans="1:10" x14ac:dyDescent="0.25">
      <c r="A795" s="1" t="s">
        <v>856</v>
      </c>
      <c r="B795" s="1" t="s">
        <v>32</v>
      </c>
      <c r="C795" s="1" t="s">
        <v>36</v>
      </c>
      <c r="D795">
        <v>68</v>
      </c>
      <c r="E795">
        <v>7.0000000000000007E-2</v>
      </c>
      <c r="F795" s="2">
        <v>44760</v>
      </c>
      <c r="G795" s="2" t="str">
        <f>TEXT(LayoffsData[[#This Row],[date]],"yyyy-mm")</f>
        <v>2022-07</v>
      </c>
      <c r="H795" s="1" t="s">
        <v>37</v>
      </c>
      <c r="I795" s="1" t="s">
        <v>17</v>
      </c>
      <c r="J795">
        <v>423</v>
      </c>
    </row>
    <row r="796" spans="1:10" x14ac:dyDescent="0.25">
      <c r="A796" s="1" t="s">
        <v>857</v>
      </c>
      <c r="B796" s="1" t="s">
        <v>32</v>
      </c>
      <c r="C796" s="1" t="s">
        <v>36</v>
      </c>
      <c r="D796">
        <v>52</v>
      </c>
      <c r="E796">
        <v>0.2</v>
      </c>
      <c r="F796" s="2">
        <v>44790</v>
      </c>
      <c r="G796" s="2" t="str">
        <f>TEXT(LayoffsData[[#This Row],[date]],"yyyy-mm")</f>
        <v>2022-08</v>
      </c>
      <c r="H796" s="1" t="s">
        <v>21</v>
      </c>
      <c r="I796" s="1" t="s">
        <v>17</v>
      </c>
    </row>
    <row r="797" spans="1:10" x14ac:dyDescent="0.25">
      <c r="A797" s="1" t="s">
        <v>857</v>
      </c>
      <c r="B797" s="1" t="s">
        <v>32</v>
      </c>
      <c r="C797" s="1" t="s">
        <v>36</v>
      </c>
      <c r="D797">
        <v>60</v>
      </c>
      <c r="E797">
        <v>0.3</v>
      </c>
      <c r="F797" s="2">
        <v>44931</v>
      </c>
      <c r="G797" s="2" t="str">
        <f>TEXT(LayoffsData[[#This Row],[date]],"yyyy-mm")</f>
        <v>2023-01</v>
      </c>
      <c r="H797" s="1" t="s">
        <v>21</v>
      </c>
      <c r="I797" s="1" t="s">
        <v>17</v>
      </c>
    </row>
    <row r="798" spans="1:10" x14ac:dyDescent="0.25">
      <c r="A798" s="1" t="s">
        <v>858</v>
      </c>
      <c r="B798" s="1" t="s">
        <v>32</v>
      </c>
      <c r="C798" s="1" t="s">
        <v>27</v>
      </c>
      <c r="F798" s="2">
        <v>44454</v>
      </c>
      <c r="G798" s="2" t="str">
        <f>TEXT(LayoffsData[[#This Row],[date]],"yyyy-mm")</f>
        <v>2021-09</v>
      </c>
      <c r="H798" s="1" t="s">
        <v>57</v>
      </c>
      <c r="I798" s="1" t="s">
        <v>17</v>
      </c>
      <c r="J798">
        <v>78</v>
      </c>
    </row>
    <row r="799" spans="1:10" x14ac:dyDescent="0.25">
      <c r="A799" s="1" t="s">
        <v>859</v>
      </c>
      <c r="B799" s="1" t="s">
        <v>14</v>
      </c>
      <c r="C799" s="1" t="s">
        <v>15</v>
      </c>
      <c r="D799">
        <v>23</v>
      </c>
      <c r="F799" s="2">
        <v>44812</v>
      </c>
      <c r="G799" s="2" t="str">
        <f>TEXT(LayoffsData[[#This Row],[date]],"yyyy-mm")</f>
        <v>2022-09</v>
      </c>
      <c r="H799" s="1" t="s">
        <v>28</v>
      </c>
      <c r="I799" s="1" t="s">
        <v>17</v>
      </c>
      <c r="J799">
        <v>120</v>
      </c>
    </row>
    <row r="800" spans="1:10" x14ac:dyDescent="0.25">
      <c r="A800" s="1" t="s">
        <v>860</v>
      </c>
      <c r="B800" s="1" t="s">
        <v>14</v>
      </c>
      <c r="C800" s="1" t="s">
        <v>10</v>
      </c>
      <c r="E800">
        <v>0.1</v>
      </c>
      <c r="F800" s="2">
        <v>44959</v>
      </c>
      <c r="G800" s="2" t="str">
        <f>TEXT(LayoffsData[[#This Row],[date]],"yyyy-mm")</f>
        <v>2023-02</v>
      </c>
      <c r="H800" s="1" t="s">
        <v>11</v>
      </c>
      <c r="I800" s="1" t="s">
        <v>17</v>
      </c>
      <c r="J800">
        <v>948</v>
      </c>
    </row>
    <row r="801" spans="1:10" x14ac:dyDescent="0.25">
      <c r="A801" s="1" t="s">
        <v>860</v>
      </c>
      <c r="B801" s="1" t="s">
        <v>14</v>
      </c>
      <c r="C801" s="1" t="s">
        <v>10</v>
      </c>
      <c r="D801">
        <v>100</v>
      </c>
      <c r="E801">
        <v>0.25</v>
      </c>
      <c r="F801" s="2">
        <v>43917</v>
      </c>
      <c r="G801" s="2" t="str">
        <f>TEXT(LayoffsData[[#This Row],[date]],"yyyy-mm")</f>
        <v>2020-03</v>
      </c>
      <c r="H801" s="1" t="s">
        <v>33</v>
      </c>
      <c r="I801" s="1" t="s">
        <v>17</v>
      </c>
      <c r="J801">
        <v>403</v>
      </c>
    </row>
    <row r="802" spans="1:10" x14ac:dyDescent="0.25">
      <c r="A802" s="1" t="s">
        <v>861</v>
      </c>
      <c r="B802" s="1" t="s">
        <v>862</v>
      </c>
      <c r="C802" s="1" t="s">
        <v>51</v>
      </c>
      <c r="E802">
        <v>0.14000000000000001</v>
      </c>
      <c r="F802" s="2">
        <v>44706</v>
      </c>
      <c r="G802" s="2" t="str">
        <f>TEXT(LayoffsData[[#This Row],[date]],"yyyy-mm")</f>
        <v>2022-05</v>
      </c>
      <c r="H802" s="1" t="s">
        <v>16</v>
      </c>
      <c r="I802" s="1" t="s">
        <v>863</v>
      </c>
      <c r="J802">
        <v>1800</v>
      </c>
    </row>
    <row r="803" spans="1:10" x14ac:dyDescent="0.25">
      <c r="A803" s="1" t="s">
        <v>861</v>
      </c>
      <c r="B803" s="1" t="s">
        <v>200</v>
      </c>
      <c r="C803" s="1" t="s">
        <v>51</v>
      </c>
      <c r="F803" s="2">
        <v>44970</v>
      </c>
      <c r="G803" s="2" t="str">
        <f>TEXT(LayoffsData[[#This Row],[date]],"yyyy-mm")</f>
        <v>2023-02</v>
      </c>
      <c r="H803" s="1" t="s">
        <v>16</v>
      </c>
      <c r="I803" s="1" t="s">
        <v>201</v>
      </c>
      <c r="J803">
        <v>1800</v>
      </c>
    </row>
    <row r="804" spans="1:10" x14ac:dyDescent="0.25">
      <c r="A804" s="1" t="s">
        <v>861</v>
      </c>
      <c r="B804" s="1" t="s">
        <v>32</v>
      </c>
      <c r="C804" s="1" t="s">
        <v>51</v>
      </c>
      <c r="D804">
        <v>100</v>
      </c>
      <c r="F804" s="2">
        <v>44959</v>
      </c>
      <c r="G804" s="2" t="str">
        <f>TEXT(LayoffsData[[#This Row],[date]],"yyyy-mm")</f>
        <v>2023-02</v>
      </c>
      <c r="H804" s="1" t="s">
        <v>16</v>
      </c>
      <c r="I804" s="1" t="s">
        <v>17</v>
      </c>
      <c r="J804">
        <v>1800</v>
      </c>
    </row>
    <row r="805" spans="1:10" x14ac:dyDescent="0.25">
      <c r="A805" s="1" t="s">
        <v>864</v>
      </c>
      <c r="B805" s="1" t="s">
        <v>35</v>
      </c>
      <c r="C805" s="1" t="s">
        <v>27</v>
      </c>
      <c r="D805">
        <v>11</v>
      </c>
      <c r="E805">
        <v>0.1</v>
      </c>
      <c r="F805" s="2">
        <v>43929</v>
      </c>
      <c r="G805" s="2" t="str">
        <f>TEXT(LayoffsData[[#This Row],[date]],"yyyy-mm")</f>
        <v>2020-04</v>
      </c>
      <c r="H805" s="1" t="s">
        <v>24</v>
      </c>
      <c r="I805" s="1" t="s">
        <v>38</v>
      </c>
      <c r="J805">
        <v>16</v>
      </c>
    </row>
    <row r="806" spans="1:10" x14ac:dyDescent="0.25">
      <c r="A806" s="1" t="s">
        <v>865</v>
      </c>
      <c r="B806" s="1" t="s">
        <v>168</v>
      </c>
      <c r="C806" s="1" t="s">
        <v>10</v>
      </c>
      <c r="D806">
        <v>30</v>
      </c>
      <c r="F806" s="2">
        <v>44712</v>
      </c>
      <c r="G806" s="2" t="str">
        <f>TEXT(LayoffsData[[#This Row],[date]],"yyyy-mm")</f>
        <v>2022-05</v>
      </c>
      <c r="H806" s="1" t="s">
        <v>21</v>
      </c>
      <c r="I806" s="1" t="s">
        <v>170</v>
      </c>
      <c r="J806">
        <v>49</v>
      </c>
    </row>
    <row r="807" spans="1:10" x14ac:dyDescent="0.25">
      <c r="A807" s="1" t="s">
        <v>866</v>
      </c>
      <c r="B807" s="1" t="s">
        <v>79</v>
      </c>
      <c r="C807" s="1" t="s">
        <v>84</v>
      </c>
      <c r="D807">
        <v>90</v>
      </c>
      <c r="E807">
        <v>0.17</v>
      </c>
      <c r="F807" s="2">
        <v>44118</v>
      </c>
      <c r="G807" s="2" t="str">
        <f>TEXT(LayoffsData[[#This Row],[date]],"yyyy-mm")</f>
        <v>2020-10</v>
      </c>
      <c r="H807" s="1" t="s">
        <v>16</v>
      </c>
      <c r="I807" s="1" t="s">
        <v>80</v>
      </c>
      <c r="J807">
        <v>656</v>
      </c>
    </row>
    <row r="808" spans="1:10" x14ac:dyDescent="0.25">
      <c r="A808" s="1" t="s">
        <v>867</v>
      </c>
      <c r="B808" s="1" t="s">
        <v>14</v>
      </c>
      <c r="C808" s="1" t="s">
        <v>113</v>
      </c>
      <c r="E808">
        <v>0.1</v>
      </c>
      <c r="F808" s="2">
        <v>44966</v>
      </c>
      <c r="G808" s="2" t="str">
        <f>TEXT(LayoffsData[[#This Row],[date]],"yyyy-mm")</f>
        <v>2023-02</v>
      </c>
      <c r="H808" s="1" t="s">
        <v>57</v>
      </c>
      <c r="I808" s="1" t="s">
        <v>17</v>
      </c>
      <c r="J808">
        <v>350</v>
      </c>
    </row>
    <row r="809" spans="1:10" x14ac:dyDescent="0.25">
      <c r="A809" s="1" t="s">
        <v>868</v>
      </c>
      <c r="B809" s="1" t="s">
        <v>14</v>
      </c>
      <c r="C809" s="1" t="s">
        <v>113</v>
      </c>
      <c r="D809">
        <v>130</v>
      </c>
      <c r="E809">
        <v>7.0000000000000007E-2</v>
      </c>
      <c r="F809" s="2">
        <v>44966</v>
      </c>
      <c r="G809" s="2" t="str">
        <f>TEXT(LayoffsData[[#This Row],[date]],"yyyy-mm")</f>
        <v>2023-02</v>
      </c>
      <c r="H809" s="1" t="s">
        <v>11</v>
      </c>
      <c r="I809" s="1" t="s">
        <v>17</v>
      </c>
      <c r="J809">
        <v>413</v>
      </c>
    </row>
    <row r="810" spans="1:10" x14ac:dyDescent="0.25">
      <c r="A810" s="1" t="s">
        <v>869</v>
      </c>
      <c r="B810" s="1" t="s">
        <v>870</v>
      </c>
      <c r="C810" s="1" t="s">
        <v>113</v>
      </c>
      <c r="D810">
        <v>21</v>
      </c>
      <c r="E810">
        <v>0.28000000000000003</v>
      </c>
      <c r="F810" s="2">
        <v>44950</v>
      </c>
      <c r="G810" s="2" t="str">
        <f>TEXT(LayoffsData[[#This Row],[date]],"yyyy-mm")</f>
        <v>2023-01</v>
      </c>
      <c r="H810" s="1" t="s">
        <v>21</v>
      </c>
      <c r="I810" s="1" t="s">
        <v>80</v>
      </c>
      <c r="J810">
        <v>41</v>
      </c>
    </row>
    <row r="811" spans="1:10" x14ac:dyDescent="0.25">
      <c r="A811" s="1" t="s">
        <v>871</v>
      </c>
      <c r="B811" s="1" t="s">
        <v>73</v>
      </c>
      <c r="C811" s="1" t="s">
        <v>15</v>
      </c>
      <c r="F811" s="2">
        <v>44736</v>
      </c>
      <c r="G811" s="2" t="str">
        <f>TEXT(LayoffsData[[#This Row],[date]],"yyyy-mm")</f>
        <v>2022-06</v>
      </c>
      <c r="H811" s="1" t="s">
        <v>24</v>
      </c>
      <c r="I811" s="1" t="s">
        <v>17</v>
      </c>
      <c r="J811">
        <v>45</v>
      </c>
    </row>
    <row r="812" spans="1:10" x14ac:dyDescent="0.25">
      <c r="A812" s="1" t="s">
        <v>872</v>
      </c>
      <c r="B812" s="1" t="s">
        <v>14</v>
      </c>
      <c r="C812" s="1" t="s">
        <v>165</v>
      </c>
      <c r="D812">
        <v>300</v>
      </c>
      <c r="E812">
        <v>0.3</v>
      </c>
      <c r="F812" s="2">
        <v>43958</v>
      </c>
      <c r="G812" s="2" t="str">
        <f>TEXT(LayoffsData[[#This Row],[date]],"yyyy-mm")</f>
        <v>2020-05</v>
      </c>
      <c r="H812" s="1" t="s">
        <v>57</v>
      </c>
      <c r="I812" s="1" t="s">
        <v>17</v>
      </c>
      <c r="J812">
        <v>204</v>
      </c>
    </row>
    <row r="813" spans="1:10" x14ac:dyDescent="0.25">
      <c r="A813" s="1" t="s">
        <v>873</v>
      </c>
      <c r="B813" s="1" t="s">
        <v>101</v>
      </c>
      <c r="C813" s="1" t="s">
        <v>147</v>
      </c>
      <c r="D813">
        <v>198</v>
      </c>
      <c r="E813">
        <v>0.18</v>
      </c>
      <c r="F813" s="2">
        <v>44903</v>
      </c>
      <c r="G813" s="2" t="str">
        <f>TEXT(LayoffsData[[#This Row],[date]],"yyyy-mm")</f>
        <v>2022-12</v>
      </c>
      <c r="H813" s="1" t="s">
        <v>33</v>
      </c>
      <c r="I813" s="1" t="s">
        <v>101</v>
      </c>
      <c r="J813">
        <v>82</v>
      </c>
    </row>
    <row r="814" spans="1:10" x14ac:dyDescent="0.25">
      <c r="A814" s="1" t="s">
        <v>874</v>
      </c>
      <c r="B814" s="1" t="s">
        <v>32</v>
      </c>
      <c r="C814" s="1" t="s">
        <v>113</v>
      </c>
      <c r="D814">
        <v>18</v>
      </c>
      <c r="E814">
        <v>0.36</v>
      </c>
      <c r="F814" s="2">
        <v>43972</v>
      </c>
      <c r="G814" s="2" t="str">
        <f>TEXT(LayoffsData[[#This Row],[date]],"yyyy-mm")</f>
        <v>2020-05</v>
      </c>
      <c r="H814" s="1" t="s">
        <v>21</v>
      </c>
      <c r="I814" s="1" t="s">
        <v>17</v>
      </c>
      <c r="J814">
        <v>30</v>
      </c>
    </row>
    <row r="815" spans="1:10" x14ac:dyDescent="0.25">
      <c r="A815" s="1" t="s">
        <v>875</v>
      </c>
      <c r="B815" s="1" t="s">
        <v>278</v>
      </c>
      <c r="C815" s="1" t="s">
        <v>68</v>
      </c>
      <c r="E815">
        <v>1</v>
      </c>
      <c r="F815" s="2">
        <v>44886</v>
      </c>
      <c r="G815" s="2" t="str">
        <f>TEXT(LayoffsData[[#This Row],[date]],"yyyy-mm")</f>
        <v>2022-11</v>
      </c>
      <c r="H815" s="1" t="s">
        <v>37</v>
      </c>
      <c r="I815" s="1" t="s">
        <v>17</v>
      </c>
    </row>
    <row r="816" spans="1:10" x14ac:dyDescent="0.25">
      <c r="A816" s="1" t="s">
        <v>876</v>
      </c>
      <c r="B816" s="1" t="s">
        <v>32</v>
      </c>
      <c r="C816" s="1" t="s">
        <v>27</v>
      </c>
      <c r="D816">
        <v>80</v>
      </c>
      <c r="E816">
        <v>0.33</v>
      </c>
      <c r="F816" s="2">
        <v>44587</v>
      </c>
      <c r="G816" s="2" t="str">
        <f>TEXT(LayoffsData[[#This Row],[date]],"yyyy-mm")</f>
        <v>2022-01</v>
      </c>
      <c r="H816" s="1" t="s">
        <v>16</v>
      </c>
      <c r="I816" s="1" t="s">
        <v>17</v>
      </c>
      <c r="J816">
        <v>266</v>
      </c>
    </row>
    <row r="817" spans="1:10" x14ac:dyDescent="0.25">
      <c r="A817" s="1" t="s">
        <v>876</v>
      </c>
      <c r="B817" s="1" t="s">
        <v>32</v>
      </c>
      <c r="C817" s="1" t="s">
        <v>29</v>
      </c>
      <c r="D817">
        <v>19</v>
      </c>
      <c r="E817">
        <v>0.08</v>
      </c>
      <c r="F817" s="2">
        <v>44775</v>
      </c>
      <c r="G817" s="2" t="str">
        <f>TEXT(LayoffsData[[#This Row],[date]],"yyyy-mm")</f>
        <v>2022-08</v>
      </c>
      <c r="H817" s="1" t="s">
        <v>16</v>
      </c>
      <c r="I817" s="1" t="s">
        <v>17</v>
      </c>
      <c r="J817">
        <v>266</v>
      </c>
    </row>
    <row r="818" spans="1:10" x14ac:dyDescent="0.25">
      <c r="A818" s="1" t="s">
        <v>876</v>
      </c>
      <c r="B818" s="1" t="s">
        <v>32</v>
      </c>
      <c r="C818" s="1" t="s">
        <v>29</v>
      </c>
      <c r="D818">
        <v>150</v>
      </c>
      <c r="E818">
        <v>0.38</v>
      </c>
      <c r="F818" s="2">
        <v>44050</v>
      </c>
      <c r="G818" s="2" t="str">
        <f>TEXT(LayoffsData[[#This Row],[date]],"yyyy-mm")</f>
        <v>2020-08</v>
      </c>
      <c r="H818" s="1" t="s">
        <v>33</v>
      </c>
      <c r="I818" s="1" t="s">
        <v>17</v>
      </c>
      <c r="J818">
        <v>186</v>
      </c>
    </row>
    <row r="819" spans="1:10" x14ac:dyDescent="0.25">
      <c r="A819" s="1" t="s">
        <v>877</v>
      </c>
      <c r="B819" s="1" t="s">
        <v>878</v>
      </c>
      <c r="C819" s="1" t="s">
        <v>51</v>
      </c>
      <c r="D819">
        <v>250</v>
      </c>
      <c r="E819">
        <v>0.06</v>
      </c>
      <c r="F819" s="2">
        <v>44956</v>
      </c>
      <c r="G819" s="2" t="str">
        <f>TEXT(LayoffsData[[#This Row],[date]],"yyyy-mm")</f>
        <v>2023-01</v>
      </c>
      <c r="H819" s="1" t="s">
        <v>57</v>
      </c>
      <c r="I819" s="1" t="s">
        <v>879</v>
      </c>
      <c r="J819">
        <v>1200</v>
      </c>
    </row>
    <row r="820" spans="1:10" x14ac:dyDescent="0.25">
      <c r="A820" s="1" t="s">
        <v>880</v>
      </c>
      <c r="B820" s="1" t="s">
        <v>26</v>
      </c>
      <c r="C820" s="1" t="s">
        <v>29</v>
      </c>
      <c r="F820" s="2">
        <v>43922</v>
      </c>
      <c r="G820" s="2" t="str">
        <f>TEXT(LayoffsData[[#This Row],[date]],"yyyy-mm")</f>
        <v>2020-04</v>
      </c>
      <c r="H820" s="1" t="s">
        <v>33</v>
      </c>
      <c r="I820" s="1" t="s">
        <v>17</v>
      </c>
      <c r="J820">
        <v>197</v>
      </c>
    </row>
    <row r="821" spans="1:10" x14ac:dyDescent="0.25">
      <c r="A821" s="1" t="s">
        <v>881</v>
      </c>
      <c r="B821" s="1" t="s">
        <v>101</v>
      </c>
      <c r="C821" s="1" t="s">
        <v>68</v>
      </c>
      <c r="D821">
        <v>22</v>
      </c>
      <c r="E821">
        <v>0.11</v>
      </c>
      <c r="F821" s="2">
        <v>44075</v>
      </c>
      <c r="G821" s="2" t="str">
        <f>TEXT(LayoffsData[[#This Row],[date]],"yyyy-mm")</f>
        <v>2020-09</v>
      </c>
      <c r="H821" s="1" t="s">
        <v>37</v>
      </c>
      <c r="I821" s="1" t="s">
        <v>101</v>
      </c>
      <c r="J821">
        <v>97</v>
      </c>
    </row>
    <row r="822" spans="1:10" x14ac:dyDescent="0.25">
      <c r="A822" s="1" t="s">
        <v>882</v>
      </c>
      <c r="B822" s="1" t="s">
        <v>9</v>
      </c>
      <c r="C822" s="1" t="s">
        <v>108</v>
      </c>
      <c r="D822">
        <v>55</v>
      </c>
      <c r="E822">
        <v>0.05</v>
      </c>
      <c r="F822" s="2">
        <v>44936</v>
      </c>
      <c r="G822" s="2" t="str">
        <f>TEXT(LayoffsData[[#This Row],[date]],"yyyy-mm")</f>
        <v>2023-01</v>
      </c>
      <c r="H822" s="1" t="s">
        <v>28</v>
      </c>
      <c r="I822" s="1" t="s">
        <v>12</v>
      </c>
      <c r="J822">
        <v>178</v>
      </c>
    </row>
    <row r="823" spans="1:10" x14ac:dyDescent="0.25">
      <c r="A823" s="1" t="s">
        <v>883</v>
      </c>
      <c r="B823" s="1" t="s">
        <v>40</v>
      </c>
      <c r="C823" s="1" t="s">
        <v>149</v>
      </c>
      <c r="F823" s="2">
        <v>44939</v>
      </c>
      <c r="G823" s="2" t="str">
        <f>TEXT(LayoffsData[[#This Row],[date]],"yyyy-mm")</f>
        <v>2023-01</v>
      </c>
      <c r="H823" s="1" t="s">
        <v>57</v>
      </c>
      <c r="I823" s="1" t="s">
        <v>17</v>
      </c>
      <c r="J823">
        <v>21</v>
      </c>
    </row>
    <row r="824" spans="1:10" x14ac:dyDescent="0.25">
      <c r="A824" s="1" t="s">
        <v>884</v>
      </c>
      <c r="B824" s="1" t="s">
        <v>200</v>
      </c>
      <c r="C824" s="1" t="s">
        <v>68</v>
      </c>
      <c r="F824" s="2">
        <v>43945</v>
      </c>
      <c r="G824" s="2" t="str">
        <f>TEXT(LayoffsData[[#This Row],[date]],"yyyy-mm")</f>
        <v>2020-04</v>
      </c>
      <c r="H824" s="1" t="s">
        <v>16</v>
      </c>
      <c r="I824" s="1" t="s">
        <v>201</v>
      </c>
      <c r="J824">
        <v>122</v>
      </c>
    </row>
    <row r="825" spans="1:10" x14ac:dyDescent="0.25">
      <c r="A825" s="1" t="s">
        <v>885</v>
      </c>
      <c r="B825" s="1" t="s">
        <v>137</v>
      </c>
      <c r="C825" s="1" t="s">
        <v>20</v>
      </c>
      <c r="D825">
        <v>451</v>
      </c>
      <c r="E825">
        <v>0.06</v>
      </c>
      <c r="F825" s="2">
        <v>44006</v>
      </c>
      <c r="G825" s="2" t="str">
        <f>TEXT(LayoffsData[[#This Row],[date]],"yyyy-mm")</f>
        <v>2020-06</v>
      </c>
      <c r="H825" s="1" t="s">
        <v>11</v>
      </c>
      <c r="I825" s="1" t="s">
        <v>17</v>
      </c>
    </row>
    <row r="826" spans="1:10" x14ac:dyDescent="0.25">
      <c r="A826" s="1" t="s">
        <v>885</v>
      </c>
      <c r="B826" s="1" t="s">
        <v>238</v>
      </c>
      <c r="C826" s="1" t="s">
        <v>20</v>
      </c>
      <c r="D826">
        <v>530</v>
      </c>
      <c r="E826">
        <v>0.08</v>
      </c>
      <c r="F826" s="2">
        <v>44965</v>
      </c>
      <c r="G826" s="2" t="str">
        <f>TEXT(LayoffsData[[#This Row],[date]],"yyyy-mm")</f>
        <v>2023-02</v>
      </c>
      <c r="H826" s="1" t="s">
        <v>11</v>
      </c>
      <c r="I826" s="1" t="s">
        <v>17</v>
      </c>
      <c r="J826">
        <v>800</v>
      </c>
    </row>
    <row r="827" spans="1:10" x14ac:dyDescent="0.25">
      <c r="A827" s="1" t="s">
        <v>886</v>
      </c>
      <c r="B827" s="1" t="s">
        <v>14</v>
      </c>
      <c r="C827" s="1" t="s">
        <v>68</v>
      </c>
      <c r="D827">
        <v>94</v>
      </c>
      <c r="E827">
        <v>0.12</v>
      </c>
      <c r="F827" s="2">
        <v>44860</v>
      </c>
      <c r="G827" s="2" t="str">
        <f>TEXT(LayoffsData[[#This Row],[date]],"yyyy-mm")</f>
        <v>2022-10</v>
      </c>
      <c r="H827" s="1" t="s">
        <v>21</v>
      </c>
      <c r="I827" s="1" t="s">
        <v>17</v>
      </c>
    </row>
    <row r="828" spans="1:10" x14ac:dyDescent="0.25">
      <c r="A828" s="1" t="s">
        <v>887</v>
      </c>
      <c r="B828" s="1" t="s">
        <v>76</v>
      </c>
      <c r="C828" s="1" t="s">
        <v>15</v>
      </c>
      <c r="D828">
        <v>800</v>
      </c>
      <c r="E828">
        <v>0.2</v>
      </c>
      <c r="F828" s="2">
        <v>44782</v>
      </c>
      <c r="G828" s="2" t="str">
        <f>TEXT(LayoffsData[[#This Row],[date]],"yyyy-mm")</f>
        <v>2022-08</v>
      </c>
      <c r="H828" s="1" t="s">
        <v>11</v>
      </c>
      <c r="I828" s="1" t="s">
        <v>17</v>
      </c>
      <c r="J828">
        <v>75</v>
      </c>
    </row>
    <row r="829" spans="1:10" x14ac:dyDescent="0.25">
      <c r="A829" s="1" t="s">
        <v>888</v>
      </c>
      <c r="B829" s="1" t="s">
        <v>120</v>
      </c>
      <c r="C829" s="1" t="s">
        <v>10</v>
      </c>
      <c r="D829">
        <v>430</v>
      </c>
      <c r="E829">
        <v>0.09</v>
      </c>
      <c r="F829" s="2">
        <v>44005</v>
      </c>
      <c r="G829" s="2" t="str">
        <f>TEXT(LayoffsData[[#This Row],[date]],"yyyy-mm")</f>
        <v>2020-06</v>
      </c>
      <c r="H829" s="1" t="s">
        <v>86</v>
      </c>
      <c r="I829" s="1" t="s">
        <v>121</v>
      </c>
      <c r="J829">
        <v>4800</v>
      </c>
    </row>
    <row r="830" spans="1:10" x14ac:dyDescent="0.25">
      <c r="A830" s="1" t="s">
        <v>889</v>
      </c>
      <c r="B830" s="1" t="s">
        <v>343</v>
      </c>
      <c r="C830" s="1" t="s">
        <v>10</v>
      </c>
      <c r="D830">
        <v>20</v>
      </c>
      <c r="F830" s="2">
        <v>44879</v>
      </c>
      <c r="G830" s="2" t="str">
        <f>TEXT(LayoffsData[[#This Row],[date]],"yyyy-mm")</f>
        <v>2022-11</v>
      </c>
      <c r="H830" s="1" t="s">
        <v>37</v>
      </c>
      <c r="I830" s="1" t="s">
        <v>140</v>
      </c>
      <c r="J830">
        <v>12</v>
      </c>
    </row>
    <row r="831" spans="1:10" x14ac:dyDescent="0.25">
      <c r="A831" s="1" t="s">
        <v>889</v>
      </c>
      <c r="B831" s="1" t="s">
        <v>343</v>
      </c>
      <c r="C831" s="1" t="s">
        <v>10</v>
      </c>
      <c r="D831">
        <v>54</v>
      </c>
      <c r="F831" s="2">
        <v>44957</v>
      </c>
      <c r="G831" s="2" t="str">
        <f>TEXT(LayoffsData[[#This Row],[date]],"yyyy-mm")</f>
        <v>2023-01</v>
      </c>
      <c r="H831" s="1" t="s">
        <v>37</v>
      </c>
      <c r="I831" s="1" t="s">
        <v>140</v>
      </c>
      <c r="J831">
        <v>12</v>
      </c>
    </row>
    <row r="832" spans="1:10" x14ac:dyDescent="0.25">
      <c r="A832" s="1" t="s">
        <v>890</v>
      </c>
      <c r="B832" s="1" t="s">
        <v>424</v>
      </c>
      <c r="C832" s="1" t="s">
        <v>10</v>
      </c>
      <c r="E832">
        <v>0.7</v>
      </c>
      <c r="F832" s="2">
        <v>44943</v>
      </c>
      <c r="G832" s="2" t="str">
        <f>TEXT(LayoffsData[[#This Row],[date]],"yyyy-mm")</f>
        <v>2023-01</v>
      </c>
      <c r="H832" s="1" t="s">
        <v>28</v>
      </c>
      <c r="I832" s="1" t="s">
        <v>69</v>
      </c>
      <c r="J832">
        <v>54</v>
      </c>
    </row>
    <row r="833" spans="1:10" x14ac:dyDescent="0.25">
      <c r="A833" s="1" t="s">
        <v>891</v>
      </c>
      <c r="B833" s="1" t="s">
        <v>14</v>
      </c>
      <c r="C833" s="1" t="s">
        <v>48</v>
      </c>
      <c r="D833">
        <v>80</v>
      </c>
      <c r="E833">
        <v>7.0000000000000007E-2</v>
      </c>
      <c r="F833" s="2">
        <v>44965</v>
      </c>
      <c r="G833" s="2" t="str">
        <f>TEXT(LayoffsData[[#This Row],[date]],"yyyy-mm")</f>
        <v>2023-02</v>
      </c>
      <c r="H833" s="1" t="s">
        <v>16</v>
      </c>
      <c r="I833" s="1" t="s">
        <v>17</v>
      </c>
      <c r="J833">
        <v>583</v>
      </c>
    </row>
    <row r="834" spans="1:10" x14ac:dyDescent="0.25">
      <c r="A834" s="1" t="s">
        <v>892</v>
      </c>
      <c r="B834" s="1" t="s">
        <v>67</v>
      </c>
      <c r="C834" s="1" t="s">
        <v>63</v>
      </c>
      <c r="E834">
        <v>1</v>
      </c>
      <c r="F834" s="2">
        <v>44861</v>
      </c>
      <c r="G834" s="2" t="str">
        <f>TEXT(LayoffsData[[#This Row],[date]],"yyyy-mm")</f>
        <v>2022-10</v>
      </c>
      <c r="H834" s="1" t="s">
        <v>131</v>
      </c>
      <c r="I834" s="1" t="s">
        <v>69</v>
      </c>
    </row>
    <row r="835" spans="1:10" x14ac:dyDescent="0.25">
      <c r="A835" s="1" t="s">
        <v>893</v>
      </c>
      <c r="B835" s="1" t="s">
        <v>273</v>
      </c>
      <c r="C835" s="1" t="s">
        <v>51</v>
      </c>
      <c r="D835">
        <v>70</v>
      </c>
      <c r="F835" s="2">
        <v>44658</v>
      </c>
      <c r="G835" s="2" t="str">
        <f>TEXT(LayoffsData[[#This Row],[date]],"yyyy-mm")</f>
        <v>2022-04</v>
      </c>
      <c r="H835" s="1" t="s">
        <v>11</v>
      </c>
      <c r="I835" s="1" t="s">
        <v>12</v>
      </c>
      <c r="J835">
        <v>16</v>
      </c>
    </row>
    <row r="836" spans="1:10" x14ac:dyDescent="0.25">
      <c r="A836" s="1" t="s">
        <v>894</v>
      </c>
      <c r="B836" s="1" t="s">
        <v>9</v>
      </c>
      <c r="C836" s="1" t="s">
        <v>29</v>
      </c>
      <c r="E836">
        <v>1</v>
      </c>
      <c r="F836" s="2">
        <v>44888</v>
      </c>
      <c r="G836" s="2" t="str">
        <f>TEXT(LayoffsData[[#This Row],[date]],"yyyy-mm")</f>
        <v>2022-11</v>
      </c>
      <c r="H836" s="1" t="s">
        <v>131</v>
      </c>
      <c r="I836" s="1" t="s">
        <v>12</v>
      </c>
      <c r="J836">
        <v>6</v>
      </c>
    </row>
    <row r="837" spans="1:10" x14ac:dyDescent="0.25">
      <c r="A837" s="1" t="s">
        <v>895</v>
      </c>
      <c r="B837" s="1" t="s">
        <v>26</v>
      </c>
      <c r="C837" s="1" t="s">
        <v>15</v>
      </c>
      <c r="D837">
        <v>140</v>
      </c>
      <c r="E837">
        <v>0.16</v>
      </c>
      <c r="F837" s="2">
        <v>44804</v>
      </c>
      <c r="G837" s="2" t="str">
        <f>TEXT(LayoffsData[[#This Row],[date]],"yyyy-mm")</f>
        <v>2022-08</v>
      </c>
      <c r="H837" s="1" t="s">
        <v>11</v>
      </c>
      <c r="I837" s="1" t="s">
        <v>17</v>
      </c>
      <c r="J837">
        <v>910</v>
      </c>
    </row>
    <row r="838" spans="1:10" x14ac:dyDescent="0.25">
      <c r="A838" s="1" t="s">
        <v>896</v>
      </c>
      <c r="B838" s="1" t="s">
        <v>14</v>
      </c>
      <c r="C838" s="1" t="s">
        <v>27</v>
      </c>
      <c r="D838">
        <v>12000</v>
      </c>
      <c r="E838">
        <v>0.06</v>
      </c>
      <c r="F838" s="2">
        <v>44946</v>
      </c>
      <c r="G838" s="2" t="str">
        <f>TEXT(LayoffsData[[#This Row],[date]],"yyyy-mm")</f>
        <v>2023-01</v>
      </c>
      <c r="H838" s="1" t="s">
        <v>11</v>
      </c>
      <c r="I838" s="1" t="s">
        <v>17</v>
      </c>
      <c r="J838">
        <v>26</v>
      </c>
    </row>
    <row r="839" spans="1:10" x14ac:dyDescent="0.25">
      <c r="A839" s="1" t="s">
        <v>897</v>
      </c>
      <c r="B839" s="1" t="s">
        <v>14</v>
      </c>
      <c r="C839" s="1" t="s">
        <v>27</v>
      </c>
      <c r="D839">
        <v>200</v>
      </c>
      <c r="E839">
        <v>0.2</v>
      </c>
      <c r="F839" s="2">
        <v>43936</v>
      </c>
      <c r="G839" s="2" t="str">
        <f>TEXT(LayoffsData[[#This Row],[date]],"yyyy-mm")</f>
        <v>2020-04</v>
      </c>
      <c r="H839" s="1" t="s">
        <v>11</v>
      </c>
      <c r="I839" s="1" t="s">
        <v>17</v>
      </c>
      <c r="J839">
        <v>288</v>
      </c>
    </row>
    <row r="840" spans="1:10" x14ac:dyDescent="0.25">
      <c r="A840" s="1" t="s">
        <v>898</v>
      </c>
      <c r="B840" s="1" t="s">
        <v>341</v>
      </c>
      <c r="C840" s="1" t="s">
        <v>51</v>
      </c>
      <c r="D840">
        <v>100</v>
      </c>
      <c r="F840" s="2">
        <v>44587</v>
      </c>
      <c r="G840" s="2" t="str">
        <f>TEXT(LayoffsData[[#This Row],[date]],"yyyy-mm")</f>
        <v>2022-01</v>
      </c>
      <c r="H840" s="1" t="s">
        <v>414</v>
      </c>
      <c r="I840" s="1" t="s">
        <v>17</v>
      </c>
      <c r="J840">
        <v>3400</v>
      </c>
    </row>
    <row r="841" spans="1:10" x14ac:dyDescent="0.25">
      <c r="A841" s="1" t="s">
        <v>898</v>
      </c>
      <c r="B841" s="1" t="s">
        <v>341</v>
      </c>
      <c r="C841" s="1" t="s">
        <v>51</v>
      </c>
      <c r="D841">
        <v>250</v>
      </c>
      <c r="F841" s="2">
        <v>44853</v>
      </c>
      <c r="G841" s="2" t="str">
        <f>TEXT(LayoffsData[[#This Row],[date]],"yyyy-mm")</f>
        <v>2022-10</v>
      </c>
      <c r="H841" s="1" t="s">
        <v>414</v>
      </c>
      <c r="I841" s="1" t="s">
        <v>17</v>
      </c>
      <c r="J841">
        <v>3400</v>
      </c>
    </row>
    <row r="842" spans="1:10" x14ac:dyDescent="0.25">
      <c r="A842" s="1" t="s">
        <v>898</v>
      </c>
      <c r="B842" s="1" t="s">
        <v>341</v>
      </c>
      <c r="C842" s="1" t="s">
        <v>51</v>
      </c>
      <c r="D842">
        <v>450</v>
      </c>
      <c r="E842">
        <v>0.03</v>
      </c>
      <c r="F842" s="2">
        <v>44649</v>
      </c>
      <c r="G842" s="2" t="str">
        <f>TEXT(LayoffsData[[#This Row],[date]],"yyyy-mm")</f>
        <v>2022-03</v>
      </c>
      <c r="H842" s="1" t="s">
        <v>414</v>
      </c>
      <c r="I842" s="1" t="s">
        <v>17</v>
      </c>
      <c r="J842">
        <v>3400</v>
      </c>
    </row>
    <row r="843" spans="1:10" x14ac:dyDescent="0.25">
      <c r="A843" s="1" t="s">
        <v>898</v>
      </c>
      <c r="B843" s="1" t="s">
        <v>341</v>
      </c>
      <c r="C843" s="1" t="s">
        <v>51</v>
      </c>
      <c r="D843">
        <v>1500</v>
      </c>
      <c r="E843">
        <v>0.1</v>
      </c>
      <c r="F843" s="2">
        <v>44754</v>
      </c>
      <c r="G843" s="2" t="str">
        <f>TEXT(LayoffsData[[#This Row],[date]],"yyyy-mm")</f>
        <v>2022-07</v>
      </c>
      <c r="H843" s="1" t="s">
        <v>414</v>
      </c>
      <c r="I843" s="1" t="s">
        <v>17</v>
      </c>
      <c r="J843">
        <v>3400</v>
      </c>
    </row>
    <row r="844" spans="1:10" x14ac:dyDescent="0.25">
      <c r="A844" s="1" t="s">
        <v>899</v>
      </c>
      <c r="B844" s="1" t="s">
        <v>79</v>
      </c>
      <c r="C844" s="1" t="s">
        <v>51</v>
      </c>
      <c r="D844">
        <v>300</v>
      </c>
      <c r="E844">
        <v>0.5</v>
      </c>
      <c r="F844" s="2">
        <v>44705</v>
      </c>
      <c r="G844" s="2" t="str">
        <f>TEXT(LayoffsData[[#This Row],[date]],"yyyy-mm")</f>
        <v>2022-05</v>
      </c>
      <c r="H844" s="1" t="s">
        <v>28</v>
      </c>
      <c r="I844" s="1" t="s">
        <v>80</v>
      </c>
      <c r="J844">
        <v>1300</v>
      </c>
    </row>
    <row r="845" spans="1:10" x14ac:dyDescent="0.25">
      <c r="A845" s="1" t="s">
        <v>899</v>
      </c>
      <c r="B845" s="1" t="s">
        <v>79</v>
      </c>
      <c r="C845" s="1" t="s">
        <v>51</v>
      </c>
      <c r="D845">
        <v>540</v>
      </c>
      <c r="F845" s="2">
        <v>44745</v>
      </c>
      <c r="G845" s="2" t="str">
        <f>TEXT(LayoffsData[[#This Row],[date]],"yyyy-mm")</f>
        <v>2022-07</v>
      </c>
      <c r="H845" s="1" t="s">
        <v>28</v>
      </c>
      <c r="I845" s="1" t="s">
        <v>80</v>
      </c>
      <c r="J845">
        <v>1300</v>
      </c>
    </row>
    <row r="846" spans="1:10" x14ac:dyDescent="0.25">
      <c r="A846" s="1" t="s">
        <v>900</v>
      </c>
      <c r="B846" s="1" t="s">
        <v>128</v>
      </c>
      <c r="C846" s="1" t="s">
        <v>29</v>
      </c>
      <c r="D846">
        <v>23</v>
      </c>
      <c r="E846">
        <v>0.2</v>
      </c>
      <c r="F846" s="2">
        <v>43916</v>
      </c>
      <c r="G846" s="2" t="str">
        <f>TEXT(LayoffsData[[#This Row],[date]],"yyyy-mm")</f>
        <v>2020-03</v>
      </c>
      <c r="H846" s="1" t="s">
        <v>24</v>
      </c>
      <c r="I846" s="1" t="s">
        <v>17</v>
      </c>
      <c r="J846">
        <v>47</v>
      </c>
    </row>
    <row r="847" spans="1:10" x14ac:dyDescent="0.25">
      <c r="A847" s="1" t="s">
        <v>901</v>
      </c>
      <c r="B847" s="1" t="s">
        <v>308</v>
      </c>
      <c r="C847" s="1" t="s">
        <v>41</v>
      </c>
      <c r="D847">
        <v>100</v>
      </c>
      <c r="F847" s="2">
        <v>44909</v>
      </c>
      <c r="G847" s="2" t="str">
        <f>TEXT(LayoffsData[[#This Row],[date]],"yyyy-mm")</f>
        <v>2022-12</v>
      </c>
      <c r="H847" s="1" t="s">
        <v>33</v>
      </c>
      <c r="I847" s="1" t="s">
        <v>309</v>
      </c>
      <c r="J847">
        <v>686</v>
      </c>
    </row>
    <row r="848" spans="1:10" x14ac:dyDescent="0.25">
      <c r="A848" s="1" t="s">
        <v>901</v>
      </c>
      <c r="B848" s="1" t="s">
        <v>308</v>
      </c>
      <c r="C848" s="1" t="s">
        <v>41</v>
      </c>
      <c r="D848">
        <v>200</v>
      </c>
      <c r="F848" s="2">
        <v>44812</v>
      </c>
      <c r="G848" s="2" t="str">
        <f>TEXT(LayoffsData[[#This Row],[date]],"yyyy-mm")</f>
        <v>2022-09</v>
      </c>
      <c r="H848" s="1" t="s">
        <v>33</v>
      </c>
      <c r="I848" s="1" t="s">
        <v>309</v>
      </c>
      <c r="J848">
        <v>686</v>
      </c>
    </row>
    <row r="849" spans="1:10" x14ac:dyDescent="0.25">
      <c r="A849" s="1" t="s">
        <v>902</v>
      </c>
      <c r="B849" s="1" t="s">
        <v>120</v>
      </c>
      <c r="C849" s="1" t="s">
        <v>10</v>
      </c>
      <c r="D849">
        <v>1300</v>
      </c>
      <c r="E849">
        <v>0.12</v>
      </c>
      <c r="F849" s="2">
        <v>44875</v>
      </c>
      <c r="G849" s="2" t="str">
        <f>TEXT(LayoffsData[[#This Row],[date]],"yyyy-mm")</f>
        <v>2022-11</v>
      </c>
      <c r="H849" s="1" t="s">
        <v>11</v>
      </c>
      <c r="I849" s="1" t="s">
        <v>121</v>
      </c>
      <c r="J849">
        <v>1300</v>
      </c>
    </row>
    <row r="850" spans="1:10" x14ac:dyDescent="0.25">
      <c r="A850" s="1" t="s">
        <v>903</v>
      </c>
      <c r="B850" s="1" t="s">
        <v>101</v>
      </c>
      <c r="C850" s="1" t="s">
        <v>10</v>
      </c>
      <c r="D850">
        <v>360</v>
      </c>
      <c r="E850">
        <v>0.05</v>
      </c>
      <c r="F850" s="2">
        <v>43998</v>
      </c>
      <c r="G850" s="2" t="str">
        <f>TEXT(LayoffsData[[#This Row],[date]],"yyyy-mm")</f>
        <v>2020-06</v>
      </c>
      <c r="H850" s="1" t="s">
        <v>904</v>
      </c>
      <c r="I850" s="1" t="s">
        <v>101</v>
      </c>
      <c r="J850">
        <v>9900</v>
      </c>
    </row>
    <row r="851" spans="1:10" x14ac:dyDescent="0.25">
      <c r="A851" s="1" t="s">
        <v>905</v>
      </c>
      <c r="B851" s="1" t="s">
        <v>32</v>
      </c>
      <c r="C851" s="1" t="s">
        <v>29</v>
      </c>
      <c r="F851" s="2">
        <v>43937</v>
      </c>
      <c r="G851" s="2" t="str">
        <f>TEXT(LayoffsData[[#This Row],[date]],"yyyy-mm")</f>
        <v>2020-04</v>
      </c>
      <c r="H851" s="1" t="s">
        <v>21</v>
      </c>
      <c r="I851" s="1" t="s">
        <v>17</v>
      </c>
      <c r="J851">
        <v>16</v>
      </c>
    </row>
    <row r="852" spans="1:10" x14ac:dyDescent="0.25">
      <c r="A852" s="1" t="s">
        <v>906</v>
      </c>
      <c r="B852" s="1" t="s">
        <v>907</v>
      </c>
      <c r="C852" s="1" t="s">
        <v>51</v>
      </c>
      <c r="D852">
        <v>75</v>
      </c>
      <c r="F852" s="2">
        <v>44942</v>
      </c>
      <c r="G852" s="2" t="str">
        <f>TEXT(LayoffsData[[#This Row],[date]],"yyyy-mm")</f>
        <v>2023-01</v>
      </c>
      <c r="H852" s="1" t="s">
        <v>24</v>
      </c>
      <c r="I852" s="1" t="s">
        <v>69</v>
      </c>
      <c r="J852">
        <v>17</v>
      </c>
    </row>
    <row r="853" spans="1:10" x14ac:dyDescent="0.25">
      <c r="A853" s="1" t="s">
        <v>908</v>
      </c>
      <c r="B853" s="1" t="s">
        <v>909</v>
      </c>
      <c r="C853" s="1" t="s">
        <v>74</v>
      </c>
      <c r="F853" s="2">
        <v>44831</v>
      </c>
      <c r="G853" s="2" t="str">
        <f>TEXT(LayoffsData[[#This Row],[date]],"yyyy-mm")</f>
        <v>2022-09</v>
      </c>
      <c r="H853" s="1" t="s">
        <v>37</v>
      </c>
      <c r="I853" s="1" t="s">
        <v>201</v>
      </c>
      <c r="J853">
        <v>692</v>
      </c>
    </row>
    <row r="854" spans="1:10" x14ac:dyDescent="0.25">
      <c r="A854" s="1" t="s">
        <v>910</v>
      </c>
      <c r="B854" s="1" t="s">
        <v>26</v>
      </c>
      <c r="C854" s="1" t="s">
        <v>74</v>
      </c>
      <c r="D854">
        <v>20</v>
      </c>
      <c r="E854">
        <v>0.4</v>
      </c>
      <c r="F854" s="2">
        <v>43913</v>
      </c>
      <c r="G854" s="2" t="str">
        <f>TEXT(LayoffsData[[#This Row],[date]],"yyyy-mm")</f>
        <v>2020-03</v>
      </c>
      <c r="H854" s="1" t="s">
        <v>37</v>
      </c>
      <c r="I854" s="1" t="s">
        <v>17</v>
      </c>
      <c r="J854">
        <v>7</v>
      </c>
    </row>
    <row r="855" spans="1:10" x14ac:dyDescent="0.25">
      <c r="A855" s="1" t="s">
        <v>911</v>
      </c>
      <c r="B855" s="1" t="s">
        <v>912</v>
      </c>
      <c r="C855" s="1" t="s">
        <v>51</v>
      </c>
      <c r="F855" s="2">
        <v>44978</v>
      </c>
      <c r="G855" s="2" t="str">
        <f>TEXT(LayoffsData[[#This Row],[date]],"yyyy-mm")</f>
        <v>2023-02</v>
      </c>
      <c r="H855" s="1" t="s">
        <v>28</v>
      </c>
      <c r="I855" s="1" t="s">
        <v>913</v>
      </c>
      <c r="J855">
        <v>214</v>
      </c>
    </row>
    <row r="856" spans="1:10" x14ac:dyDescent="0.25">
      <c r="A856" s="1" t="s">
        <v>914</v>
      </c>
      <c r="B856" s="1" t="s">
        <v>32</v>
      </c>
      <c r="C856" s="1" t="s">
        <v>165</v>
      </c>
      <c r="D856">
        <v>120</v>
      </c>
      <c r="E856">
        <v>0.28000000000000003</v>
      </c>
      <c r="F856" s="2">
        <v>43938</v>
      </c>
      <c r="G856" s="2" t="str">
        <f>TEXT(LayoffsData[[#This Row],[date]],"yyyy-mm")</f>
        <v>2020-04</v>
      </c>
      <c r="H856" s="1" t="s">
        <v>33</v>
      </c>
      <c r="I856" s="1" t="s">
        <v>17</v>
      </c>
      <c r="J856">
        <v>110</v>
      </c>
    </row>
    <row r="857" spans="1:10" x14ac:dyDescent="0.25">
      <c r="A857" s="1" t="s">
        <v>915</v>
      </c>
      <c r="B857" s="1" t="s">
        <v>213</v>
      </c>
      <c r="C857" s="1" t="s">
        <v>68</v>
      </c>
      <c r="D857">
        <v>104</v>
      </c>
      <c r="E857">
        <v>0.21</v>
      </c>
      <c r="F857" s="2">
        <v>44938</v>
      </c>
      <c r="G857" s="2" t="str">
        <f>TEXT(LayoffsData[[#This Row],[date]],"yyyy-mm")</f>
        <v>2023-01</v>
      </c>
      <c r="H857" s="1" t="s">
        <v>33</v>
      </c>
      <c r="I857" s="1" t="s">
        <v>17</v>
      </c>
      <c r="J857">
        <v>556</v>
      </c>
    </row>
    <row r="858" spans="1:10" x14ac:dyDescent="0.25">
      <c r="A858" s="1" t="s">
        <v>916</v>
      </c>
      <c r="B858" s="1" t="s">
        <v>655</v>
      </c>
      <c r="C858" s="1" t="s">
        <v>20</v>
      </c>
      <c r="D858">
        <v>60</v>
      </c>
      <c r="E858">
        <v>0.13</v>
      </c>
      <c r="F858" s="2">
        <v>44895</v>
      </c>
      <c r="G858" s="2" t="str">
        <f>TEXT(LayoffsData[[#This Row],[date]],"yyyy-mm")</f>
        <v>2022-11</v>
      </c>
      <c r="H858" s="1" t="s">
        <v>24</v>
      </c>
      <c r="I858" s="1" t="s">
        <v>17</v>
      </c>
      <c r="J858">
        <v>145</v>
      </c>
    </row>
    <row r="859" spans="1:10" x14ac:dyDescent="0.25">
      <c r="A859" s="1" t="s">
        <v>917</v>
      </c>
      <c r="B859" s="1" t="s">
        <v>32</v>
      </c>
      <c r="C859" s="1" t="s">
        <v>63</v>
      </c>
      <c r="D859">
        <v>50</v>
      </c>
      <c r="E859">
        <v>7.0000000000000007E-2</v>
      </c>
      <c r="F859" s="2">
        <v>43928</v>
      </c>
      <c r="G859" s="2" t="str">
        <f>TEXT(LayoffsData[[#This Row],[date]],"yyyy-mm")</f>
        <v>2020-04</v>
      </c>
      <c r="H859" s="1" t="s">
        <v>37</v>
      </c>
      <c r="I859" s="1" t="s">
        <v>17</v>
      </c>
      <c r="J859">
        <v>190</v>
      </c>
    </row>
    <row r="860" spans="1:10" x14ac:dyDescent="0.25">
      <c r="A860" s="1" t="s">
        <v>918</v>
      </c>
      <c r="B860" s="1" t="s">
        <v>76</v>
      </c>
      <c r="C860" s="1" t="s">
        <v>29</v>
      </c>
      <c r="D860">
        <v>500</v>
      </c>
      <c r="F860" s="2">
        <v>44956</v>
      </c>
      <c r="G860" s="2" t="str">
        <f>TEXT(LayoffsData[[#This Row],[date]],"yyyy-mm")</f>
        <v>2023-01</v>
      </c>
      <c r="H860" s="1" t="s">
        <v>11</v>
      </c>
      <c r="I860" s="1" t="s">
        <v>17</v>
      </c>
      <c r="J860">
        <v>1400</v>
      </c>
    </row>
    <row r="861" spans="1:10" x14ac:dyDescent="0.25">
      <c r="A861" s="1" t="s">
        <v>918</v>
      </c>
      <c r="B861" s="1" t="s">
        <v>76</v>
      </c>
      <c r="C861" s="1" t="s">
        <v>29</v>
      </c>
      <c r="D861">
        <v>500</v>
      </c>
      <c r="E861">
        <v>0.15</v>
      </c>
      <c r="F861" s="2">
        <v>44781</v>
      </c>
      <c r="G861" s="2" t="str">
        <f>TEXT(LayoffsData[[#This Row],[date]],"yyyy-mm")</f>
        <v>2022-08</v>
      </c>
      <c r="H861" s="1" t="s">
        <v>11</v>
      </c>
      <c r="I861" s="1" t="s">
        <v>17</v>
      </c>
      <c r="J861">
        <v>1400</v>
      </c>
    </row>
    <row r="862" spans="1:10" x14ac:dyDescent="0.25">
      <c r="A862" s="1" t="s">
        <v>918</v>
      </c>
      <c r="B862" s="1" t="s">
        <v>76</v>
      </c>
      <c r="C862" s="1" t="s">
        <v>29</v>
      </c>
      <c r="D862">
        <v>2800</v>
      </c>
      <c r="E862">
        <v>0.44</v>
      </c>
      <c r="F862" s="2">
        <v>43934</v>
      </c>
      <c r="G862" s="2" t="str">
        <f>TEXT(LayoffsData[[#This Row],[date]],"yyyy-mm")</f>
        <v>2020-04</v>
      </c>
      <c r="H862" s="1" t="s">
        <v>11</v>
      </c>
      <c r="I862" s="1" t="s">
        <v>17</v>
      </c>
      <c r="J862">
        <v>1400</v>
      </c>
    </row>
    <row r="863" spans="1:10" x14ac:dyDescent="0.25">
      <c r="A863" s="1" t="s">
        <v>919</v>
      </c>
      <c r="B863" s="1" t="s">
        <v>14</v>
      </c>
      <c r="C863" s="1" t="s">
        <v>29</v>
      </c>
      <c r="E863">
        <v>0.17</v>
      </c>
      <c r="F863" s="2">
        <v>44639</v>
      </c>
      <c r="G863" s="2" t="str">
        <f>TEXT(LayoffsData[[#This Row],[date]],"yyyy-mm")</f>
        <v>2022-03</v>
      </c>
      <c r="H863" s="1" t="s">
        <v>16</v>
      </c>
      <c r="I863" s="1" t="s">
        <v>17</v>
      </c>
      <c r="J863">
        <v>474</v>
      </c>
    </row>
    <row r="864" spans="1:10" x14ac:dyDescent="0.25">
      <c r="A864" s="1" t="s">
        <v>920</v>
      </c>
      <c r="B864" s="1" t="s">
        <v>79</v>
      </c>
      <c r="C864" s="1" t="s">
        <v>29</v>
      </c>
      <c r="D864">
        <v>40</v>
      </c>
      <c r="E864">
        <v>0.1</v>
      </c>
      <c r="F864" s="2">
        <v>44902</v>
      </c>
      <c r="G864" s="2" t="str">
        <f>TEXT(LayoffsData[[#This Row],[date]],"yyyy-mm")</f>
        <v>2022-12</v>
      </c>
      <c r="H864" s="1" t="s">
        <v>37</v>
      </c>
      <c r="I864" s="1" t="s">
        <v>17</v>
      </c>
      <c r="J864">
        <v>2300</v>
      </c>
    </row>
    <row r="865" spans="1:10" x14ac:dyDescent="0.25">
      <c r="A865" s="1" t="s">
        <v>921</v>
      </c>
      <c r="B865" s="1" t="s">
        <v>153</v>
      </c>
      <c r="C865" s="1" t="s">
        <v>36</v>
      </c>
      <c r="F865" s="2">
        <v>44845</v>
      </c>
      <c r="G865" s="2" t="str">
        <f>TEXT(LayoffsData[[#This Row],[date]],"yyyy-mm")</f>
        <v>2022-10</v>
      </c>
      <c r="H865" s="1" t="s">
        <v>37</v>
      </c>
      <c r="I865" s="1" t="s">
        <v>153</v>
      </c>
    </row>
    <row r="866" spans="1:10" x14ac:dyDescent="0.25">
      <c r="A866" s="1" t="s">
        <v>922</v>
      </c>
      <c r="B866" s="1" t="s">
        <v>14</v>
      </c>
      <c r="C866" s="1" t="s">
        <v>15</v>
      </c>
      <c r="D866">
        <v>130</v>
      </c>
      <c r="E866">
        <v>7.0000000000000007E-2</v>
      </c>
      <c r="F866" s="2">
        <v>44951</v>
      </c>
      <c r="G866" s="2" t="str">
        <f>TEXT(LayoffsData[[#This Row],[date]],"yyyy-mm")</f>
        <v>2023-01</v>
      </c>
      <c r="H866" s="1" t="s">
        <v>11</v>
      </c>
      <c r="I866" s="1" t="s">
        <v>17</v>
      </c>
      <c r="J866">
        <v>550</v>
      </c>
    </row>
    <row r="867" spans="1:10" x14ac:dyDescent="0.25">
      <c r="A867" s="1" t="s">
        <v>923</v>
      </c>
      <c r="B867" s="1" t="s">
        <v>14</v>
      </c>
      <c r="C867" s="1" t="s">
        <v>68</v>
      </c>
      <c r="E867">
        <v>0.02</v>
      </c>
      <c r="F867" s="2">
        <v>44784</v>
      </c>
      <c r="G867" s="2" t="str">
        <f>TEXT(LayoffsData[[#This Row],[date]],"yyyy-mm")</f>
        <v>2022-08</v>
      </c>
      <c r="H867" s="1" t="s">
        <v>11</v>
      </c>
      <c r="I867" s="1" t="s">
        <v>17</v>
      </c>
      <c r="J867">
        <v>24</v>
      </c>
    </row>
    <row r="868" spans="1:10" x14ac:dyDescent="0.25">
      <c r="A868" s="1" t="s">
        <v>924</v>
      </c>
      <c r="B868" s="1" t="s">
        <v>26</v>
      </c>
      <c r="C868" s="1" t="s">
        <v>20</v>
      </c>
      <c r="D868">
        <v>90</v>
      </c>
      <c r="E868">
        <v>0.25</v>
      </c>
      <c r="F868" s="2">
        <v>43941</v>
      </c>
      <c r="G868" s="2" t="str">
        <f>TEXT(LayoffsData[[#This Row],[date]],"yyyy-mm")</f>
        <v>2020-04</v>
      </c>
      <c r="H868" s="1" t="s">
        <v>33</v>
      </c>
      <c r="I868" s="1" t="s">
        <v>17</v>
      </c>
      <c r="J868">
        <v>58</v>
      </c>
    </row>
    <row r="869" spans="1:10" x14ac:dyDescent="0.25">
      <c r="A869" s="1" t="s">
        <v>925</v>
      </c>
      <c r="B869" s="1" t="s">
        <v>14</v>
      </c>
      <c r="C869" s="1" t="s">
        <v>147</v>
      </c>
      <c r="D869">
        <v>126</v>
      </c>
      <c r="E869">
        <v>0.05</v>
      </c>
      <c r="F869" s="2">
        <v>44965</v>
      </c>
      <c r="G869" s="2" t="str">
        <f>TEXT(LayoffsData[[#This Row],[date]],"yyyy-mm")</f>
        <v>2023-02</v>
      </c>
      <c r="H869" s="1" t="s">
        <v>16</v>
      </c>
      <c r="I869" s="1" t="s">
        <v>17</v>
      </c>
      <c r="J869">
        <v>746</v>
      </c>
    </row>
    <row r="870" spans="1:10" x14ac:dyDescent="0.25">
      <c r="A870" s="1" t="s">
        <v>926</v>
      </c>
      <c r="B870" s="1" t="s">
        <v>35</v>
      </c>
      <c r="C870" s="1" t="s">
        <v>506</v>
      </c>
      <c r="D870">
        <v>467</v>
      </c>
      <c r="E870">
        <v>0.33</v>
      </c>
      <c r="F870" s="2">
        <v>43924</v>
      </c>
      <c r="G870" s="2" t="str">
        <f>TEXT(LayoffsData[[#This Row],[date]],"yyyy-mm")</f>
        <v>2020-04</v>
      </c>
      <c r="H870" s="1" t="s">
        <v>33</v>
      </c>
      <c r="I870" s="1" t="s">
        <v>38</v>
      </c>
      <c r="J870">
        <v>300</v>
      </c>
    </row>
    <row r="871" spans="1:10" x14ac:dyDescent="0.25">
      <c r="A871" s="1" t="s">
        <v>927</v>
      </c>
      <c r="B871" s="1" t="s">
        <v>14</v>
      </c>
      <c r="C871" s="1" t="s">
        <v>147</v>
      </c>
      <c r="E871">
        <v>0.08</v>
      </c>
      <c r="F871" s="2">
        <v>44971</v>
      </c>
      <c r="G871" s="2" t="str">
        <f>TEXT(LayoffsData[[#This Row],[date]],"yyyy-mm")</f>
        <v>2023-02</v>
      </c>
      <c r="H871" s="1" t="s">
        <v>24</v>
      </c>
      <c r="I871" s="1" t="s">
        <v>17</v>
      </c>
      <c r="J871">
        <v>11</v>
      </c>
    </row>
    <row r="872" spans="1:10" x14ac:dyDescent="0.25">
      <c r="A872" s="1" t="s">
        <v>928</v>
      </c>
      <c r="B872" s="1" t="s">
        <v>32</v>
      </c>
      <c r="C872" s="1" t="s">
        <v>15</v>
      </c>
      <c r="E872">
        <v>1</v>
      </c>
      <c r="F872" s="2">
        <v>44666</v>
      </c>
      <c r="G872" s="2" t="str">
        <f>TEXT(LayoffsData[[#This Row],[date]],"yyyy-mm")</f>
        <v>2022-04</v>
      </c>
      <c r="H872" s="1" t="s">
        <v>37</v>
      </c>
      <c r="I872" s="1" t="s">
        <v>17</v>
      </c>
      <c r="J872">
        <v>2</v>
      </c>
    </row>
    <row r="873" spans="1:10" x14ac:dyDescent="0.25">
      <c r="A873" s="1" t="s">
        <v>929</v>
      </c>
      <c r="B873" s="1" t="s">
        <v>14</v>
      </c>
      <c r="C873" s="1" t="s">
        <v>165</v>
      </c>
      <c r="F873" s="2">
        <v>43956</v>
      </c>
      <c r="G873" s="2" t="str">
        <f>TEXT(LayoffsData[[#This Row],[date]],"yyyy-mm")</f>
        <v>2020-05</v>
      </c>
      <c r="H873" s="1" t="s">
        <v>28</v>
      </c>
      <c r="I873" s="1" t="s">
        <v>17</v>
      </c>
      <c r="J873">
        <v>74</v>
      </c>
    </row>
    <row r="874" spans="1:10" x14ac:dyDescent="0.25">
      <c r="A874" s="1" t="s">
        <v>930</v>
      </c>
      <c r="B874" s="1" t="s">
        <v>26</v>
      </c>
      <c r="C874" s="1" t="s">
        <v>68</v>
      </c>
      <c r="D874">
        <v>158</v>
      </c>
      <c r="E874">
        <v>0.34</v>
      </c>
      <c r="F874" s="2">
        <v>44895</v>
      </c>
      <c r="G874" s="2" t="str">
        <f>TEXT(LayoffsData[[#This Row],[date]],"yyyy-mm")</f>
        <v>2022-11</v>
      </c>
      <c r="H874" s="1" t="s">
        <v>33</v>
      </c>
      <c r="I874" s="1" t="s">
        <v>17</v>
      </c>
      <c r="J874">
        <v>191</v>
      </c>
    </row>
    <row r="875" spans="1:10" x14ac:dyDescent="0.25">
      <c r="A875" s="1" t="s">
        <v>931</v>
      </c>
      <c r="B875" s="1" t="s">
        <v>370</v>
      </c>
      <c r="C875" s="1" t="s">
        <v>41</v>
      </c>
      <c r="D875">
        <v>60</v>
      </c>
      <c r="E875">
        <v>0.3</v>
      </c>
      <c r="F875" s="2">
        <v>44929</v>
      </c>
      <c r="G875" s="2" t="str">
        <f>TEXT(LayoffsData[[#This Row],[date]],"yyyy-mm")</f>
        <v>2023-01</v>
      </c>
      <c r="H875" s="1" t="s">
        <v>57</v>
      </c>
      <c r="I875" s="1" t="s">
        <v>69</v>
      </c>
    </row>
    <row r="876" spans="1:10" x14ac:dyDescent="0.25">
      <c r="A876" s="1" t="s">
        <v>932</v>
      </c>
      <c r="B876" s="1" t="s">
        <v>35</v>
      </c>
      <c r="C876" s="1" t="s">
        <v>68</v>
      </c>
      <c r="D876">
        <v>58</v>
      </c>
      <c r="E876">
        <v>0.5</v>
      </c>
      <c r="F876" s="2">
        <v>44774</v>
      </c>
      <c r="G876" s="2" t="str">
        <f>TEXT(LayoffsData[[#This Row],[date]],"yyyy-mm")</f>
        <v>2022-08</v>
      </c>
      <c r="H876" s="1" t="s">
        <v>28</v>
      </c>
      <c r="I876" s="1" t="s">
        <v>38</v>
      </c>
      <c r="J876">
        <v>58</v>
      </c>
    </row>
    <row r="877" spans="1:10" x14ac:dyDescent="0.25">
      <c r="A877" s="1" t="s">
        <v>933</v>
      </c>
      <c r="B877" s="1" t="s">
        <v>14</v>
      </c>
      <c r="C877" s="1" t="s">
        <v>172</v>
      </c>
      <c r="D877">
        <v>69</v>
      </c>
      <c r="F877" s="2">
        <v>44937</v>
      </c>
      <c r="G877" s="2" t="str">
        <f>TEXT(LayoffsData[[#This Row],[date]],"yyyy-mm")</f>
        <v>2023-01</v>
      </c>
      <c r="H877" s="1" t="s">
        <v>11</v>
      </c>
      <c r="I877" s="1" t="s">
        <v>17</v>
      </c>
      <c r="J877">
        <v>349</v>
      </c>
    </row>
    <row r="878" spans="1:10" x14ac:dyDescent="0.25">
      <c r="A878" s="1" t="s">
        <v>934</v>
      </c>
      <c r="B878" s="1" t="s">
        <v>14</v>
      </c>
      <c r="C878" s="1" t="s">
        <v>51</v>
      </c>
      <c r="E878">
        <v>1</v>
      </c>
      <c r="F878" s="2">
        <v>44782</v>
      </c>
      <c r="G878" s="2" t="str">
        <f>TEXT(LayoffsData[[#This Row],[date]],"yyyy-mm")</f>
        <v>2022-08</v>
      </c>
      <c r="H878" s="1" t="s">
        <v>131</v>
      </c>
      <c r="I878" s="1" t="s">
        <v>17</v>
      </c>
      <c r="J878">
        <v>7</v>
      </c>
    </row>
    <row r="879" spans="1:10" x14ac:dyDescent="0.25">
      <c r="A879" s="1" t="s">
        <v>935</v>
      </c>
      <c r="B879" s="1" t="s">
        <v>128</v>
      </c>
      <c r="C879" s="1" t="s">
        <v>27</v>
      </c>
      <c r="D879">
        <v>5</v>
      </c>
      <c r="F879" s="2">
        <v>44013</v>
      </c>
      <c r="G879" s="2" t="str">
        <f>TEXT(LayoffsData[[#This Row],[date]],"yyyy-mm")</f>
        <v>2020-07</v>
      </c>
      <c r="H879" s="1" t="s">
        <v>28</v>
      </c>
      <c r="I879" s="1" t="s">
        <v>17</v>
      </c>
      <c r="J879">
        <v>58</v>
      </c>
    </row>
    <row r="880" spans="1:10" x14ac:dyDescent="0.25">
      <c r="A880" s="1" t="s">
        <v>936</v>
      </c>
      <c r="B880" s="1" t="s">
        <v>26</v>
      </c>
      <c r="C880" s="1" t="s">
        <v>15</v>
      </c>
      <c r="D880">
        <v>50</v>
      </c>
      <c r="E880">
        <v>0.04</v>
      </c>
      <c r="F880" s="2">
        <v>44909</v>
      </c>
      <c r="G880" s="2" t="str">
        <f>TEXT(LayoffsData[[#This Row],[date]],"yyyy-mm")</f>
        <v>2022-12</v>
      </c>
      <c r="H880" s="1" t="s">
        <v>37</v>
      </c>
      <c r="I880" s="1" t="s">
        <v>17</v>
      </c>
      <c r="J880">
        <v>215</v>
      </c>
    </row>
    <row r="881" spans="1:10" x14ac:dyDescent="0.25">
      <c r="A881" s="1" t="s">
        <v>937</v>
      </c>
      <c r="B881" s="1" t="s">
        <v>14</v>
      </c>
      <c r="C881" s="1" t="s">
        <v>15</v>
      </c>
      <c r="F881" s="2">
        <v>44914</v>
      </c>
      <c r="G881" s="2" t="str">
        <f>TEXT(LayoffsData[[#This Row],[date]],"yyyy-mm")</f>
        <v>2022-12</v>
      </c>
      <c r="H881" s="1" t="s">
        <v>33</v>
      </c>
      <c r="I881" s="1" t="s">
        <v>17</v>
      </c>
      <c r="J881">
        <v>136</v>
      </c>
    </row>
    <row r="882" spans="1:10" x14ac:dyDescent="0.25">
      <c r="A882" s="1" t="s">
        <v>938</v>
      </c>
      <c r="B882" s="1" t="s">
        <v>182</v>
      </c>
      <c r="C882" s="1" t="s">
        <v>15</v>
      </c>
      <c r="D882">
        <v>149</v>
      </c>
      <c r="F882" s="2">
        <v>44776</v>
      </c>
      <c r="G882" s="2" t="str">
        <f>TEXT(LayoffsData[[#This Row],[date]],"yyyy-mm")</f>
        <v>2022-08</v>
      </c>
      <c r="H882" s="1" t="s">
        <v>28</v>
      </c>
      <c r="I882" s="1" t="s">
        <v>17</v>
      </c>
      <c r="J882">
        <v>244</v>
      </c>
    </row>
    <row r="883" spans="1:10" x14ac:dyDescent="0.25">
      <c r="A883" s="1" t="s">
        <v>939</v>
      </c>
      <c r="B883" s="1" t="s">
        <v>293</v>
      </c>
      <c r="C883" s="1" t="s">
        <v>506</v>
      </c>
      <c r="D883">
        <v>150</v>
      </c>
      <c r="F883" s="2">
        <v>44898</v>
      </c>
      <c r="G883" s="2" t="str">
        <f>TEXT(LayoffsData[[#This Row],[date]],"yyyy-mm")</f>
        <v>2022-12</v>
      </c>
      <c r="H883" s="1" t="s">
        <v>28</v>
      </c>
      <c r="I883" s="1" t="s">
        <v>69</v>
      </c>
      <c r="J883">
        <v>100</v>
      </c>
    </row>
    <row r="884" spans="1:10" x14ac:dyDescent="0.25">
      <c r="A884" s="1" t="s">
        <v>940</v>
      </c>
      <c r="B884" s="1" t="s">
        <v>44</v>
      </c>
      <c r="C884" s="1" t="s">
        <v>15</v>
      </c>
      <c r="D884">
        <v>18</v>
      </c>
      <c r="E884">
        <v>0.5</v>
      </c>
      <c r="F884" s="2">
        <v>44740</v>
      </c>
      <c r="G884" s="2" t="str">
        <f>TEXT(LayoffsData[[#This Row],[date]],"yyyy-mm")</f>
        <v>2022-06</v>
      </c>
      <c r="H884" s="1" t="s">
        <v>24</v>
      </c>
      <c r="I884" s="1" t="s">
        <v>46</v>
      </c>
      <c r="J884">
        <v>20</v>
      </c>
    </row>
    <row r="885" spans="1:10" x14ac:dyDescent="0.25">
      <c r="A885" s="1" t="s">
        <v>941</v>
      </c>
      <c r="B885" s="1" t="s">
        <v>62</v>
      </c>
      <c r="C885" s="1" t="s">
        <v>68</v>
      </c>
      <c r="D885">
        <v>12</v>
      </c>
      <c r="F885" s="2">
        <v>44805</v>
      </c>
      <c r="G885" s="2" t="str">
        <f>TEXT(LayoffsData[[#This Row],[date]],"yyyy-mm")</f>
        <v>2022-09</v>
      </c>
      <c r="H885" s="1" t="s">
        <v>24</v>
      </c>
      <c r="I885" s="1" t="s">
        <v>64</v>
      </c>
      <c r="J885">
        <v>67</v>
      </c>
    </row>
    <row r="886" spans="1:10" x14ac:dyDescent="0.25">
      <c r="A886" s="1" t="s">
        <v>942</v>
      </c>
      <c r="B886" s="1" t="s">
        <v>14</v>
      </c>
      <c r="C886" s="1" t="s">
        <v>51</v>
      </c>
      <c r="D886">
        <v>611</v>
      </c>
      <c r="F886" s="2">
        <v>44844</v>
      </c>
      <c r="G886" s="2" t="str">
        <f>TEXT(LayoffsData[[#This Row],[date]],"yyyy-mm")</f>
        <v>2022-10</v>
      </c>
      <c r="H886" s="1" t="s">
        <v>11</v>
      </c>
      <c r="I886" s="1" t="s">
        <v>17</v>
      </c>
      <c r="J886">
        <v>367</v>
      </c>
    </row>
    <row r="887" spans="1:10" x14ac:dyDescent="0.25">
      <c r="A887" s="1" t="s">
        <v>943</v>
      </c>
      <c r="B887" s="1" t="s">
        <v>73</v>
      </c>
      <c r="C887" s="1" t="s">
        <v>53</v>
      </c>
      <c r="F887" s="2">
        <v>44866</v>
      </c>
      <c r="G887" s="2" t="str">
        <f>TEXT(LayoffsData[[#This Row],[date]],"yyyy-mm")</f>
        <v>2022-11</v>
      </c>
      <c r="H887" s="1" t="s">
        <v>24</v>
      </c>
      <c r="I887" s="1" t="s">
        <v>17</v>
      </c>
      <c r="J887">
        <v>28</v>
      </c>
    </row>
    <row r="888" spans="1:10" x14ac:dyDescent="0.25">
      <c r="A888" s="1" t="s">
        <v>944</v>
      </c>
      <c r="B888" s="1" t="s">
        <v>137</v>
      </c>
      <c r="C888" s="1" t="s">
        <v>53</v>
      </c>
      <c r="D888">
        <v>16</v>
      </c>
      <c r="E888">
        <v>1</v>
      </c>
      <c r="F888" s="2">
        <v>43906</v>
      </c>
      <c r="G888" s="2" t="str">
        <f>TEXT(LayoffsData[[#This Row],[date]],"yyyy-mm")</f>
        <v>2020-03</v>
      </c>
      <c r="H888" s="1" t="s">
        <v>131</v>
      </c>
      <c r="I888" s="1" t="s">
        <v>17</v>
      </c>
      <c r="J888">
        <v>6</v>
      </c>
    </row>
    <row r="889" spans="1:10" x14ac:dyDescent="0.25">
      <c r="A889" s="1" t="s">
        <v>945</v>
      </c>
      <c r="B889" s="1" t="s">
        <v>73</v>
      </c>
      <c r="C889" s="1" t="s">
        <v>63</v>
      </c>
      <c r="D889">
        <v>10</v>
      </c>
      <c r="E889">
        <v>0.18</v>
      </c>
      <c r="F889" s="2">
        <v>43992</v>
      </c>
      <c r="G889" s="2" t="str">
        <f>TEXT(LayoffsData[[#This Row],[date]],"yyyy-mm")</f>
        <v>2020-06</v>
      </c>
      <c r="H889" s="1" t="s">
        <v>37</v>
      </c>
      <c r="I889" s="1" t="s">
        <v>17</v>
      </c>
    </row>
    <row r="890" spans="1:10" x14ac:dyDescent="0.25">
      <c r="A890" s="1" t="s">
        <v>946</v>
      </c>
      <c r="B890" s="1" t="s">
        <v>200</v>
      </c>
      <c r="C890" s="1" t="s">
        <v>29</v>
      </c>
      <c r="D890">
        <v>24</v>
      </c>
      <c r="E890">
        <v>0.2</v>
      </c>
      <c r="F890" s="2">
        <v>44757</v>
      </c>
      <c r="G890" s="2" t="str">
        <f>TEXT(LayoffsData[[#This Row],[date]],"yyyy-mm")</f>
        <v>2022-07</v>
      </c>
      <c r="H890" s="1" t="s">
        <v>37</v>
      </c>
      <c r="I890" s="1" t="s">
        <v>17</v>
      </c>
      <c r="J890">
        <v>265</v>
      </c>
    </row>
    <row r="891" spans="1:10" x14ac:dyDescent="0.25">
      <c r="A891" s="1" t="s">
        <v>947</v>
      </c>
      <c r="B891" s="1" t="s">
        <v>79</v>
      </c>
      <c r="C891" s="1" t="s">
        <v>10</v>
      </c>
      <c r="D891">
        <v>73</v>
      </c>
      <c r="F891" s="2">
        <v>44953</v>
      </c>
      <c r="G891" s="2" t="str">
        <f>TEXT(LayoffsData[[#This Row],[date]],"yyyy-mm")</f>
        <v>2023-01</v>
      </c>
      <c r="H891" s="1" t="s">
        <v>37</v>
      </c>
      <c r="I891" s="1" t="s">
        <v>80</v>
      </c>
    </row>
    <row r="892" spans="1:10" x14ac:dyDescent="0.25">
      <c r="A892" s="1" t="s">
        <v>948</v>
      </c>
      <c r="B892" s="1" t="s">
        <v>168</v>
      </c>
      <c r="C892" s="1" t="s">
        <v>147</v>
      </c>
      <c r="D892">
        <v>70</v>
      </c>
      <c r="E892">
        <v>0.3</v>
      </c>
      <c r="F892" s="2">
        <v>43920</v>
      </c>
      <c r="G892" s="2" t="str">
        <f>TEXT(LayoffsData[[#This Row],[date]],"yyyy-mm")</f>
        <v>2020-03</v>
      </c>
      <c r="H892" s="1" t="s">
        <v>21</v>
      </c>
      <c r="I892" s="1" t="s">
        <v>170</v>
      </c>
      <c r="J892">
        <v>45</v>
      </c>
    </row>
    <row r="893" spans="1:10" x14ac:dyDescent="0.25">
      <c r="A893" s="1" t="s">
        <v>949</v>
      </c>
      <c r="B893" s="1" t="s">
        <v>293</v>
      </c>
      <c r="C893" s="1" t="s">
        <v>68</v>
      </c>
      <c r="D893">
        <v>25</v>
      </c>
      <c r="F893" s="2">
        <v>44874</v>
      </c>
      <c r="G893" s="2" t="str">
        <f>TEXT(LayoffsData[[#This Row],[date]],"yyyy-mm")</f>
        <v>2022-11</v>
      </c>
      <c r="H893" s="1" t="s">
        <v>28</v>
      </c>
      <c r="I893" s="1" t="s">
        <v>69</v>
      </c>
      <c r="J893">
        <v>475</v>
      </c>
    </row>
    <row r="894" spans="1:10" x14ac:dyDescent="0.25">
      <c r="A894" s="1" t="s">
        <v>950</v>
      </c>
      <c r="B894" s="1" t="s">
        <v>79</v>
      </c>
      <c r="C894" s="1" t="s">
        <v>63</v>
      </c>
      <c r="D894">
        <v>51</v>
      </c>
      <c r="E894">
        <v>0.25</v>
      </c>
      <c r="F894" s="2">
        <v>43922</v>
      </c>
      <c r="G894" s="2" t="str">
        <f>TEXT(LayoffsData[[#This Row],[date]],"yyyy-mm")</f>
        <v>2020-04</v>
      </c>
      <c r="H894" s="1" t="s">
        <v>21</v>
      </c>
      <c r="I894" s="1" t="s">
        <v>80</v>
      </c>
      <c r="J894">
        <v>9</v>
      </c>
    </row>
    <row r="895" spans="1:10" x14ac:dyDescent="0.25">
      <c r="A895" s="1" t="s">
        <v>951</v>
      </c>
      <c r="B895" s="1" t="s">
        <v>55</v>
      </c>
      <c r="C895" s="1" t="s">
        <v>48</v>
      </c>
      <c r="D895">
        <v>100</v>
      </c>
      <c r="E895">
        <v>0.1</v>
      </c>
      <c r="F895" s="2">
        <v>44959</v>
      </c>
      <c r="G895" s="2" t="str">
        <f>TEXT(LayoffsData[[#This Row],[date]],"yyyy-mm")</f>
        <v>2023-02</v>
      </c>
      <c r="H895" s="1" t="s">
        <v>86</v>
      </c>
      <c r="I895" s="1" t="s">
        <v>17</v>
      </c>
      <c r="J895">
        <v>644</v>
      </c>
    </row>
    <row r="896" spans="1:10" x14ac:dyDescent="0.25">
      <c r="A896" s="1" t="s">
        <v>952</v>
      </c>
      <c r="B896" s="1" t="s">
        <v>14</v>
      </c>
      <c r="C896" s="1" t="s">
        <v>84</v>
      </c>
      <c r="E896">
        <v>0.6</v>
      </c>
      <c r="F896" s="2">
        <v>43941</v>
      </c>
      <c r="G896" s="2" t="str">
        <f>TEXT(LayoffsData[[#This Row],[date]],"yyyy-mm")</f>
        <v>2020-04</v>
      </c>
      <c r="H896" s="1" t="s">
        <v>24</v>
      </c>
      <c r="I896" s="1" t="s">
        <v>17</v>
      </c>
      <c r="J896">
        <v>41</v>
      </c>
    </row>
    <row r="897" spans="1:10" x14ac:dyDescent="0.25">
      <c r="A897" s="1" t="s">
        <v>953</v>
      </c>
      <c r="B897" s="1" t="s">
        <v>14</v>
      </c>
      <c r="C897" s="1" t="s">
        <v>68</v>
      </c>
      <c r="D897">
        <v>70</v>
      </c>
      <c r="E897">
        <v>0.1</v>
      </c>
      <c r="F897" s="2">
        <v>44804</v>
      </c>
      <c r="G897" s="2" t="str">
        <f>TEXT(LayoffsData[[#This Row],[date]],"yyyy-mm")</f>
        <v>2022-08</v>
      </c>
      <c r="H897" s="1" t="s">
        <v>11</v>
      </c>
      <c r="I897" s="1" t="s">
        <v>17</v>
      </c>
      <c r="J897">
        <v>1300</v>
      </c>
    </row>
    <row r="898" spans="1:10" x14ac:dyDescent="0.25">
      <c r="A898" s="1" t="s">
        <v>954</v>
      </c>
      <c r="B898" s="1" t="s">
        <v>293</v>
      </c>
      <c r="C898" s="1" t="s">
        <v>165</v>
      </c>
      <c r="D898">
        <v>200</v>
      </c>
      <c r="E898">
        <v>0.4</v>
      </c>
      <c r="F898" s="2">
        <v>44893</v>
      </c>
      <c r="G898" s="2" t="str">
        <f>TEXT(LayoffsData[[#This Row],[date]],"yyyy-mm")</f>
        <v>2022-11</v>
      </c>
      <c r="H898" s="1" t="s">
        <v>21</v>
      </c>
      <c r="I898" s="1" t="s">
        <v>69</v>
      </c>
    </row>
    <row r="899" spans="1:10" x14ac:dyDescent="0.25">
      <c r="A899" s="1" t="s">
        <v>955</v>
      </c>
      <c r="B899" s="1" t="s">
        <v>14</v>
      </c>
      <c r="C899" s="1" t="s">
        <v>165</v>
      </c>
      <c r="F899" s="2">
        <v>44012</v>
      </c>
      <c r="G899" s="2" t="str">
        <f>TEXT(LayoffsData[[#This Row],[date]],"yyyy-mm")</f>
        <v>2020-06</v>
      </c>
      <c r="H899" s="1" t="s">
        <v>33</v>
      </c>
      <c r="I899" s="1" t="s">
        <v>17</v>
      </c>
      <c r="J899">
        <v>132</v>
      </c>
    </row>
    <row r="900" spans="1:10" x14ac:dyDescent="0.25">
      <c r="A900" s="1" t="s">
        <v>956</v>
      </c>
      <c r="B900" s="1" t="s">
        <v>76</v>
      </c>
      <c r="C900" s="1" t="s">
        <v>165</v>
      </c>
      <c r="D900">
        <v>36</v>
      </c>
      <c r="E900">
        <v>0.17</v>
      </c>
      <c r="F900" s="2">
        <v>43963</v>
      </c>
      <c r="G900" s="2" t="str">
        <f>TEXT(LayoffsData[[#This Row],[date]],"yyyy-mm")</f>
        <v>2020-05</v>
      </c>
      <c r="H900" s="1" t="s">
        <v>33</v>
      </c>
      <c r="I900" s="1" t="s">
        <v>17</v>
      </c>
      <c r="J900">
        <v>52</v>
      </c>
    </row>
    <row r="901" spans="1:10" x14ac:dyDescent="0.25">
      <c r="A901" s="1" t="s">
        <v>957</v>
      </c>
      <c r="B901" s="1" t="s">
        <v>101</v>
      </c>
      <c r="C901" s="1" t="s">
        <v>36</v>
      </c>
      <c r="D901">
        <v>40</v>
      </c>
      <c r="E901">
        <v>0.8</v>
      </c>
      <c r="F901" s="2">
        <v>44792</v>
      </c>
      <c r="G901" s="2" t="str">
        <f>TEXT(LayoffsData[[#This Row],[date]],"yyyy-mm")</f>
        <v>2022-08</v>
      </c>
      <c r="H901" s="1" t="s">
        <v>37</v>
      </c>
      <c r="I901" s="1" t="s">
        <v>101</v>
      </c>
    </row>
    <row r="902" spans="1:10" x14ac:dyDescent="0.25">
      <c r="A902" s="1" t="s">
        <v>958</v>
      </c>
      <c r="B902" s="1" t="s">
        <v>76</v>
      </c>
      <c r="C902" s="1" t="s">
        <v>124</v>
      </c>
      <c r="D902">
        <v>80</v>
      </c>
      <c r="E902">
        <v>0.4</v>
      </c>
      <c r="F902" s="2">
        <v>44721</v>
      </c>
      <c r="G902" s="2" t="str">
        <f>TEXT(LayoffsData[[#This Row],[date]],"yyyy-mm")</f>
        <v>2022-06</v>
      </c>
      <c r="H902" s="1" t="s">
        <v>24</v>
      </c>
      <c r="I902" s="1" t="s">
        <v>17</v>
      </c>
      <c r="J902">
        <v>82</v>
      </c>
    </row>
    <row r="903" spans="1:10" x14ac:dyDescent="0.25">
      <c r="A903" s="1" t="s">
        <v>959</v>
      </c>
      <c r="B903" s="1" t="s">
        <v>128</v>
      </c>
      <c r="C903" s="1" t="s">
        <v>174</v>
      </c>
      <c r="D903">
        <v>18</v>
      </c>
      <c r="E903">
        <v>0.13</v>
      </c>
      <c r="F903" s="2">
        <v>44914</v>
      </c>
      <c r="G903" s="2" t="str">
        <f>TEXT(LayoffsData[[#This Row],[date]],"yyyy-mm")</f>
        <v>2022-12</v>
      </c>
      <c r="H903" s="1" t="s">
        <v>57</v>
      </c>
      <c r="I903" s="1" t="s">
        <v>17</v>
      </c>
      <c r="J903">
        <v>4</v>
      </c>
    </row>
    <row r="904" spans="1:10" x14ac:dyDescent="0.25">
      <c r="A904" s="1" t="s">
        <v>960</v>
      </c>
      <c r="B904" s="1" t="s">
        <v>14</v>
      </c>
      <c r="C904" s="1" t="s">
        <v>174</v>
      </c>
      <c r="F904" s="2">
        <v>44897</v>
      </c>
      <c r="G904" s="2" t="str">
        <f>TEXT(LayoffsData[[#This Row],[date]],"yyyy-mm")</f>
        <v>2022-12</v>
      </c>
      <c r="H904" s="1" t="s">
        <v>37</v>
      </c>
      <c r="I904" s="1" t="s">
        <v>17</v>
      </c>
      <c r="J904">
        <v>128</v>
      </c>
    </row>
    <row r="905" spans="1:10" x14ac:dyDescent="0.25">
      <c r="A905" s="1" t="s">
        <v>961</v>
      </c>
      <c r="B905" s="1" t="s">
        <v>14</v>
      </c>
      <c r="C905" s="1" t="s">
        <v>174</v>
      </c>
      <c r="E905">
        <v>0.19</v>
      </c>
      <c r="F905" s="2">
        <v>44741</v>
      </c>
      <c r="G905" s="2" t="str">
        <f>TEXT(LayoffsData[[#This Row],[date]],"yyyy-mm")</f>
        <v>2022-06</v>
      </c>
      <c r="H905" s="1" t="s">
        <v>33</v>
      </c>
      <c r="I905" s="1" t="s">
        <v>17</v>
      </c>
      <c r="J905">
        <v>743</v>
      </c>
    </row>
    <row r="906" spans="1:10" x14ac:dyDescent="0.25">
      <c r="A906" s="1" t="s">
        <v>962</v>
      </c>
      <c r="B906" s="1" t="s">
        <v>238</v>
      </c>
      <c r="C906" s="1" t="s">
        <v>174</v>
      </c>
      <c r="D906">
        <v>113</v>
      </c>
      <c r="F906" s="2">
        <v>44882</v>
      </c>
      <c r="G906" s="2" t="str">
        <f>TEXT(LayoffsData[[#This Row],[date]],"yyyy-mm")</f>
        <v>2022-11</v>
      </c>
      <c r="H906" s="1" t="s">
        <v>11</v>
      </c>
      <c r="I906" s="1" t="s">
        <v>17</v>
      </c>
    </row>
    <row r="907" spans="1:10" x14ac:dyDescent="0.25">
      <c r="A907" s="1" t="s">
        <v>963</v>
      </c>
      <c r="B907" s="1" t="s">
        <v>137</v>
      </c>
      <c r="C907" s="1" t="s">
        <v>174</v>
      </c>
      <c r="E907">
        <v>0.2</v>
      </c>
      <c r="F907" s="2">
        <v>44783</v>
      </c>
      <c r="G907" s="2" t="str">
        <f>TEXT(LayoffsData[[#This Row],[date]],"yyyy-mm")</f>
        <v>2022-08</v>
      </c>
      <c r="H907" s="1" t="s">
        <v>24</v>
      </c>
      <c r="I907" s="1" t="s">
        <v>17</v>
      </c>
      <c r="J907">
        <v>160</v>
      </c>
    </row>
    <row r="908" spans="1:10" x14ac:dyDescent="0.25">
      <c r="A908" s="1" t="s">
        <v>963</v>
      </c>
      <c r="B908" s="1" t="s">
        <v>137</v>
      </c>
      <c r="C908" s="1" t="s">
        <v>174</v>
      </c>
      <c r="E908">
        <v>0.25</v>
      </c>
      <c r="F908" s="2">
        <v>44881</v>
      </c>
      <c r="G908" s="2" t="str">
        <f>TEXT(LayoffsData[[#This Row],[date]],"yyyy-mm")</f>
        <v>2022-11</v>
      </c>
      <c r="H908" s="1" t="s">
        <v>37</v>
      </c>
      <c r="I908" s="1" t="s">
        <v>17</v>
      </c>
      <c r="J908">
        <v>501</v>
      </c>
    </row>
    <row r="909" spans="1:10" x14ac:dyDescent="0.25">
      <c r="A909" s="1" t="s">
        <v>964</v>
      </c>
      <c r="B909" s="1" t="s">
        <v>92</v>
      </c>
      <c r="C909" s="1" t="s">
        <v>174</v>
      </c>
      <c r="D909">
        <v>40</v>
      </c>
      <c r="E909">
        <v>0.13</v>
      </c>
      <c r="F909" s="2">
        <v>44838</v>
      </c>
      <c r="G909" s="2" t="str">
        <f>TEXT(LayoffsData[[#This Row],[date]],"yyyy-mm")</f>
        <v>2022-10</v>
      </c>
      <c r="H909" s="1" t="s">
        <v>24</v>
      </c>
      <c r="I909" s="1" t="s">
        <v>17</v>
      </c>
      <c r="J909">
        <v>35</v>
      </c>
    </row>
    <row r="910" spans="1:10" x14ac:dyDescent="0.25">
      <c r="A910" s="1" t="s">
        <v>964</v>
      </c>
      <c r="B910" s="1" t="s">
        <v>92</v>
      </c>
      <c r="C910" s="1" t="s">
        <v>174</v>
      </c>
      <c r="D910">
        <v>119</v>
      </c>
      <c r="E910">
        <v>0.28999999999999998</v>
      </c>
      <c r="F910" s="2">
        <v>44606</v>
      </c>
      <c r="G910" s="2" t="str">
        <f>TEXT(LayoffsData[[#This Row],[date]],"yyyy-mm")</f>
        <v>2022-02</v>
      </c>
      <c r="H910" s="1" t="s">
        <v>24</v>
      </c>
      <c r="I910" s="1" t="s">
        <v>17</v>
      </c>
      <c r="J910">
        <v>35</v>
      </c>
    </row>
    <row r="911" spans="1:10" x14ac:dyDescent="0.25">
      <c r="A911" s="1" t="s">
        <v>965</v>
      </c>
      <c r="B911" s="1" t="s">
        <v>101</v>
      </c>
      <c r="C911" s="1" t="s">
        <v>27</v>
      </c>
      <c r="D911">
        <v>250</v>
      </c>
      <c r="E911">
        <v>1</v>
      </c>
      <c r="F911" s="2">
        <v>43917</v>
      </c>
      <c r="G911" s="2" t="str">
        <f>TEXT(LayoffsData[[#This Row],[date]],"yyyy-mm")</f>
        <v>2020-03</v>
      </c>
      <c r="H911" s="1" t="s">
        <v>37</v>
      </c>
      <c r="I911" s="1" t="s">
        <v>101</v>
      </c>
      <c r="J911">
        <v>95</v>
      </c>
    </row>
    <row r="912" spans="1:10" x14ac:dyDescent="0.25">
      <c r="A912" s="1" t="s">
        <v>966</v>
      </c>
      <c r="B912" s="1" t="s">
        <v>60</v>
      </c>
      <c r="C912" s="1" t="s">
        <v>20</v>
      </c>
      <c r="D912">
        <v>50</v>
      </c>
      <c r="E912">
        <v>0.05</v>
      </c>
      <c r="F912" s="2">
        <v>44866</v>
      </c>
      <c r="G912" s="2" t="str">
        <f>TEXT(LayoffsData[[#This Row],[date]],"yyyy-mm")</f>
        <v>2022-11</v>
      </c>
      <c r="H912" s="1" t="s">
        <v>28</v>
      </c>
      <c r="I912" s="1" t="s">
        <v>12</v>
      </c>
      <c r="J912">
        <v>300</v>
      </c>
    </row>
    <row r="913" spans="1:10" x14ac:dyDescent="0.25">
      <c r="A913" s="1" t="s">
        <v>966</v>
      </c>
      <c r="B913" s="1" t="s">
        <v>60</v>
      </c>
      <c r="C913" s="1" t="s">
        <v>20</v>
      </c>
      <c r="D913">
        <v>70</v>
      </c>
      <c r="E913">
        <v>7.0000000000000007E-2</v>
      </c>
      <c r="F913" s="2">
        <v>44944</v>
      </c>
      <c r="G913" s="2" t="str">
        <f>TEXT(LayoffsData[[#This Row],[date]],"yyyy-mm")</f>
        <v>2023-01</v>
      </c>
      <c r="H913" s="1" t="s">
        <v>28</v>
      </c>
      <c r="I913" s="1" t="s">
        <v>12</v>
      </c>
      <c r="J913">
        <v>300</v>
      </c>
    </row>
    <row r="914" spans="1:10" x14ac:dyDescent="0.25">
      <c r="A914" s="1" t="s">
        <v>966</v>
      </c>
      <c r="B914" s="1" t="s">
        <v>60</v>
      </c>
      <c r="C914" s="1" t="s">
        <v>20</v>
      </c>
      <c r="D914">
        <v>400</v>
      </c>
      <c r="E914">
        <v>0.3</v>
      </c>
      <c r="F914" s="2">
        <v>44782</v>
      </c>
      <c r="G914" s="2" t="str">
        <f>TEXT(LayoffsData[[#This Row],[date]],"yyyy-mm")</f>
        <v>2022-08</v>
      </c>
      <c r="H914" s="1" t="s">
        <v>28</v>
      </c>
      <c r="I914" s="1" t="s">
        <v>12</v>
      </c>
      <c r="J914">
        <v>300</v>
      </c>
    </row>
    <row r="915" spans="1:10" x14ac:dyDescent="0.25">
      <c r="A915" s="1" t="s">
        <v>967</v>
      </c>
      <c r="B915" s="1" t="s">
        <v>200</v>
      </c>
      <c r="C915" s="1" t="s">
        <v>149</v>
      </c>
      <c r="E915">
        <v>0.17</v>
      </c>
      <c r="F915" s="2">
        <v>44881</v>
      </c>
      <c r="G915" s="2" t="str">
        <f>TEXT(LayoffsData[[#This Row],[date]],"yyyy-mm")</f>
        <v>2022-11</v>
      </c>
      <c r="H915" s="1" t="s">
        <v>33</v>
      </c>
      <c r="I915" s="1" t="s">
        <v>201</v>
      </c>
      <c r="J915">
        <v>1000</v>
      </c>
    </row>
    <row r="916" spans="1:10" x14ac:dyDescent="0.25">
      <c r="A916" s="1" t="s">
        <v>967</v>
      </c>
      <c r="B916" s="1" t="s">
        <v>200</v>
      </c>
      <c r="C916" s="1" t="s">
        <v>149</v>
      </c>
      <c r="D916">
        <v>138</v>
      </c>
      <c r="E916">
        <v>0.12</v>
      </c>
      <c r="F916" s="2">
        <v>44602</v>
      </c>
      <c r="G916" s="2" t="str">
        <f>TEXT(LayoffsData[[#This Row],[date]],"yyyy-mm")</f>
        <v>2022-02</v>
      </c>
      <c r="H916" s="1" t="s">
        <v>33</v>
      </c>
      <c r="I916" s="1" t="s">
        <v>17</v>
      </c>
      <c r="J916">
        <v>1000</v>
      </c>
    </row>
    <row r="917" spans="1:10" x14ac:dyDescent="0.25">
      <c r="A917" s="1" t="s">
        <v>967</v>
      </c>
      <c r="B917" s="1" t="s">
        <v>200</v>
      </c>
      <c r="C917" s="1" t="s">
        <v>149</v>
      </c>
      <c r="D917">
        <v>242</v>
      </c>
      <c r="E917">
        <v>0.28999999999999998</v>
      </c>
      <c r="F917" s="2">
        <v>44753</v>
      </c>
      <c r="G917" s="2" t="str">
        <f>TEXT(LayoffsData[[#This Row],[date]],"yyyy-mm")</f>
        <v>2022-07</v>
      </c>
      <c r="H917" s="1" t="s">
        <v>33</v>
      </c>
      <c r="I917" s="1" t="s">
        <v>201</v>
      </c>
      <c r="J917">
        <v>1000</v>
      </c>
    </row>
    <row r="918" spans="1:10" x14ac:dyDescent="0.25">
      <c r="A918" s="1" t="s">
        <v>968</v>
      </c>
      <c r="B918" s="1" t="s">
        <v>73</v>
      </c>
      <c r="C918" s="1" t="s">
        <v>84</v>
      </c>
      <c r="F918" s="2">
        <v>43927</v>
      </c>
      <c r="G918" s="2" t="str">
        <f>TEXT(LayoffsData[[#This Row],[date]],"yyyy-mm")</f>
        <v>2020-04</v>
      </c>
      <c r="H918" s="1" t="s">
        <v>33</v>
      </c>
      <c r="I918" s="1" t="s">
        <v>17</v>
      </c>
      <c r="J918">
        <v>183</v>
      </c>
    </row>
    <row r="919" spans="1:10" x14ac:dyDescent="0.25">
      <c r="A919" s="1" t="s">
        <v>969</v>
      </c>
      <c r="B919" s="1" t="s">
        <v>26</v>
      </c>
      <c r="C919" s="1" t="s">
        <v>10</v>
      </c>
      <c r="F919" s="2">
        <v>44055</v>
      </c>
      <c r="G919" s="2" t="str">
        <f>TEXT(LayoffsData[[#This Row],[date]],"yyyy-mm")</f>
        <v>2020-08</v>
      </c>
      <c r="H919" s="1" t="s">
        <v>37</v>
      </c>
      <c r="I919" s="1" t="s">
        <v>17</v>
      </c>
      <c r="J919">
        <v>45</v>
      </c>
    </row>
    <row r="920" spans="1:10" x14ac:dyDescent="0.25">
      <c r="A920" s="1" t="s">
        <v>969</v>
      </c>
      <c r="B920" s="1" t="s">
        <v>26</v>
      </c>
      <c r="C920" s="1" t="s">
        <v>10</v>
      </c>
      <c r="D920">
        <v>8</v>
      </c>
      <c r="E920">
        <v>0.1</v>
      </c>
      <c r="F920" s="2">
        <v>43903</v>
      </c>
      <c r="G920" s="2" t="str">
        <f>TEXT(LayoffsData[[#This Row],[date]],"yyyy-mm")</f>
        <v>2020-03</v>
      </c>
      <c r="H920" s="1" t="s">
        <v>37</v>
      </c>
      <c r="I920" s="1" t="s">
        <v>17</v>
      </c>
      <c r="J920">
        <v>45</v>
      </c>
    </row>
    <row r="921" spans="1:10" x14ac:dyDescent="0.25">
      <c r="A921" s="1" t="s">
        <v>970</v>
      </c>
      <c r="B921" s="1" t="s">
        <v>79</v>
      </c>
      <c r="C921" s="1" t="s">
        <v>84</v>
      </c>
      <c r="D921">
        <v>15</v>
      </c>
      <c r="E921">
        <v>0.25</v>
      </c>
      <c r="F921" s="2">
        <v>43945</v>
      </c>
      <c r="G921" s="2" t="str">
        <f>TEXT(LayoffsData[[#This Row],[date]],"yyyy-mm")</f>
        <v>2020-04</v>
      </c>
      <c r="H921" s="1" t="s">
        <v>24</v>
      </c>
      <c r="I921" s="1" t="s">
        <v>80</v>
      </c>
      <c r="J921">
        <v>30</v>
      </c>
    </row>
    <row r="922" spans="1:10" x14ac:dyDescent="0.25">
      <c r="A922" s="1" t="s">
        <v>971</v>
      </c>
      <c r="B922" s="1" t="s">
        <v>972</v>
      </c>
      <c r="C922" s="1" t="s">
        <v>20</v>
      </c>
      <c r="D922">
        <v>227</v>
      </c>
      <c r="E922">
        <v>0.12</v>
      </c>
      <c r="F922" s="2">
        <v>44854</v>
      </c>
      <c r="G922" s="2" t="str">
        <f>TEXT(LayoffsData[[#This Row],[date]],"yyyy-mm")</f>
        <v>2022-10</v>
      </c>
      <c r="H922" s="1" t="s">
        <v>28</v>
      </c>
      <c r="I922" s="1" t="s">
        <v>38</v>
      </c>
      <c r="J922">
        <v>127</v>
      </c>
    </row>
    <row r="923" spans="1:10" x14ac:dyDescent="0.25">
      <c r="A923" s="1" t="s">
        <v>973</v>
      </c>
      <c r="B923" s="1" t="s">
        <v>14</v>
      </c>
      <c r="C923" s="1" t="s">
        <v>27</v>
      </c>
      <c r="D923">
        <v>95</v>
      </c>
      <c r="E923">
        <v>0.08</v>
      </c>
      <c r="F923" s="2">
        <v>44902</v>
      </c>
      <c r="G923" s="2" t="str">
        <f>TEXT(LayoffsData[[#This Row],[date]],"yyyy-mm")</f>
        <v>2022-12</v>
      </c>
      <c r="H923" s="1" t="s">
        <v>16</v>
      </c>
      <c r="I923" s="1" t="s">
        <v>17</v>
      </c>
      <c r="J923">
        <v>613</v>
      </c>
    </row>
    <row r="924" spans="1:10" x14ac:dyDescent="0.25">
      <c r="A924" s="1" t="s">
        <v>973</v>
      </c>
      <c r="B924" s="1" t="s">
        <v>14</v>
      </c>
      <c r="C924" s="1" t="s">
        <v>27</v>
      </c>
      <c r="D924">
        <v>155</v>
      </c>
      <c r="E924">
        <v>0.1</v>
      </c>
      <c r="F924" s="2">
        <v>43942</v>
      </c>
      <c r="G924" s="2" t="str">
        <f>TEXT(LayoffsData[[#This Row],[date]],"yyyy-mm")</f>
        <v>2020-04</v>
      </c>
      <c r="H924" s="1" t="s">
        <v>16</v>
      </c>
      <c r="I924" s="1" t="s">
        <v>17</v>
      </c>
      <c r="J924">
        <v>613</v>
      </c>
    </row>
    <row r="925" spans="1:10" x14ac:dyDescent="0.25">
      <c r="A925" s="1" t="s">
        <v>974</v>
      </c>
      <c r="B925" s="1" t="s">
        <v>123</v>
      </c>
      <c r="C925" s="1" t="s">
        <v>172</v>
      </c>
      <c r="F925" s="2">
        <v>44955</v>
      </c>
      <c r="G925" s="2" t="str">
        <f>TEXT(LayoffsData[[#This Row],[date]],"yyyy-mm")</f>
        <v>2023-01</v>
      </c>
      <c r="H925" s="1" t="s">
        <v>24</v>
      </c>
      <c r="I925" s="1" t="s">
        <v>125</v>
      </c>
      <c r="J925">
        <v>43</v>
      </c>
    </row>
    <row r="926" spans="1:10" x14ac:dyDescent="0.25">
      <c r="A926" s="1" t="s">
        <v>975</v>
      </c>
      <c r="B926" s="1" t="s">
        <v>168</v>
      </c>
      <c r="C926" s="1" t="s">
        <v>325</v>
      </c>
      <c r="D926">
        <v>100</v>
      </c>
      <c r="F926" s="2">
        <v>44976</v>
      </c>
      <c r="G926" s="2" t="str">
        <f>TEXT(LayoffsData[[#This Row],[date]],"yyyy-mm")</f>
        <v>2023-02</v>
      </c>
      <c r="H926" s="1" t="s">
        <v>11</v>
      </c>
      <c r="I926" s="1" t="s">
        <v>170</v>
      </c>
      <c r="J926">
        <v>4200</v>
      </c>
    </row>
    <row r="927" spans="1:10" x14ac:dyDescent="0.25">
      <c r="A927" s="1" t="s">
        <v>976</v>
      </c>
      <c r="B927" s="1" t="s">
        <v>324</v>
      </c>
      <c r="C927" s="1" t="s">
        <v>325</v>
      </c>
      <c r="F927" s="2">
        <v>44850</v>
      </c>
      <c r="G927" s="2" t="str">
        <f>TEXT(LayoffsData[[#This Row],[date]],"yyyy-mm")</f>
        <v>2022-10</v>
      </c>
      <c r="H927" s="1" t="s">
        <v>37</v>
      </c>
      <c r="I927" s="1" t="s">
        <v>296</v>
      </c>
    </row>
    <row r="928" spans="1:10" x14ac:dyDescent="0.25">
      <c r="A928" s="1" t="s">
        <v>977</v>
      </c>
      <c r="B928" s="1" t="s">
        <v>9</v>
      </c>
      <c r="C928" s="1" t="s">
        <v>29</v>
      </c>
      <c r="D928">
        <v>45</v>
      </c>
      <c r="E928">
        <v>1</v>
      </c>
      <c r="F928" s="2">
        <v>44228</v>
      </c>
      <c r="G928" s="2" t="str">
        <f>TEXT(LayoffsData[[#This Row],[date]],"yyyy-mm")</f>
        <v>2021-02</v>
      </c>
      <c r="H928" s="1" t="s">
        <v>24</v>
      </c>
      <c r="I928" s="1" t="s">
        <v>12</v>
      </c>
      <c r="J928">
        <v>61</v>
      </c>
    </row>
    <row r="929" spans="1:10" x14ac:dyDescent="0.25">
      <c r="A929" s="1" t="s">
        <v>978</v>
      </c>
      <c r="B929" s="1" t="s">
        <v>14</v>
      </c>
      <c r="C929" s="1" t="s">
        <v>174</v>
      </c>
      <c r="E929">
        <v>1</v>
      </c>
      <c r="F929" s="2">
        <v>44085</v>
      </c>
      <c r="G929" s="2" t="str">
        <f>TEXT(LayoffsData[[#This Row],[date]],"yyyy-mm")</f>
        <v>2020-09</v>
      </c>
      <c r="H929" s="1" t="s">
        <v>21</v>
      </c>
      <c r="I929" s="1" t="s">
        <v>17</v>
      </c>
      <c r="J929">
        <v>13</v>
      </c>
    </row>
    <row r="930" spans="1:10" x14ac:dyDescent="0.25">
      <c r="A930" s="1" t="s">
        <v>979</v>
      </c>
      <c r="B930" s="1" t="s">
        <v>14</v>
      </c>
      <c r="C930" s="1" t="s">
        <v>20</v>
      </c>
      <c r="D930">
        <v>45</v>
      </c>
      <c r="E930">
        <v>0.12</v>
      </c>
      <c r="F930" s="2">
        <v>44754</v>
      </c>
      <c r="G930" s="2" t="str">
        <f>TEXT(LayoffsData[[#This Row],[date]],"yyyy-mm")</f>
        <v>2022-07</v>
      </c>
      <c r="H930" s="1" t="s">
        <v>24</v>
      </c>
      <c r="I930" s="1" t="s">
        <v>17</v>
      </c>
      <c r="J930">
        <v>153</v>
      </c>
    </row>
    <row r="931" spans="1:10" x14ac:dyDescent="0.25">
      <c r="A931" s="1" t="s">
        <v>979</v>
      </c>
      <c r="B931" s="1" t="s">
        <v>14</v>
      </c>
      <c r="C931" s="1" t="s">
        <v>149</v>
      </c>
      <c r="D931">
        <v>115</v>
      </c>
      <c r="E931">
        <v>0.35</v>
      </c>
      <c r="F931" s="2">
        <v>44945</v>
      </c>
      <c r="G931" s="2" t="str">
        <f>TEXT(LayoffsData[[#This Row],[date]],"yyyy-mm")</f>
        <v>2023-01</v>
      </c>
      <c r="H931" s="1" t="s">
        <v>24</v>
      </c>
      <c r="I931" s="1" t="s">
        <v>17</v>
      </c>
      <c r="J931">
        <v>153</v>
      </c>
    </row>
    <row r="932" spans="1:10" x14ac:dyDescent="0.25">
      <c r="A932" s="1" t="s">
        <v>980</v>
      </c>
      <c r="B932" s="1" t="s">
        <v>73</v>
      </c>
      <c r="C932" s="1" t="s">
        <v>20</v>
      </c>
      <c r="D932">
        <v>500</v>
      </c>
      <c r="E932">
        <v>7.0000000000000007E-2</v>
      </c>
      <c r="F932" s="2">
        <v>44957</v>
      </c>
      <c r="G932" s="2" t="str">
        <f>TEXT(LayoffsData[[#This Row],[date]],"yyyy-mm")</f>
        <v>2023-01</v>
      </c>
      <c r="H932" s="1" t="s">
        <v>11</v>
      </c>
      <c r="I932" s="1" t="s">
        <v>17</v>
      </c>
      <c r="J932">
        <v>100</v>
      </c>
    </row>
    <row r="933" spans="1:10" x14ac:dyDescent="0.25">
      <c r="A933" s="1" t="s">
        <v>981</v>
      </c>
      <c r="B933" s="1" t="s">
        <v>32</v>
      </c>
      <c r="C933" s="1" t="s">
        <v>63</v>
      </c>
      <c r="D933">
        <v>47</v>
      </c>
      <c r="F933" s="2">
        <v>44264</v>
      </c>
      <c r="G933" s="2" t="str">
        <f>TEXT(LayoffsData[[#This Row],[date]],"yyyy-mm")</f>
        <v>2021-03</v>
      </c>
      <c r="H933" s="1" t="s">
        <v>57</v>
      </c>
      <c r="I933" s="1" t="s">
        <v>17</v>
      </c>
      <c r="J933">
        <v>37</v>
      </c>
    </row>
    <row r="934" spans="1:10" x14ac:dyDescent="0.25">
      <c r="A934" s="1" t="s">
        <v>982</v>
      </c>
      <c r="B934" s="1" t="s">
        <v>200</v>
      </c>
      <c r="C934" s="1" t="s">
        <v>10</v>
      </c>
      <c r="F934" s="2">
        <v>44099</v>
      </c>
      <c r="G934" s="2" t="str">
        <f>TEXT(LayoffsData[[#This Row],[date]],"yyyy-mm")</f>
        <v>2020-09</v>
      </c>
      <c r="H934" s="1" t="s">
        <v>105</v>
      </c>
      <c r="I934" s="1" t="s">
        <v>201</v>
      </c>
      <c r="J934">
        <v>2</v>
      </c>
    </row>
    <row r="935" spans="1:10" x14ac:dyDescent="0.25">
      <c r="A935" s="1" t="s">
        <v>983</v>
      </c>
      <c r="B935" s="1" t="s">
        <v>14</v>
      </c>
      <c r="C935" s="1" t="s">
        <v>63</v>
      </c>
      <c r="D935">
        <v>10</v>
      </c>
      <c r="F935" s="2">
        <v>44666</v>
      </c>
      <c r="G935" s="2" t="str">
        <f>TEXT(LayoffsData[[#This Row],[date]],"yyyy-mm")</f>
        <v>2022-04</v>
      </c>
      <c r="H935" s="1" t="s">
        <v>57</v>
      </c>
      <c r="I935" s="1" t="s">
        <v>17</v>
      </c>
      <c r="J935">
        <v>4</v>
      </c>
    </row>
    <row r="936" spans="1:10" x14ac:dyDescent="0.25">
      <c r="A936" s="1" t="s">
        <v>984</v>
      </c>
      <c r="B936" s="1" t="s">
        <v>14</v>
      </c>
      <c r="C936" s="1" t="s">
        <v>147</v>
      </c>
      <c r="D936">
        <v>26</v>
      </c>
      <c r="F936" s="2">
        <v>43923</v>
      </c>
      <c r="G936" s="2" t="str">
        <f>TEXT(LayoffsData[[#This Row],[date]],"yyyy-mm")</f>
        <v>2020-04</v>
      </c>
      <c r="H936" s="1" t="s">
        <v>24</v>
      </c>
      <c r="I936" s="1" t="s">
        <v>17</v>
      </c>
      <c r="J936">
        <v>40</v>
      </c>
    </row>
    <row r="937" spans="1:10" x14ac:dyDescent="0.25">
      <c r="A937" s="1" t="s">
        <v>985</v>
      </c>
      <c r="B937" s="1" t="s">
        <v>88</v>
      </c>
      <c r="C937" s="1" t="s">
        <v>147</v>
      </c>
      <c r="D937">
        <v>30</v>
      </c>
      <c r="F937" s="2">
        <v>44726</v>
      </c>
      <c r="G937" s="2" t="str">
        <f>TEXT(LayoffsData[[#This Row],[date]],"yyyy-mm")</f>
        <v>2022-06</v>
      </c>
      <c r="H937" s="1" t="s">
        <v>131</v>
      </c>
      <c r="I937" s="1" t="s">
        <v>89</v>
      </c>
      <c r="J937">
        <v>6</v>
      </c>
    </row>
    <row r="938" spans="1:10" x14ac:dyDescent="0.25">
      <c r="A938" s="1" t="s">
        <v>986</v>
      </c>
      <c r="B938" s="1" t="s">
        <v>987</v>
      </c>
      <c r="C938" s="1" t="s">
        <v>36</v>
      </c>
      <c r="D938">
        <v>275</v>
      </c>
      <c r="E938">
        <v>0.2</v>
      </c>
      <c r="F938" s="2">
        <v>44932</v>
      </c>
      <c r="G938" s="2" t="str">
        <f>TEXT(LayoffsData[[#This Row],[date]],"yyyy-mm")</f>
        <v>2023-01</v>
      </c>
      <c r="H938" s="1" t="s">
        <v>37</v>
      </c>
      <c r="I938" s="1" t="s">
        <v>296</v>
      </c>
      <c r="J938">
        <v>2</v>
      </c>
    </row>
    <row r="939" spans="1:10" x14ac:dyDescent="0.25">
      <c r="A939" s="1" t="s">
        <v>986</v>
      </c>
      <c r="B939" s="1" t="s">
        <v>987</v>
      </c>
      <c r="C939" s="1" t="s">
        <v>36</v>
      </c>
      <c r="D939">
        <v>300</v>
      </c>
      <c r="E939">
        <v>0.3</v>
      </c>
      <c r="F939" s="2">
        <v>44740</v>
      </c>
      <c r="G939" s="2" t="str">
        <f>TEXT(LayoffsData[[#This Row],[date]],"yyyy-mm")</f>
        <v>2022-06</v>
      </c>
      <c r="H939" s="1" t="s">
        <v>37</v>
      </c>
      <c r="I939" s="1" t="s">
        <v>296</v>
      </c>
      <c r="J939">
        <v>2</v>
      </c>
    </row>
    <row r="940" spans="1:10" x14ac:dyDescent="0.25">
      <c r="A940" s="1" t="s">
        <v>988</v>
      </c>
      <c r="B940" s="1" t="s">
        <v>73</v>
      </c>
      <c r="C940" s="1" t="s">
        <v>506</v>
      </c>
      <c r="E940">
        <v>0.35</v>
      </c>
      <c r="F940" s="2">
        <v>44760</v>
      </c>
      <c r="G940" s="2" t="str">
        <f>TEXT(LayoffsData[[#This Row],[date]],"yyyy-mm")</f>
        <v>2022-07</v>
      </c>
      <c r="H940" s="1" t="s">
        <v>33</v>
      </c>
      <c r="I940" s="1" t="s">
        <v>17</v>
      </c>
      <c r="J940">
        <v>269</v>
      </c>
    </row>
    <row r="941" spans="1:10" x14ac:dyDescent="0.25">
      <c r="A941" s="1" t="s">
        <v>988</v>
      </c>
      <c r="B941" s="1" t="s">
        <v>73</v>
      </c>
      <c r="C941" s="1" t="s">
        <v>506</v>
      </c>
      <c r="D941">
        <v>30</v>
      </c>
      <c r="F941" s="2">
        <v>44945</v>
      </c>
      <c r="G941" s="2" t="str">
        <f>TEXT(LayoffsData[[#This Row],[date]],"yyyy-mm")</f>
        <v>2023-01</v>
      </c>
      <c r="H941" s="1" t="s">
        <v>33</v>
      </c>
      <c r="I941" s="1" t="s">
        <v>17</v>
      </c>
      <c r="J941">
        <v>269</v>
      </c>
    </row>
    <row r="942" spans="1:10" x14ac:dyDescent="0.25">
      <c r="A942" s="1" t="s">
        <v>989</v>
      </c>
      <c r="B942" s="1" t="s">
        <v>32</v>
      </c>
      <c r="C942" s="1" t="s">
        <v>74</v>
      </c>
      <c r="D942">
        <v>100</v>
      </c>
      <c r="E942">
        <v>0.25</v>
      </c>
      <c r="F942" s="2">
        <v>44623</v>
      </c>
      <c r="G942" s="2" t="str">
        <f>TEXT(LayoffsData[[#This Row],[date]],"yyyy-mm")</f>
        <v>2022-03</v>
      </c>
      <c r="H942" s="1" t="s">
        <v>16</v>
      </c>
      <c r="I942" s="1" t="s">
        <v>17</v>
      </c>
      <c r="J942">
        <v>289</v>
      </c>
    </row>
    <row r="943" spans="1:10" x14ac:dyDescent="0.25">
      <c r="A943" s="1" t="s">
        <v>990</v>
      </c>
      <c r="B943" s="1" t="s">
        <v>196</v>
      </c>
      <c r="C943" s="1" t="s">
        <v>325</v>
      </c>
      <c r="F943" s="2">
        <v>44945</v>
      </c>
      <c r="G943" s="2" t="str">
        <f>TEXT(LayoffsData[[#This Row],[date]],"yyyy-mm")</f>
        <v>2023-01</v>
      </c>
      <c r="H943" s="1" t="s">
        <v>37</v>
      </c>
      <c r="I943" s="1" t="s">
        <v>17</v>
      </c>
      <c r="J943">
        <v>21</v>
      </c>
    </row>
    <row r="944" spans="1:10" x14ac:dyDescent="0.25">
      <c r="A944" s="1" t="s">
        <v>991</v>
      </c>
      <c r="B944" s="1" t="s">
        <v>32</v>
      </c>
      <c r="C944" s="1" t="s">
        <v>325</v>
      </c>
      <c r="D944">
        <v>3900</v>
      </c>
      <c r="E944">
        <v>0.02</v>
      </c>
      <c r="F944" s="2">
        <v>44951</v>
      </c>
      <c r="G944" s="2" t="str">
        <f>TEXT(LayoffsData[[#This Row],[date]],"yyyy-mm")</f>
        <v>2023-01</v>
      </c>
      <c r="H944" s="1" t="s">
        <v>11</v>
      </c>
      <c r="I944" s="1" t="s">
        <v>17</v>
      </c>
    </row>
    <row r="945" spans="1:10" x14ac:dyDescent="0.25">
      <c r="A945" s="1" t="s">
        <v>992</v>
      </c>
      <c r="B945" s="1" t="s">
        <v>128</v>
      </c>
      <c r="C945" s="1" t="s">
        <v>29</v>
      </c>
      <c r="D945">
        <v>87</v>
      </c>
      <c r="E945">
        <v>0.15</v>
      </c>
      <c r="F945" s="2">
        <v>43928</v>
      </c>
      <c r="G945" s="2" t="str">
        <f>TEXT(LayoffsData[[#This Row],[date]],"yyyy-mm")</f>
        <v>2020-04</v>
      </c>
      <c r="H945" s="1" t="s">
        <v>33</v>
      </c>
      <c r="I945" s="1" t="s">
        <v>17</v>
      </c>
      <c r="J945">
        <v>85</v>
      </c>
    </row>
    <row r="946" spans="1:10" x14ac:dyDescent="0.25">
      <c r="A946" s="1" t="s">
        <v>993</v>
      </c>
      <c r="B946" s="1" t="s">
        <v>55</v>
      </c>
      <c r="C946" s="1" t="s">
        <v>598</v>
      </c>
      <c r="F946" s="2">
        <v>44945</v>
      </c>
      <c r="G946" s="2" t="str">
        <f>TEXT(LayoffsData[[#This Row],[date]],"yyyy-mm")</f>
        <v>2023-01</v>
      </c>
      <c r="H946" s="1" t="s">
        <v>37</v>
      </c>
      <c r="I946" s="1" t="s">
        <v>17</v>
      </c>
      <c r="J946">
        <v>521</v>
      </c>
    </row>
    <row r="947" spans="1:10" x14ac:dyDescent="0.25">
      <c r="A947" s="1" t="s">
        <v>994</v>
      </c>
      <c r="B947" s="1" t="s">
        <v>137</v>
      </c>
      <c r="C947" s="1" t="s">
        <v>376</v>
      </c>
      <c r="F947" s="2">
        <v>44950</v>
      </c>
      <c r="G947" s="2" t="str">
        <f>TEXT(LayoffsData[[#This Row],[date]],"yyyy-mm")</f>
        <v>2023-01</v>
      </c>
      <c r="H947" s="1" t="s">
        <v>24</v>
      </c>
      <c r="I947" s="1" t="s">
        <v>17</v>
      </c>
      <c r="J947">
        <v>451</v>
      </c>
    </row>
    <row r="948" spans="1:10" x14ac:dyDescent="0.25">
      <c r="A948" s="1" t="s">
        <v>995</v>
      </c>
      <c r="B948" s="1" t="s">
        <v>40</v>
      </c>
      <c r="C948" s="1" t="s">
        <v>172</v>
      </c>
      <c r="D948">
        <v>130</v>
      </c>
      <c r="F948" s="2">
        <v>44719</v>
      </c>
      <c r="G948" s="2" t="str">
        <f>TEXT(LayoffsData[[#This Row],[date]],"yyyy-mm")</f>
        <v>2022-06</v>
      </c>
      <c r="H948" s="1" t="s">
        <v>37</v>
      </c>
      <c r="I948" s="1" t="s">
        <v>17</v>
      </c>
      <c r="J948">
        <v>275</v>
      </c>
    </row>
    <row r="949" spans="1:10" x14ac:dyDescent="0.25">
      <c r="A949" s="1" t="s">
        <v>996</v>
      </c>
      <c r="B949" s="1" t="s">
        <v>55</v>
      </c>
      <c r="C949" s="1" t="s">
        <v>29</v>
      </c>
      <c r="D949">
        <v>40</v>
      </c>
      <c r="F949" s="2">
        <v>44685</v>
      </c>
      <c r="G949" s="2" t="str">
        <f>TEXT(LayoffsData[[#This Row],[date]],"yyyy-mm")</f>
        <v>2022-05</v>
      </c>
      <c r="H949" s="1" t="s">
        <v>21</v>
      </c>
      <c r="I949" s="1" t="s">
        <v>17</v>
      </c>
      <c r="J949">
        <v>7</v>
      </c>
    </row>
    <row r="950" spans="1:10" x14ac:dyDescent="0.25">
      <c r="A950" s="1" t="s">
        <v>997</v>
      </c>
      <c r="B950" s="1" t="s">
        <v>998</v>
      </c>
      <c r="C950" s="1" t="s">
        <v>506</v>
      </c>
      <c r="F950" s="2">
        <v>44538</v>
      </c>
      <c r="G950" s="2" t="str">
        <f>TEXT(LayoffsData[[#This Row],[date]],"yyyy-mm")</f>
        <v>2021-12</v>
      </c>
      <c r="H950" s="1" t="s">
        <v>105</v>
      </c>
      <c r="I950" s="1" t="s">
        <v>17</v>
      </c>
      <c r="J950">
        <v>200</v>
      </c>
    </row>
    <row r="951" spans="1:10" x14ac:dyDescent="0.25">
      <c r="A951" s="1" t="s">
        <v>997</v>
      </c>
      <c r="B951" s="1" t="s">
        <v>998</v>
      </c>
      <c r="C951" s="1" t="s">
        <v>506</v>
      </c>
      <c r="F951" s="2">
        <v>44617</v>
      </c>
      <c r="G951" s="2" t="str">
        <f>TEXT(LayoffsData[[#This Row],[date]],"yyyy-mm")</f>
        <v>2022-02</v>
      </c>
      <c r="H951" s="1" t="s">
        <v>105</v>
      </c>
      <c r="I951" s="1" t="s">
        <v>17</v>
      </c>
      <c r="J951">
        <v>200</v>
      </c>
    </row>
    <row r="952" spans="1:10" x14ac:dyDescent="0.25">
      <c r="A952" s="1" t="s">
        <v>997</v>
      </c>
      <c r="B952" s="1" t="s">
        <v>998</v>
      </c>
      <c r="C952" s="1" t="s">
        <v>506</v>
      </c>
      <c r="D952">
        <v>300</v>
      </c>
      <c r="E952">
        <v>0.2</v>
      </c>
      <c r="F952" s="2">
        <v>44879</v>
      </c>
      <c r="G952" s="2" t="str">
        <f>TEXT(LayoffsData[[#This Row],[date]],"yyyy-mm")</f>
        <v>2022-11</v>
      </c>
      <c r="H952" s="1" t="s">
        <v>105</v>
      </c>
      <c r="I952" s="1" t="s">
        <v>17</v>
      </c>
      <c r="J952">
        <v>200</v>
      </c>
    </row>
    <row r="953" spans="1:10" x14ac:dyDescent="0.25">
      <c r="A953" s="1" t="s">
        <v>999</v>
      </c>
      <c r="B953" s="1" t="s">
        <v>452</v>
      </c>
      <c r="C953" s="1" t="s">
        <v>27</v>
      </c>
      <c r="D953">
        <v>50</v>
      </c>
      <c r="E953">
        <v>0.12</v>
      </c>
      <c r="F953" s="2">
        <v>43925</v>
      </c>
      <c r="G953" s="2" t="str">
        <f>TEXT(LayoffsData[[#This Row],[date]],"yyyy-mm")</f>
        <v>2020-04</v>
      </c>
      <c r="H953" s="1" t="s">
        <v>37</v>
      </c>
      <c r="I953" s="1" t="s">
        <v>453</v>
      </c>
      <c r="J953">
        <v>348</v>
      </c>
    </row>
    <row r="954" spans="1:10" x14ac:dyDescent="0.25">
      <c r="A954" s="1" t="s">
        <v>1000</v>
      </c>
      <c r="B954" s="1" t="s">
        <v>35</v>
      </c>
      <c r="C954" s="1" t="s">
        <v>51</v>
      </c>
      <c r="D954">
        <v>355</v>
      </c>
      <c r="E954">
        <v>0.06</v>
      </c>
      <c r="F954" s="2">
        <v>44986</v>
      </c>
      <c r="G954" s="2" t="str">
        <f>TEXT(LayoffsData[[#This Row],[date]],"yyyy-mm")</f>
        <v>2023-03</v>
      </c>
      <c r="H954" s="1" t="s">
        <v>1001</v>
      </c>
      <c r="I954" s="1" t="s">
        <v>38</v>
      </c>
      <c r="J954">
        <v>2100</v>
      </c>
    </row>
    <row r="955" spans="1:10" x14ac:dyDescent="0.25">
      <c r="A955" s="1" t="s">
        <v>1002</v>
      </c>
      <c r="B955" s="1" t="s">
        <v>55</v>
      </c>
      <c r="C955" s="1" t="s">
        <v>74</v>
      </c>
      <c r="F955" s="2">
        <v>44152</v>
      </c>
      <c r="G955" s="2" t="str">
        <f>TEXT(LayoffsData[[#This Row],[date]],"yyyy-mm")</f>
        <v>2020-11</v>
      </c>
      <c r="H955" s="1" t="s">
        <v>28</v>
      </c>
      <c r="I955" s="1" t="s">
        <v>17</v>
      </c>
      <c r="J955">
        <v>67</v>
      </c>
    </row>
    <row r="956" spans="1:10" x14ac:dyDescent="0.25">
      <c r="A956" s="1" t="s">
        <v>1003</v>
      </c>
      <c r="B956" s="1" t="s">
        <v>14</v>
      </c>
      <c r="C956" s="1" t="s">
        <v>36</v>
      </c>
      <c r="E956">
        <v>0.5</v>
      </c>
      <c r="F956" s="2">
        <v>44753</v>
      </c>
      <c r="G956" s="2" t="str">
        <f>TEXT(LayoffsData[[#This Row],[date]],"yyyy-mm")</f>
        <v>2022-07</v>
      </c>
      <c r="H956" s="1" t="s">
        <v>21</v>
      </c>
      <c r="I956" s="1" t="s">
        <v>17</v>
      </c>
      <c r="J956">
        <v>9</v>
      </c>
    </row>
    <row r="957" spans="1:10" x14ac:dyDescent="0.25">
      <c r="A957" s="1" t="s">
        <v>1004</v>
      </c>
      <c r="B957" s="1" t="s">
        <v>44</v>
      </c>
      <c r="C957" s="1" t="s">
        <v>68</v>
      </c>
      <c r="E957">
        <v>0.1</v>
      </c>
      <c r="F957" s="2">
        <v>44942</v>
      </c>
      <c r="G957" s="2" t="str">
        <f>TEXT(LayoffsData[[#This Row],[date]],"yyyy-mm")</f>
        <v>2023-01</v>
      </c>
      <c r="H957" s="1" t="s">
        <v>28</v>
      </c>
      <c r="I957" s="1" t="s">
        <v>46</v>
      </c>
      <c r="J957">
        <v>74</v>
      </c>
    </row>
    <row r="958" spans="1:10" x14ac:dyDescent="0.25">
      <c r="A958" s="1" t="s">
        <v>1005</v>
      </c>
      <c r="B958" s="1" t="s">
        <v>14</v>
      </c>
      <c r="C958" s="1" t="s">
        <v>10</v>
      </c>
      <c r="D958">
        <v>10</v>
      </c>
      <c r="E958">
        <v>0.14000000000000001</v>
      </c>
      <c r="F958" s="2">
        <v>43943</v>
      </c>
      <c r="G958" s="2" t="str">
        <f>TEXT(LayoffsData[[#This Row],[date]],"yyyy-mm")</f>
        <v>2020-04</v>
      </c>
      <c r="H958" s="1" t="s">
        <v>21</v>
      </c>
      <c r="I958" s="1" t="s">
        <v>17</v>
      </c>
      <c r="J958">
        <v>52</v>
      </c>
    </row>
    <row r="959" spans="1:10" x14ac:dyDescent="0.25">
      <c r="A959" s="1" t="s">
        <v>1006</v>
      </c>
      <c r="B959" s="1" t="s">
        <v>406</v>
      </c>
      <c r="C959" s="1" t="s">
        <v>15</v>
      </c>
      <c r="D959">
        <v>500</v>
      </c>
      <c r="E959">
        <v>0.05</v>
      </c>
      <c r="F959" s="2">
        <v>44879</v>
      </c>
      <c r="G959" s="2" t="str">
        <f>TEXT(LayoffsData[[#This Row],[date]],"yyyy-mm")</f>
        <v>2022-11</v>
      </c>
      <c r="H959" s="1" t="s">
        <v>11</v>
      </c>
      <c r="I959" s="1" t="s">
        <v>17</v>
      </c>
      <c r="J959">
        <v>28</v>
      </c>
    </row>
    <row r="960" spans="1:10" x14ac:dyDescent="0.25">
      <c r="A960" s="1" t="s">
        <v>1007</v>
      </c>
      <c r="B960" s="1" t="s">
        <v>909</v>
      </c>
      <c r="C960" s="1" t="s">
        <v>172</v>
      </c>
      <c r="D960">
        <v>38</v>
      </c>
      <c r="E960">
        <v>0.1</v>
      </c>
      <c r="F960" s="2">
        <v>44803</v>
      </c>
      <c r="G960" s="2" t="str">
        <f>TEXT(LayoffsData[[#This Row],[date]],"yyyy-mm")</f>
        <v>2022-08</v>
      </c>
      <c r="H960" s="1" t="s">
        <v>28</v>
      </c>
      <c r="I960" s="1" t="s">
        <v>201</v>
      </c>
      <c r="J960">
        <v>123</v>
      </c>
    </row>
    <row r="961" spans="1:10" x14ac:dyDescent="0.25">
      <c r="A961" s="1" t="s">
        <v>1008</v>
      </c>
      <c r="B961" s="1" t="s">
        <v>44</v>
      </c>
      <c r="C961" s="1" t="s">
        <v>36</v>
      </c>
      <c r="E961">
        <v>0.11</v>
      </c>
      <c r="F961" s="2">
        <v>44979</v>
      </c>
      <c r="G961" s="2" t="str">
        <f>TEXT(LayoffsData[[#This Row],[date]],"yyyy-mm")</f>
        <v>2023-02</v>
      </c>
      <c r="H961" s="1" t="s">
        <v>28</v>
      </c>
      <c r="I961" s="1" t="s">
        <v>46</v>
      </c>
      <c r="J961">
        <v>279</v>
      </c>
    </row>
    <row r="962" spans="1:10" x14ac:dyDescent="0.25">
      <c r="A962" s="1" t="s">
        <v>1008</v>
      </c>
      <c r="B962" s="1" t="s">
        <v>44</v>
      </c>
      <c r="C962" s="1" t="s">
        <v>36</v>
      </c>
      <c r="D962">
        <v>20</v>
      </c>
      <c r="E962">
        <v>0.06</v>
      </c>
      <c r="F962" s="2">
        <v>44768</v>
      </c>
      <c r="G962" s="2" t="str">
        <f>TEXT(LayoffsData[[#This Row],[date]],"yyyy-mm")</f>
        <v>2022-07</v>
      </c>
      <c r="H962" s="1" t="s">
        <v>28</v>
      </c>
      <c r="I962" s="1" t="s">
        <v>46</v>
      </c>
      <c r="J962">
        <v>279</v>
      </c>
    </row>
    <row r="963" spans="1:10" x14ac:dyDescent="0.25">
      <c r="A963" s="1" t="s">
        <v>1009</v>
      </c>
      <c r="B963" s="1" t="s">
        <v>26</v>
      </c>
      <c r="C963" s="1" t="s">
        <v>20</v>
      </c>
      <c r="E963">
        <v>0.1</v>
      </c>
      <c r="F963" s="2">
        <v>44798</v>
      </c>
      <c r="G963" s="2" t="str">
        <f>TEXT(LayoffsData[[#This Row],[date]],"yyyy-mm")</f>
        <v>2022-08</v>
      </c>
      <c r="H963" s="1" t="s">
        <v>105</v>
      </c>
      <c r="I963" s="1" t="s">
        <v>17</v>
      </c>
      <c r="J963">
        <v>361</v>
      </c>
    </row>
    <row r="964" spans="1:10" x14ac:dyDescent="0.25">
      <c r="A964" s="1" t="s">
        <v>1010</v>
      </c>
      <c r="B964" s="1" t="s">
        <v>200</v>
      </c>
      <c r="C964" s="1" t="s">
        <v>84</v>
      </c>
      <c r="D964">
        <v>30</v>
      </c>
      <c r="E964">
        <v>0.35</v>
      </c>
      <c r="F964" s="2">
        <v>44713</v>
      </c>
      <c r="G964" s="2" t="str">
        <f>TEXT(LayoffsData[[#This Row],[date]],"yyyy-mm")</f>
        <v>2022-06</v>
      </c>
      <c r="H964" s="1" t="s">
        <v>24</v>
      </c>
      <c r="I964" s="1" t="s">
        <v>201</v>
      </c>
      <c r="J964">
        <v>32</v>
      </c>
    </row>
    <row r="965" spans="1:10" x14ac:dyDescent="0.25">
      <c r="A965" s="1" t="s">
        <v>1011</v>
      </c>
      <c r="B965" s="1" t="s">
        <v>14</v>
      </c>
      <c r="C965" s="1" t="s">
        <v>51</v>
      </c>
      <c r="F965" s="2">
        <v>44461</v>
      </c>
      <c r="G965" s="2" t="str">
        <f>TEXT(LayoffsData[[#This Row],[date]],"yyyy-mm")</f>
        <v>2021-09</v>
      </c>
      <c r="H965" s="1" t="s">
        <v>33</v>
      </c>
      <c r="I965" s="1" t="s">
        <v>17</v>
      </c>
      <c r="J965">
        <v>229</v>
      </c>
    </row>
    <row r="966" spans="1:10" x14ac:dyDescent="0.25">
      <c r="A966" s="1" t="s">
        <v>1011</v>
      </c>
      <c r="B966" s="1" t="s">
        <v>14</v>
      </c>
      <c r="C966" s="1" t="s">
        <v>51</v>
      </c>
      <c r="D966">
        <v>50</v>
      </c>
      <c r="F966" s="2">
        <v>44771</v>
      </c>
      <c r="G966" s="2" t="str">
        <f>TEXT(LayoffsData[[#This Row],[date]],"yyyy-mm")</f>
        <v>2022-07</v>
      </c>
      <c r="H966" s="1" t="s">
        <v>33</v>
      </c>
      <c r="I966" s="1" t="s">
        <v>17</v>
      </c>
      <c r="J966">
        <v>229</v>
      </c>
    </row>
    <row r="967" spans="1:10" x14ac:dyDescent="0.25">
      <c r="A967" s="1" t="s">
        <v>1012</v>
      </c>
      <c r="B967" s="1" t="s">
        <v>14</v>
      </c>
      <c r="C967" s="1" t="s">
        <v>51</v>
      </c>
      <c r="D967">
        <v>50</v>
      </c>
      <c r="E967">
        <v>0.06</v>
      </c>
      <c r="F967" s="2">
        <v>44840</v>
      </c>
      <c r="G967" s="2" t="str">
        <f>TEXT(LayoffsData[[#This Row],[date]],"yyyy-mm")</f>
        <v>2022-10</v>
      </c>
      <c r="H967" s="1" t="s">
        <v>414</v>
      </c>
      <c r="I967" s="1" t="s">
        <v>17</v>
      </c>
      <c r="J967">
        <v>1900</v>
      </c>
    </row>
    <row r="968" spans="1:10" x14ac:dyDescent="0.25">
      <c r="A968" s="1" t="s">
        <v>1013</v>
      </c>
      <c r="B968" s="1" t="s">
        <v>14</v>
      </c>
      <c r="C968" s="1" t="s">
        <v>51</v>
      </c>
      <c r="D968">
        <v>140</v>
      </c>
      <c r="E968">
        <v>0.2</v>
      </c>
      <c r="F968" s="2">
        <v>44956</v>
      </c>
      <c r="G968" s="2" t="str">
        <f>TEXT(LayoffsData[[#This Row],[date]],"yyyy-mm")</f>
        <v>2023-01</v>
      </c>
      <c r="H968" s="1" t="s">
        <v>414</v>
      </c>
      <c r="I968" s="1" t="s">
        <v>17</v>
      </c>
      <c r="J968">
        <v>1900</v>
      </c>
    </row>
    <row r="969" spans="1:10" x14ac:dyDescent="0.25">
      <c r="A969" s="1" t="s">
        <v>1014</v>
      </c>
      <c r="B969" s="1" t="s">
        <v>200</v>
      </c>
      <c r="C969" s="1" t="s">
        <v>149</v>
      </c>
      <c r="E969">
        <v>0.1</v>
      </c>
      <c r="F969" s="2">
        <v>44911</v>
      </c>
      <c r="G969" s="2" t="str">
        <f>TEXT(LayoffsData[[#This Row],[date]],"yyyy-mm")</f>
        <v>2022-12</v>
      </c>
      <c r="H969" s="1" t="s">
        <v>37</v>
      </c>
      <c r="I969" s="1" t="s">
        <v>201</v>
      </c>
      <c r="J969">
        <v>704</v>
      </c>
    </row>
    <row r="970" spans="1:10" x14ac:dyDescent="0.25">
      <c r="A970" s="1" t="s">
        <v>1015</v>
      </c>
      <c r="B970" s="1" t="s">
        <v>14</v>
      </c>
      <c r="C970" s="1" t="s">
        <v>15</v>
      </c>
      <c r="D970">
        <v>9</v>
      </c>
      <c r="E970">
        <v>0.4</v>
      </c>
      <c r="F970" s="2">
        <v>43922</v>
      </c>
      <c r="G970" s="2" t="str">
        <f>TEXT(LayoffsData[[#This Row],[date]],"yyyy-mm")</f>
        <v>2020-04</v>
      </c>
      <c r="H970" s="1" t="s">
        <v>21</v>
      </c>
      <c r="I970" s="1" t="s">
        <v>17</v>
      </c>
      <c r="J970">
        <v>15</v>
      </c>
    </row>
    <row r="971" spans="1:10" x14ac:dyDescent="0.25">
      <c r="A971" s="1" t="s">
        <v>1016</v>
      </c>
      <c r="B971" s="1" t="s">
        <v>44</v>
      </c>
      <c r="C971" s="1" t="s">
        <v>68</v>
      </c>
      <c r="D971">
        <v>40</v>
      </c>
      <c r="E971">
        <v>0.17</v>
      </c>
      <c r="F971" s="2">
        <v>44768</v>
      </c>
      <c r="G971" s="2" t="str">
        <f>TEXT(LayoffsData[[#This Row],[date]],"yyyy-mm")</f>
        <v>2022-07</v>
      </c>
      <c r="H971" s="1" t="s">
        <v>24</v>
      </c>
      <c r="I971" s="1" t="s">
        <v>46</v>
      </c>
      <c r="J971">
        <v>41</v>
      </c>
    </row>
    <row r="972" spans="1:10" x14ac:dyDescent="0.25">
      <c r="A972" s="1" t="s">
        <v>1017</v>
      </c>
      <c r="B972" s="1" t="s">
        <v>73</v>
      </c>
      <c r="C972" s="1" t="s">
        <v>149</v>
      </c>
      <c r="F972" s="2">
        <v>44988</v>
      </c>
      <c r="G972" s="2" t="str">
        <f>TEXT(LayoffsData[[#This Row],[date]],"yyyy-mm")</f>
        <v>2023-03</v>
      </c>
      <c r="H972" s="1" t="s">
        <v>86</v>
      </c>
      <c r="I972" s="1" t="s">
        <v>17</v>
      </c>
      <c r="J972">
        <v>1200</v>
      </c>
    </row>
    <row r="973" spans="1:10" x14ac:dyDescent="0.25">
      <c r="A973" s="1" t="s">
        <v>1017</v>
      </c>
      <c r="B973" s="1" t="s">
        <v>73</v>
      </c>
      <c r="C973" s="1" t="s">
        <v>149</v>
      </c>
      <c r="D973">
        <v>80</v>
      </c>
      <c r="F973" s="2">
        <v>44236</v>
      </c>
      <c r="G973" s="2" t="str">
        <f>TEXT(LayoffsData[[#This Row],[date]],"yyyy-mm")</f>
        <v>2021-02</v>
      </c>
      <c r="H973" s="1" t="s">
        <v>86</v>
      </c>
      <c r="I973" s="1" t="s">
        <v>17</v>
      </c>
      <c r="J973">
        <v>1200</v>
      </c>
    </row>
    <row r="974" spans="1:10" x14ac:dyDescent="0.25">
      <c r="A974" s="1" t="s">
        <v>1018</v>
      </c>
      <c r="B974" s="1" t="s">
        <v>32</v>
      </c>
      <c r="C974" s="1" t="s">
        <v>174</v>
      </c>
      <c r="D974">
        <v>90</v>
      </c>
      <c r="E974">
        <v>0.2</v>
      </c>
      <c r="F974" s="2">
        <v>43923</v>
      </c>
      <c r="G974" s="2" t="str">
        <f>TEXT(LayoffsData[[#This Row],[date]],"yyyy-mm")</f>
        <v>2020-04</v>
      </c>
      <c r="H974" s="1" t="s">
        <v>33</v>
      </c>
      <c r="I974" s="1" t="s">
        <v>17</v>
      </c>
      <c r="J974">
        <v>222</v>
      </c>
    </row>
    <row r="975" spans="1:10" x14ac:dyDescent="0.25">
      <c r="A975" s="1" t="s">
        <v>1019</v>
      </c>
      <c r="B975" s="1" t="s">
        <v>79</v>
      </c>
      <c r="C975" s="1" t="s">
        <v>149</v>
      </c>
      <c r="D975">
        <v>50</v>
      </c>
      <c r="E975">
        <v>0.05</v>
      </c>
      <c r="F975" s="2">
        <v>44818</v>
      </c>
      <c r="G975" s="2" t="str">
        <f>TEXT(LayoffsData[[#This Row],[date]],"yyyy-mm")</f>
        <v>2022-09</v>
      </c>
      <c r="H975" s="1" t="s">
        <v>33</v>
      </c>
      <c r="I975" s="1" t="s">
        <v>80</v>
      </c>
      <c r="J975">
        <v>604</v>
      </c>
    </row>
    <row r="976" spans="1:10" x14ac:dyDescent="0.25">
      <c r="A976" s="1" t="s">
        <v>1019</v>
      </c>
      <c r="B976" s="1" t="s">
        <v>79</v>
      </c>
      <c r="C976" s="1" t="s">
        <v>149</v>
      </c>
      <c r="D976">
        <v>500</v>
      </c>
      <c r="E976">
        <v>0.5</v>
      </c>
      <c r="F976" s="2">
        <v>44893</v>
      </c>
      <c r="G976" s="2" t="str">
        <f>TEXT(LayoffsData[[#This Row],[date]],"yyyy-mm")</f>
        <v>2022-11</v>
      </c>
      <c r="H976" s="1" t="s">
        <v>33</v>
      </c>
      <c r="I976" s="1" t="s">
        <v>80</v>
      </c>
      <c r="J976">
        <v>604</v>
      </c>
    </row>
    <row r="977" spans="1:10" x14ac:dyDescent="0.25">
      <c r="A977" s="1" t="s">
        <v>1020</v>
      </c>
      <c r="B977" s="1" t="s">
        <v>9</v>
      </c>
      <c r="C977" s="1" t="s">
        <v>20</v>
      </c>
      <c r="F977" s="2">
        <v>43938</v>
      </c>
      <c r="G977" s="2" t="str">
        <f>TEXT(LayoffsData[[#This Row],[date]],"yyyy-mm")</f>
        <v>2020-04</v>
      </c>
      <c r="H977" s="1" t="s">
        <v>37</v>
      </c>
      <c r="I977" s="1" t="s">
        <v>12</v>
      </c>
      <c r="J977">
        <v>59</v>
      </c>
    </row>
    <row r="978" spans="1:10" x14ac:dyDescent="0.25">
      <c r="A978" s="1" t="s">
        <v>1021</v>
      </c>
      <c r="B978" s="1" t="s">
        <v>14</v>
      </c>
      <c r="C978" s="1" t="s">
        <v>74</v>
      </c>
      <c r="D978">
        <v>65</v>
      </c>
      <c r="E978">
        <v>0.27</v>
      </c>
      <c r="F978" s="2">
        <v>44875</v>
      </c>
      <c r="G978" s="2" t="str">
        <f>TEXT(LayoffsData[[#This Row],[date]],"yyyy-mm")</f>
        <v>2022-11</v>
      </c>
      <c r="H978" s="1" t="s">
        <v>33</v>
      </c>
      <c r="I978" s="1" t="s">
        <v>17</v>
      </c>
      <c r="J978">
        <v>119</v>
      </c>
    </row>
    <row r="979" spans="1:10" x14ac:dyDescent="0.25">
      <c r="A979" s="1" t="s">
        <v>1022</v>
      </c>
      <c r="B979" s="1" t="s">
        <v>200</v>
      </c>
      <c r="C979" s="1" t="s">
        <v>149</v>
      </c>
      <c r="F979" s="2">
        <v>44881</v>
      </c>
      <c r="G979" s="2" t="str">
        <f>TEXT(LayoffsData[[#This Row],[date]],"yyyy-mm")</f>
        <v>2022-11</v>
      </c>
      <c r="H979" s="1" t="s">
        <v>21</v>
      </c>
      <c r="I979" s="1" t="s">
        <v>201</v>
      </c>
      <c r="J979">
        <v>15</v>
      </c>
    </row>
    <row r="980" spans="1:10" x14ac:dyDescent="0.25">
      <c r="A980" s="1" t="s">
        <v>1023</v>
      </c>
      <c r="B980" s="1" t="s">
        <v>14</v>
      </c>
      <c r="C980" s="1" t="s">
        <v>74</v>
      </c>
      <c r="D980">
        <v>450</v>
      </c>
      <c r="E980">
        <v>7.0000000000000007E-2</v>
      </c>
      <c r="F980" s="2">
        <v>44936</v>
      </c>
      <c r="G980" s="2" t="str">
        <f>TEXT(LayoffsData[[#This Row],[date]],"yyyy-mm")</f>
        <v>2023-01</v>
      </c>
      <c r="H980" s="1" t="s">
        <v>11</v>
      </c>
      <c r="I980" s="1" t="s">
        <v>17</v>
      </c>
    </row>
    <row r="981" spans="1:10" x14ac:dyDescent="0.25">
      <c r="A981" s="1" t="s">
        <v>1024</v>
      </c>
      <c r="B981" s="1" t="s">
        <v>200</v>
      </c>
      <c r="C981" s="1" t="s">
        <v>172</v>
      </c>
      <c r="D981">
        <v>20</v>
      </c>
      <c r="E981">
        <v>0.12</v>
      </c>
      <c r="F981" s="2">
        <v>44853</v>
      </c>
      <c r="G981" s="2" t="str">
        <f>TEXT(LayoffsData[[#This Row],[date]],"yyyy-mm")</f>
        <v>2022-10</v>
      </c>
      <c r="H981" s="1" t="s">
        <v>24</v>
      </c>
      <c r="I981" s="1" t="s">
        <v>201</v>
      </c>
      <c r="J981">
        <v>88</v>
      </c>
    </row>
    <row r="982" spans="1:10" x14ac:dyDescent="0.25">
      <c r="A982" s="1" t="s">
        <v>1025</v>
      </c>
      <c r="B982" s="1" t="s">
        <v>293</v>
      </c>
      <c r="C982" s="1" t="s">
        <v>20</v>
      </c>
      <c r="D982">
        <v>50</v>
      </c>
      <c r="F982" s="2">
        <v>44949</v>
      </c>
      <c r="G982" s="2" t="str">
        <f>TEXT(LayoffsData[[#This Row],[date]],"yyyy-mm")</f>
        <v>2023-01</v>
      </c>
      <c r="H982" s="1" t="s">
        <v>37</v>
      </c>
      <c r="I982" s="1" t="s">
        <v>69</v>
      </c>
      <c r="J982">
        <v>320</v>
      </c>
    </row>
    <row r="983" spans="1:10" x14ac:dyDescent="0.25">
      <c r="A983" s="1" t="s">
        <v>1026</v>
      </c>
      <c r="B983" s="1" t="s">
        <v>14</v>
      </c>
      <c r="C983" s="1" t="s">
        <v>15</v>
      </c>
      <c r="D983">
        <v>90</v>
      </c>
      <c r="E983">
        <v>0.08</v>
      </c>
      <c r="F983" s="2">
        <v>44805</v>
      </c>
      <c r="G983" s="2" t="str">
        <f>TEXT(LayoffsData[[#This Row],[date]],"yyyy-mm")</f>
        <v>2022-09</v>
      </c>
      <c r="H983" s="1" t="s">
        <v>16</v>
      </c>
      <c r="I983" s="1" t="s">
        <v>17</v>
      </c>
      <c r="J983">
        <v>379</v>
      </c>
    </row>
    <row r="984" spans="1:10" x14ac:dyDescent="0.25">
      <c r="A984" s="1" t="s">
        <v>1026</v>
      </c>
      <c r="B984" s="1" t="s">
        <v>14</v>
      </c>
      <c r="C984" s="1" t="s">
        <v>15</v>
      </c>
      <c r="D984">
        <v>245</v>
      </c>
      <c r="E984">
        <v>0.15</v>
      </c>
      <c r="F984" s="2">
        <v>44950</v>
      </c>
      <c r="G984" s="2" t="str">
        <f>TEXT(LayoffsData[[#This Row],[date]],"yyyy-mm")</f>
        <v>2023-01</v>
      </c>
      <c r="H984" s="1" t="s">
        <v>16</v>
      </c>
      <c r="I984" s="1" t="s">
        <v>17</v>
      </c>
      <c r="J984">
        <v>379</v>
      </c>
    </row>
    <row r="985" spans="1:10" x14ac:dyDescent="0.25">
      <c r="A985" s="1" t="s">
        <v>1027</v>
      </c>
      <c r="B985" s="1" t="s">
        <v>32</v>
      </c>
      <c r="C985" s="1" t="s">
        <v>20</v>
      </c>
      <c r="D985">
        <v>40</v>
      </c>
      <c r="E985">
        <v>0.1</v>
      </c>
      <c r="F985" s="2">
        <v>44949</v>
      </c>
      <c r="G985" s="2" t="str">
        <f>TEXT(LayoffsData[[#This Row],[date]],"yyyy-mm")</f>
        <v>2023-01</v>
      </c>
      <c r="H985" s="1" t="s">
        <v>11</v>
      </c>
      <c r="I985" s="1" t="s">
        <v>17</v>
      </c>
      <c r="J985">
        <v>295</v>
      </c>
    </row>
    <row r="986" spans="1:10" x14ac:dyDescent="0.25">
      <c r="A986" s="1" t="s">
        <v>1028</v>
      </c>
      <c r="B986" s="1" t="s">
        <v>232</v>
      </c>
      <c r="C986" s="1" t="s">
        <v>15</v>
      </c>
      <c r="D986">
        <v>43</v>
      </c>
      <c r="F986" s="2">
        <v>44903</v>
      </c>
      <c r="G986" s="2" t="str">
        <f>TEXT(LayoffsData[[#This Row],[date]],"yyyy-mm")</f>
        <v>2022-12</v>
      </c>
      <c r="H986" s="1" t="s">
        <v>16</v>
      </c>
      <c r="I986" s="1" t="s">
        <v>17</v>
      </c>
      <c r="J986">
        <v>459</v>
      </c>
    </row>
    <row r="987" spans="1:10" x14ac:dyDescent="0.25">
      <c r="A987" s="1" t="s">
        <v>1029</v>
      </c>
      <c r="B987" s="1" t="s">
        <v>55</v>
      </c>
      <c r="C987" s="1" t="s">
        <v>174</v>
      </c>
      <c r="F987" s="2">
        <v>44893</v>
      </c>
      <c r="G987" s="2" t="str">
        <f>TEXT(LayoffsData[[#This Row],[date]],"yyyy-mm")</f>
        <v>2022-11</v>
      </c>
      <c r="H987" s="1" t="s">
        <v>21</v>
      </c>
      <c r="I987" s="1" t="s">
        <v>17</v>
      </c>
      <c r="J987">
        <v>11</v>
      </c>
    </row>
    <row r="988" spans="1:10" x14ac:dyDescent="0.25">
      <c r="A988" s="1" t="s">
        <v>1030</v>
      </c>
      <c r="B988" s="1" t="s">
        <v>128</v>
      </c>
      <c r="C988" s="1" t="s">
        <v>84</v>
      </c>
      <c r="D988">
        <v>109</v>
      </c>
      <c r="E988">
        <v>0.12</v>
      </c>
      <c r="F988" s="2">
        <v>44944</v>
      </c>
      <c r="G988" s="2" t="str">
        <f>TEXT(LayoffsData[[#This Row],[date]],"yyyy-mm")</f>
        <v>2023-01</v>
      </c>
      <c r="H988" s="1" t="s">
        <v>11</v>
      </c>
      <c r="I988" s="1" t="s">
        <v>17</v>
      </c>
      <c r="J988">
        <v>179</v>
      </c>
    </row>
    <row r="989" spans="1:10" x14ac:dyDescent="0.25">
      <c r="A989" s="1" t="s">
        <v>1030</v>
      </c>
      <c r="B989" s="1" t="s">
        <v>128</v>
      </c>
      <c r="C989" s="1" t="s">
        <v>84</v>
      </c>
      <c r="D989">
        <v>130</v>
      </c>
      <c r="E989">
        <v>0.22</v>
      </c>
      <c r="F989" s="2">
        <v>43906</v>
      </c>
      <c r="G989" s="2" t="str">
        <f>TEXT(LayoffsData[[#This Row],[date]],"yyyy-mm")</f>
        <v>2020-03</v>
      </c>
      <c r="H989" s="1" t="s">
        <v>28</v>
      </c>
      <c r="I989" s="1" t="s">
        <v>17</v>
      </c>
      <c r="J989">
        <v>79</v>
      </c>
    </row>
    <row r="990" spans="1:10" x14ac:dyDescent="0.25">
      <c r="A990" s="1" t="s">
        <v>1031</v>
      </c>
      <c r="B990" s="1" t="s">
        <v>14</v>
      </c>
      <c r="C990" s="1" t="s">
        <v>51</v>
      </c>
      <c r="F990" s="2">
        <v>44828</v>
      </c>
      <c r="G990" s="2" t="str">
        <f>TEXT(LayoffsData[[#This Row],[date]],"yyyy-mm")</f>
        <v>2022-09</v>
      </c>
      <c r="H990" s="1" t="s">
        <v>37</v>
      </c>
      <c r="I990" s="1" t="s">
        <v>17</v>
      </c>
      <c r="J990">
        <v>2900</v>
      </c>
    </row>
    <row r="991" spans="1:10" x14ac:dyDescent="0.25">
      <c r="A991" s="1" t="s">
        <v>1031</v>
      </c>
      <c r="B991" s="1" t="s">
        <v>14</v>
      </c>
      <c r="C991" s="1" t="s">
        <v>51</v>
      </c>
      <c r="D991">
        <v>1877</v>
      </c>
      <c r="F991" s="2">
        <v>44217</v>
      </c>
      <c r="G991" s="2" t="str">
        <f>TEXT(LayoffsData[[#This Row],[date]],"yyyy-mm")</f>
        <v>2021-01</v>
      </c>
      <c r="H991" s="1" t="s">
        <v>37</v>
      </c>
      <c r="I991" s="1" t="s">
        <v>17</v>
      </c>
      <c r="J991">
        <v>2400</v>
      </c>
    </row>
    <row r="992" spans="1:10" x14ac:dyDescent="0.25">
      <c r="A992" s="1" t="s">
        <v>1032</v>
      </c>
      <c r="B992" s="1" t="s">
        <v>293</v>
      </c>
      <c r="C992" s="1" t="s">
        <v>68</v>
      </c>
      <c r="D992">
        <v>6</v>
      </c>
      <c r="E992">
        <v>0.06</v>
      </c>
      <c r="F992" s="2">
        <v>43923</v>
      </c>
      <c r="G992" s="2" t="str">
        <f>TEXT(LayoffsData[[#This Row],[date]],"yyyy-mm")</f>
        <v>2020-04</v>
      </c>
      <c r="H992" s="1" t="s">
        <v>37</v>
      </c>
      <c r="I992" s="1" t="s">
        <v>69</v>
      </c>
      <c r="J992">
        <v>8</v>
      </c>
    </row>
    <row r="993" spans="1:10" x14ac:dyDescent="0.25">
      <c r="A993" s="1" t="s">
        <v>1033</v>
      </c>
      <c r="B993" s="1" t="s">
        <v>92</v>
      </c>
      <c r="C993" s="1" t="s">
        <v>41</v>
      </c>
      <c r="D993">
        <v>150</v>
      </c>
      <c r="E993">
        <v>0.12</v>
      </c>
      <c r="F993" s="2">
        <v>43978</v>
      </c>
      <c r="G993" s="2" t="str">
        <f>TEXT(LayoffsData[[#This Row],[date]],"yyyy-mm")</f>
        <v>2020-05</v>
      </c>
      <c r="H993" s="1" t="s">
        <v>57</v>
      </c>
      <c r="I993" s="1" t="s">
        <v>17</v>
      </c>
      <c r="J993">
        <v>89</v>
      </c>
    </row>
    <row r="994" spans="1:10" x14ac:dyDescent="0.25">
      <c r="A994" s="1" t="s">
        <v>1034</v>
      </c>
      <c r="B994" s="1" t="s">
        <v>14</v>
      </c>
      <c r="C994" s="1" t="s">
        <v>598</v>
      </c>
      <c r="D994">
        <v>45</v>
      </c>
      <c r="E994">
        <v>0.05</v>
      </c>
      <c r="F994" s="2">
        <v>43969</v>
      </c>
      <c r="G994" s="2" t="str">
        <f>TEXT(LayoffsData[[#This Row],[date]],"yyyy-mm")</f>
        <v>2020-05</v>
      </c>
      <c r="H994" s="1" t="s">
        <v>105</v>
      </c>
      <c r="I994" s="1" t="s">
        <v>17</v>
      </c>
    </row>
    <row r="995" spans="1:10" x14ac:dyDescent="0.25">
      <c r="A995" s="1" t="s">
        <v>1035</v>
      </c>
      <c r="B995" s="1" t="s">
        <v>32</v>
      </c>
      <c r="C995" s="1" t="s">
        <v>20</v>
      </c>
      <c r="D995">
        <v>70</v>
      </c>
      <c r="E995">
        <v>0.1</v>
      </c>
      <c r="F995" s="2">
        <v>43965</v>
      </c>
      <c r="G995" s="2" t="str">
        <f>TEXT(LayoffsData[[#This Row],[date]],"yyyy-mm")</f>
        <v>2020-05</v>
      </c>
      <c r="H995" s="1" t="s">
        <v>57</v>
      </c>
      <c r="I995" s="1" t="s">
        <v>17</v>
      </c>
      <c r="J995">
        <v>116</v>
      </c>
    </row>
    <row r="996" spans="1:10" x14ac:dyDescent="0.25">
      <c r="A996" s="1" t="s">
        <v>1035</v>
      </c>
      <c r="B996" s="1" t="s">
        <v>32</v>
      </c>
      <c r="C996" s="1" t="s">
        <v>20</v>
      </c>
      <c r="D996">
        <v>120</v>
      </c>
      <c r="E996">
        <v>0.13</v>
      </c>
      <c r="F996" s="2">
        <v>44902</v>
      </c>
      <c r="G996" s="2" t="str">
        <f>TEXT(LayoffsData[[#This Row],[date]],"yyyy-mm")</f>
        <v>2022-12</v>
      </c>
      <c r="H996" s="1" t="s">
        <v>57</v>
      </c>
      <c r="I996" s="1" t="s">
        <v>17</v>
      </c>
      <c r="J996">
        <v>116</v>
      </c>
    </row>
    <row r="997" spans="1:10" x14ac:dyDescent="0.25">
      <c r="A997" s="1" t="s">
        <v>1036</v>
      </c>
      <c r="B997" s="1" t="s">
        <v>9</v>
      </c>
      <c r="C997" s="1" t="s">
        <v>53</v>
      </c>
      <c r="D997">
        <v>26</v>
      </c>
      <c r="F997" s="2">
        <v>43991</v>
      </c>
      <c r="G997" s="2" t="str">
        <f>TEXT(LayoffsData[[#This Row],[date]],"yyyy-mm")</f>
        <v>2020-06</v>
      </c>
      <c r="H997" s="1" t="s">
        <v>37</v>
      </c>
      <c r="I997" s="1" t="s">
        <v>12</v>
      </c>
      <c r="J997">
        <v>40</v>
      </c>
    </row>
    <row r="998" spans="1:10" x14ac:dyDescent="0.25">
      <c r="A998" s="1" t="s">
        <v>1037</v>
      </c>
      <c r="B998" s="1" t="s">
        <v>14</v>
      </c>
      <c r="C998" s="1" t="s">
        <v>325</v>
      </c>
      <c r="D998">
        <v>201</v>
      </c>
      <c r="F998" s="2">
        <v>44901</v>
      </c>
      <c r="G998" s="2" t="str">
        <f>TEXT(LayoffsData[[#This Row],[date]],"yyyy-mm")</f>
        <v>2022-12</v>
      </c>
      <c r="H998" s="1" t="s">
        <v>11</v>
      </c>
      <c r="I998" s="1" t="s">
        <v>17</v>
      </c>
      <c r="J998">
        <v>12</v>
      </c>
    </row>
    <row r="999" spans="1:10" x14ac:dyDescent="0.25">
      <c r="A999" s="1" t="s">
        <v>1037</v>
      </c>
      <c r="B999" s="1" t="s">
        <v>14</v>
      </c>
      <c r="C999" s="1" t="s">
        <v>325</v>
      </c>
      <c r="D999">
        <v>343</v>
      </c>
      <c r="F999" s="2">
        <v>44956</v>
      </c>
      <c r="G999" s="2" t="str">
        <f>TEXT(LayoffsData[[#This Row],[date]],"yyyy-mm")</f>
        <v>2023-01</v>
      </c>
      <c r="H999" s="1" t="s">
        <v>11</v>
      </c>
      <c r="I999" s="1" t="s">
        <v>17</v>
      </c>
      <c r="J999">
        <v>12</v>
      </c>
    </row>
    <row r="1000" spans="1:10" x14ac:dyDescent="0.25">
      <c r="A1000" s="1" t="s">
        <v>1038</v>
      </c>
      <c r="B1000" s="1" t="s">
        <v>14</v>
      </c>
      <c r="C1000" s="1" t="s">
        <v>53</v>
      </c>
      <c r="D1000">
        <v>39</v>
      </c>
      <c r="E1000">
        <v>0.06</v>
      </c>
      <c r="F1000" s="2">
        <v>43971</v>
      </c>
      <c r="G1000" s="2" t="str">
        <f>TEXT(LayoffsData[[#This Row],[date]],"yyyy-mm")</f>
        <v>2020-05</v>
      </c>
      <c r="H1000" s="1" t="s">
        <v>33</v>
      </c>
      <c r="I1000" s="1" t="s">
        <v>17</v>
      </c>
      <c r="J1000">
        <v>240</v>
      </c>
    </row>
    <row r="1001" spans="1:10" x14ac:dyDescent="0.25">
      <c r="A1001" s="1" t="s">
        <v>1038</v>
      </c>
      <c r="B1001" s="1" t="s">
        <v>14</v>
      </c>
      <c r="C1001" s="1" t="s">
        <v>53</v>
      </c>
      <c r="D1001">
        <v>49</v>
      </c>
      <c r="E1001">
        <v>0.05</v>
      </c>
      <c r="F1001" s="2">
        <v>44811</v>
      </c>
      <c r="G1001" s="2" t="str">
        <f>TEXT(LayoffsData[[#This Row],[date]],"yyyy-mm")</f>
        <v>2022-09</v>
      </c>
      <c r="H1001" s="1" t="s">
        <v>33</v>
      </c>
      <c r="I1001" s="1" t="s">
        <v>17</v>
      </c>
      <c r="J1001">
        <v>240</v>
      </c>
    </row>
    <row r="1002" spans="1:10" x14ac:dyDescent="0.25">
      <c r="A1002" s="1" t="s">
        <v>1038</v>
      </c>
      <c r="B1002" s="1" t="s">
        <v>14</v>
      </c>
      <c r="C1002" s="1" t="s">
        <v>53</v>
      </c>
      <c r="D1002">
        <v>124</v>
      </c>
      <c r="E1002">
        <v>0.13</v>
      </c>
      <c r="F1002" s="2">
        <v>44879</v>
      </c>
      <c r="G1002" s="2" t="str">
        <f>TEXT(LayoffsData[[#This Row],[date]],"yyyy-mm")</f>
        <v>2022-11</v>
      </c>
      <c r="H1002" s="1" t="s">
        <v>33</v>
      </c>
      <c r="I1002" s="1" t="s">
        <v>17</v>
      </c>
      <c r="J1002">
        <v>240</v>
      </c>
    </row>
    <row r="1003" spans="1:10" x14ac:dyDescent="0.25">
      <c r="A1003" s="1" t="s">
        <v>1039</v>
      </c>
      <c r="B1003" s="1" t="s">
        <v>9</v>
      </c>
      <c r="C1003" s="1" t="s">
        <v>113</v>
      </c>
      <c r="D1003">
        <v>19</v>
      </c>
      <c r="E1003">
        <v>0.11</v>
      </c>
      <c r="F1003" s="2">
        <v>43964</v>
      </c>
      <c r="G1003" s="2" t="str">
        <f>TEXT(LayoffsData[[#This Row],[date]],"yyyy-mm")</f>
        <v>2020-05</v>
      </c>
      <c r="H1003" s="1" t="s">
        <v>57</v>
      </c>
      <c r="I1003" s="1" t="s">
        <v>12</v>
      </c>
    </row>
    <row r="1004" spans="1:10" x14ac:dyDescent="0.25">
      <c r="A1004" s="1" t="s">
        <v>1040</v>
      </c>
      <c r="B1004" s="1" t="s">
        <v>14</v>
      </c>
      <c r="C1004" s="1" t="s">
        <v>149</v>
      </c>
      <c r="D1004">
        <v>40</v>
      </c>
      <c r="E1004">
        <v>0.2</v>
      </c>
      <c r="F1004" s="2">
        <v>44937</v>
      </c>
      <c r="G1004" s="2" t="str">
        <f>TEXT(LayoffsData[[#This Row],[date]],"yyyy-mm")</f>
        <v>2023-01</v>
      </c>
      <c r="H1004" s="1" t="s">
        <v>57</v>
      </c>
      <c r="I1004" s="1" t="s">
        <v>17</v>
      </c>
    </row>
    <row r="1005" spans="1:10" x14ac:dyDescent="0.25">
      <c r="A1005" s="1" t="s">
        <v>1041</v>
      </c>
      <c r="B1005" s="1" t="s">
        <v>1042</v>
      </c>
      <c r="C1005" s="1" t="s">
        <v>48</v>
      </c>
      <c r="D1005">
        <v>57</v>
      </c>
      <c r="E1005">
        <v>0.16</v>
      </c>
      <c r="F1005" s="2">
        <v>44762</v>
      </c>
      <c r="G1005" s="2" t="str">
        <f>TEXT(LayoffsData[[#This Row],[date]],"yyyy-mm")</f>
        <v>2022-07</v>
      </c>
      <c r="H1005" s="1" t="s">
        <v>28</v>
      </c>
      <c r="I1005" s="1" t="s">
        <v>12</v>
      </c>
      <c r="J1005">
        <v>125</v>
      </c>
    </row>
    <row r="1006" spans="1:10" x14ac:dyDescent="0.25">
      <c r="A1006" s="1" t="s">
        <v>1043</v>
      </c>
      <c r="B1006" s="1" t="s">
        <v>14</v>
      </c>
      <c r="C1006" s="1" t="s">
        <v>68</v>
      </c>
      <c r="D1006">
        <v>715</v>
      </c>
      <c r="E1006">
        <v>7.0000000000000007E-2</v>
      </c>
      <c r="F1006" s="2">
        <v>44004</v>
      </c>
      <c r="G1006" s="2" t="str">
        <f>TEXT(LayoffsData[[#This Row],[date]],"yyyy-mm")</f>
        <v>2020-06</v>
      </c>
      <c r="H1006" s="1" t="s">
        <v>11</v>
      </c>
      <c r="I1006" s="1" t="s">
        <v>17</v>
      </c>
      <c r="J1006">
        <v>18</v>
      </c>
    </row>
    <row r="1007" spans="1:10" x14ac:dyDescent="0.25">
      <c r="A1007" s="1" t="s">
        <v>1044</v>
      </c>
      <c r="B1007" s="1" t="s">
        <v>32</v>
      </c>
      <c r="C1007" s="1" t="s">
        <v>113</v>
      </c>
      <c r="F1007" s="2">
        <v>44057</v>
      </c>
      <c r="G1007" s="2" t="str">
        <f>TEXT(LayoffsData[[#This Row],[date]],"yyyy-mm")</f>
        <v>2020-08</v>
      </c>
      <c r="H1007" s="1" t="s">
        <v>86</v>
      </c>
      <c r="I1007" s="1" t="s">
        <v>17</v>
      </c>
      <c r="J1007">
        <v>350</v>
      </c>
    </row>
    <row r="1008" spans="1:10" x14ac:dyDescent="0.25">
      <c r="A1008" s="1" t="s">
        <v>1044</v>
      </c>
      <c r="B1008" s="1" t="s">
        <v>32</v>
      </c>
      <c r="C1008" s="1" t="s">
        <v>113</v>
      </c>
      <c r="E1008">
        <v>0.5</v>
      </c>
      <c r="F1008" s="2">
        <v>44763</v>
      </c>
      <c r="G1008" s="2" t="str">
        <f>TEXT(LayoffsData[[#This Row],[date]],"yyyy-mm")</f>
        <v>2022-07</v>
      </c>
      <c r="H1008" s="1" t="s">
        <v>86</v>
      </c>
      <c r="I1008" s="1" t="s">
        <v>17</v>
      </c>
      <c r="J1008">
        <v>356</v>
      </c>
    </row>
    <row r="1009" spans="1:10" x14ac:dyDescent="0.25">
      <c r="A1009" s="1" t="s">
        <v>1044</v>
      </c>
      <c r="B1009" s="1" t="s">
        <v>32</v>
      </c>
      <c r="C1009" s="1" t="s">
        <v>113</v>
      </c>
      <c r="D1009">
        <v>22</v>
      </c>
      <c r="F1009" s="2">
        <v>44474</v>
      </c>
      <c r="G1009" s="2" t="str">
        <f>TEXT(LayoffsData[[#This Row],[date]],"yyyy-mm")</f>
        <v>2021-10</v>
      </c>
      <c r="H1009" s="1" t="s">
        <v>37</v>
      </c>
      <c r="I1009" s="1" t="s">
        <v>17</v>
      </c>
      <c r="J1009">
        <v>356</v>
      </c>
    </row>
    <row r="1010" spans="1:10" x14ac:dyDescent="0.25">
      <c r="A1010" s="1" t="s">
        <v>1045</v>
      </c>
      <c r="B1010" s="1" t="s">
        <v>14</v>
      </c>
      <c r="C1010" s="1" t="s">
        <v>15</v>
      </c>
      <c r="D1010">
        <v>1000</v>
      </c>
      <c r="F1010" s="2">
        <v>44761</v>
      </c>
      <c r="G1010" s="2" t="str">
        <f>TEXT(LayoffsData[[#This Row],[date]],"yyyy-mm")</f>
        <v>2022-07</v>
      </c>
      <c r="H1010" s="1" t="s">
        <v>11</v>
      </c>
      <c r="I1010" s="1" t="s">
        <v>17</v>
      </c>
      <c r="J1010">
        <v>2000</v>
      </c>
    </row>
    <row r="1011" spans="1:10" x14ac:dyDescent="0.25">
      <c r="A1011" s="1" t="s">
        <v>1046</v>
      </c>
      <c r="B1011" s="1" t="s">
        <v>1047</v>
      </c>
      <c r="C1011" s="1" t="s">
        <v>29</v>
      </c>
      <c r="D1011">
        <v>70</v>
      </c>
      <c r="E1011">
        <v>0.18</v>
      </c>
      <c r="F1011" s="2">
        <v>44755</v>
      </c>
      <c r="G1011" s="2" t="str">
        <f>TEXT(LayoffsData[[#This Row],[date]],"yyyy-mm")</f>
        <v>2022-07</v>
      </c>
      <c r="H1011" s="1" t="s">
        <v>37</v>
      </c>
      <c r="I1011" s="1" t="s">
        <v>38</v>
      </c>
      <c r="J1011">
        <v>23</v>
      </c>
    </row>
    <row r="1012" spans="1:10" x14ac:dyDescent="0.25">
      <c r="A1012" s="1" t="s">
        <v>1048</v>
      </c>
      <c r="B1012" s="1" t="s">
        <v>452</v>
      </c>
      <c r="C1012" s="1" t="s">
        <v>29</v>
      </c>
      <c r="D1012">
        <v>50</v>
      </c>
      <c r="E1012">
        <v>0.2</v>
      </c>
      <c r="F1012" s="2">
        <v>44720</v>
      </c>
      <c r="G1012" s="2" t="str">
        <f>TEXT(LayoffsData[[#This Row],[date]],"yyyy-mm")</f>
        <v>2022-06</v>
      </c>
      <c r="H1012" s="1" t="s">
        <v>37</v>
      </c>
      <c r="I1012" s="1" t="s">
        <v>453</v>
      </c>
      <c r="J1012">
        <v>26</v>
      </c>
    </row>
    <row r="1013" spans="1:10" x14ac:dyDescent="0.25">
      <c r="A1013" s="1" t="s">
        <v>1049</v>
      </c>
      <c r="B1013" s="1" t="s">
        <v>32</v>
      </c>
      <c r="C1013" s="1" t="s">
        <v>51</v>
      </c>
      <c r="D1013">
        <v>9</v>
      </c>
      <c r="E1013">
        <v>0.5</v>
      </c>
      <c r="F1013" s="2">
        <v>43920</v>
      </c>
      <c r="G1013" s="2" t="str">
        <f>TEXT(LayoffsData[[#This Row],[date]],"yyyy-mm")</f>
        <v>2020-03</v>
      </c>
      <c r="H1013" s="1" t="s">
        <v>131</v>
      </c>
      <c r="I1013" s="1" t="s">
        <v>17</v>
      </c>
      <c r="J1013">
        <v>15</v>
      </c>
    </row>
    <row r="1014" spans="1:10" x14ac:dyDescent="0.25">
      <c r="A1014" s="1" t="s">
        <v>1050</v>
      </c>
      <c r="B1014" s="1" t="s">
        <v>14</v>
      </c>
      <c r="C1014" s="1" t="s">
        <v>27</v>
      </c>
      <c r="D1014">
        <v>25</v>
      </c>
      <c r="E1014">
        <v>0.25</v>
      </c>
      <c r="F1014" s="2">
        <v>44714</v>
      </c>
      <c r="G1014" s="2" t="str">
        <f>TEXT(LayoffsData[[#This Row],[date]],"yyyy-mm")</f>
        <v>2022-06</v>
      </c>
      <c r="H1014" s="1" t="s">
        <v>28</v>
      </c>
      <c r="I1014" s="1" t="s">
        <v>17</v>
      </c>
      <c r="J1014">
        <v>197</v>
      </c>
    </row>
    <row r="1015" spans="1:10" x14ac:dyDescent="0.25">
      <c r="A1015" s="1" t="s">
        <v>1051</v>
      </c>
      <c r="B1015" s="1" t="s">
        <v>73</v>
      </c>
      <c r="C1015" s="1" t="s">
        <v>27</v>
      </c>
      <c r="D1015">
        <v>85</v>
      </c>
      <c r="E1015">
        <v>7.0000000000000007E-2</v>
      </c>
      <c r="F1015" s="2">
        <v>44970</v>
      </c>
      <c r="G1015" s="2" t="str">
        <f>TEXT(LayoffsData[[#This Row],[date]],"yyyy-mm")</f>
        <v>2023-02</v>
      </c>
      <c r="H1015" s="1" t="s">
        <v>57</v>
      </c>
      <c r="I1015" s="1" t="s">
        <v>17</v>
      </c>
      <c r="J1015">
        <v>30</v>
      </c>
    </row>
    <row r="1016" spans="1:10" x14ac:dyDescent="0.25">
      <c r="A1016" s="1" t="s">
        <v>1051</v>
      </c>
      <c r="B1016" s="1" t="s">
        <v>73</v>
      </c>
      <c r="C1016" s="1" t="s">
        <v>27</v>
      </c>
      <c r="D1016">
        <v>140</v>
      </c>
      <c r="E1016">
        <v>0.1</v>
      </c>
      <c r="F1016" s="2">
        <v>44778</v>
      </c>
      <c r="G1016" s="2" t="str">
        <f>TEXT(LayoffsData[[#This Row],[date]],"yyyy-mm")</f>
        <v>2022-08</v>
      </c>
      <c r="H1016" s="1" t="s">
        <v>57</v>
      </c>
      <c r="I1016" s="1" t="s">
        <v>17</v>
      </c>
      <c r="J1016">
        <v>30</v>
      </c>
    </row>
    <row r="1017" spans="1:10" x14ac:dyDescent="0.25">
      <c r="A1017" s="1" t="s">
        <v>1052</v>
      </c>
      <c r="B1017" s="1" t="s">
        <v>14</v>
      </c>
      <c r="C1017" s="1" t="s">
        <v>51</v>
      </c>
      <c r="D1017">
        <v>50</v>
      </c>
      <c r="E1017">
        <v>0.5</v>
      </c>
      <c r="F1017" s="2">
        <v>44867</v>
      </c>
      <c r="G1017" s="2" t="str">
        <f>TEXT(LayoffsData[[#This Row],[date]],"yyyy-mm")</f>
        <v>2022-11</v>
      </c>
      <c r="H1017" s="1" t="s">
        <v>28</v>
      </c>
      <c r="I1017" s="1" t="s">
        <v>17</v>
      </c>
      <c r="J1017">
        <v>103</v>
      </c>
    </row>
    <row r="1018" spans="1:10" x14ac:dyDescent="0.25">
      <c r="A1018" s="1" t="s">
        <v>1053</v>
      </c>
      <c r="B1018" s="1" t="s">
        <v>40</v>
      </c>
      <c r="C1018" s="1" t="s">
        <v>172</v>
      </c>
      <c r="D1018">
        <v>55</v>
      </c>
      <c r="E1018">
        <v>0.17</v>
      </c>
      <c r="F1018" s="2">
        <v>44734</v>
      </c>
      <c r="G1018" s="2" t="str">
        <f>TEXT(LayoffsData[[#This Row],[date]],"yyyy-mm")</f>
        <v>2022-06</v>
      </c>
      <c r="H1018" s="1" t="s">
        <v>11</v>
      </c>
      <c r="I1018" s="1" t="s">
        <v>17</v>
      </c>
      <c r="J1018">
        <v>410</v>
      </c>
    </row>
    <row r="1019" spans="1:10" x14ac:dyDescent="0.25">
      <c r="A1019" s="1" t="s">
        <v>1053</v>
      </c>
      <c r="B1019" s="1" t="s">
        <v>40</v>
      </c>
      <c r="C1019" s="1" t="s">
        <v>172</v>
      </c>
      <c r="D1019">
        <v>90</v>
      </c>
      <c r="E1019">
        <v>0.35</v>
      </c>
      <c r="F1019" s="2">
        <v>44734</v>
      </c>
      <c r="G1019" s="2" t="str">
        <f>TEXT(LayoffsData[[#This Row],[date]],"yyyy-mm")</f>
        <v>2022-06</v>
      </c>
      <c r="H1019" s="1" t="s">
        <v>11</v>
      </c>
      <c r="I1019" s="1" t="s">
        <v>17</v>
      </c>
      <c r="J1019">
        <v>410</v>
      </c>
    </row>
    <row r="1020" spans="1:10" x14ac:dyDescent="0.25">
      <c r="A1020" s="1" t="s">
        <v>1054</v>
      </c>
      <c r="B1020" s="1" t="s">
        <v>26</v>
      </c>
      <c r="C1020" s="1" t="s">
        <v>27</v>
      </c>
      <c r="D1020">
        <v>200</v>
      </c>
      <c r="E1020">
        <v>0.17</v>
      </c>
      <c r="F1020" s="2">
        <v>44777</v>
      </c>
      <c r="G1020" s="2" t="str">
        <f>TEXT(LayoffsData[[#This Row],[date]],"yyyy-mm")</f>
        <v>2022-08</v>
      </c>
      <c r="H1020" s="1" t="s">
        <v>37</v>
      </c>
      <c r="I1020" s="1" t="s">
        <v>17</v>
      </c>
      <c r="J1020">
        <v>652</v>
      </c>
    </row>
    <row r="1021" spans="1:10" x14ac:dyDescent="0.25">
      <c r="A1021" s="1" t="s">
        <v>1055</v>
      </c>
      <c r="B1021" s="1" t="s">
        <v>71</v>
      </c>
      <c r="C1021" s="1" t="s">
        <v>113</v>
      </c>
      <c r="D1021">
        <v>12</v>
      </c>
      <c r="E1021">
        <v>0.05</v>
      </c>
      <c r="F1021" s="2">
        <v>43915</v>
      </c>
      <c r="G1021" s="2" t="str">
        <f>TEXT(LayoffsData[[#This Row],[date]],"yyyy-mm")</f>
        <v>2020-03</v>
      </c>
      <c r="H1021" s="1" t="s">
        <v>37</v>
      </c>
      <c r="I1021" s="1" t="s">
        <v>17</v>
      </c>
      <c r="J1021">
        <v>233</v>
      </c>
    </row>
    <row r="1022" spans="1:10" x14ac:dyDescent="0.25">
      <c r="A1022" s="1" t="s">
        <v>1056</v>
      </c>
      <c r="B1022" s="1" t="s">
        <v>120</v>
      </c>
      <c r="C1022" s="1" t="s">
        <v>29</v>
      </c>
      <c r="D1022">
        <v>200</v>
      </c>
      <c r="E1022">
        <v>0.3</v>
      </c>
      <c r="F1022" s="2">
        <v>44909</v>
      </c>
      <c r="G1022" s="2" t="str">
        <f>TEXT(LayoffsData[[#This Row],[date]],"yyyy-mm")</f>
        <v>2022-12</v>
      </c>
      <c r="H1022" s="1" t="s">
        <v>11</v>
      </c>
      <c r="I1022" s="1" t="s">
        <v>121</v>
      </c>
      <c r="J1022">
        <v>5100</v>
      </c>
    </row>
    <row r="1023" spans="1:10" x14ac:dyDescent="0.25">
      <c r="A1023" s="1" t="s">
        <v>1057</v>
      </c>
      <c r="B1023" s="1" t="s">
        <v>73</v>
      </c>
      <c r="C1023" s="1" t="s">
        <v>113</v>
      </c>
      <c r="E1023">
        <v>0.09</v>
      </c>
      <c r="F1023" s="2">
        <v>44939</v>
      </c>
      <c r="G1023" s="2" t="str">
        <f>TEXT(LayoffsData[[#This Row],[date]],"yyyy-mm")</f>
        <v>2023-01</v>
      </c>
      <c r="H1023" s="1" t="s">
        <v>28</v>
      </c>
      <c r="I1023" s="1" t="s">
        <v>17</v>
      </c>
      <c r="J1023">
        <v>114</v>
      </c>
    </row>
    <row r="1024" spans="1:10" x14ac:dyDescent="0.25">
      <c r="A1024" s="1" t="s">
        <v>1058</v>
      </c>
      <c r="B1024" s="1" t="s">
        <v>32</v>
      </c>
      <c r="C1024" s="1" t="s">
        <v>63</v>
      </c>
      <c r="E1024">
        <v>0.08</v>
      </c>
      <c r="F1024" s="2">
        <v>44721</v>
      </c>
      <c r="G1024" s="2" t="str">
        <f>TEXT(LayoffsData[[#This Row],[date]],"yyyy-mm")</f>
        <v>2022-06</v>
      </c>
      <c r="H1024" s="1" t="s">
        <v>28</v>
      </c>
      <c r="I1024" s="1" t="s">
        <v>17</v>
      </c>
      <c r="J1024">
        <v>22</v>
      </c>
    </row>
    <row r="1025" spans="1:10" x14ac:dyDescent="0.25">
      <c r="A1025" s="1" t="s">
        <v>1058</v>
      </c>
      <c r="B1025" s="1" t="s">
        <v>250</v>
      </c>
      <c r="C1025" s="1" t="s">
        <v>63</v>
      </c>
      <c r="D1025">
        <v>208</v>
      </c>
      <c r="F1025" s="2">
        <v>44972</v>
      </c>
      <c r="G1025" s="2" t="str">
        <f>TEXT(LayoffsData[[#This Row],[date]],"yyyy-mm")</f>
        <v>2023-02</v>
      </c>
      <c r="H1025" s="1" t="s">
        <v>28</v>
      </c>
      <c r="I1025" s="1" t="s">
        <v>251</v>
      </c>
      <c r="J1025">
        <v>22</v>
      </c>
    </row>
    <row r="1026" spans="1:10" x14ac:dyDescent="0.25">
      <c r="A1026" s="1" t="s">
        <v>1059</v>
      </c>
      <c r="B1026" s="1" t="s">
        <v>55</v>
      </c>
      <c r="C1026" s="1" t="s">
        <v>174</v>
      </c>
      <c r="E1026">
        <v>1</v>
      </c>
      <c r="F1026" s="2">
        <v>44727</v>
      </c>
      <c r="G1026" s="2" t="str">
        <f>TEXT(LayoffsData[[#This Row],[date]],"yyyy-mm")</f>
        <v>2022-06</v>
      </c>
      <c r="H1026" s="1" t="s">
        <v>24</v>
      </c>
      <c r="I1026" s="1" t="s">
        <v>17</v>
      </c>
      <c r="J1026">
        <v>44</v>
      </c>
    </row>
    <row r="1027" spans="1:10" x14ac:dyDescent="0.25">
      <c r="A1027" s="1" t="s">
        <v>1059</v>
      </c>
      <c r="B1027" s="1" t="s">
        <v>55</v>
      </c>
      <c r="C1027" s="1" t="s">
        <v>174</v>
      </c>
      <c r="D1027">
        <v>20</v>
      </c>
      <c r="E1027">
        <v>0.2</v>
      </c>
      <c r="F1027" s="2">
        <v>43948</v>
      </c>
      <c r="G1027" s="2" t="str">
        <f>TEXT(LayoffsData[[#This Row],[date]],"yyyy-mm")</f>
        <v>2020-04</v>
      </c>
      <c r="H1027" s="1" t="s">
        <v>21</v>
      </c>
      <c r="I1027" s="1" t="s">
        <v>17</v>
      </c>
      <c r="J1027">
        <v>24</v>
      </c>
    </row>
    <row r="1028" spans="1:10" x14ac:dyDescent="0.25">
      <c r="A1028" s="1" t="s">
        <v>1060</v>
      </c>
      <c r="B1028" s="1" t="s">
        <v>32</v>
      </c>
      <c r="C1028" s="1" t="s">
        <v>68</v>
      </c>
      <c r="D1028">
        <v>35</v>
      </c>
      <c r="E1028">
        <v>0.4</v>
      </c>
      <c r="F1028" s="2">
        <v>43924</v>
      </c>
      <c r="G1028" s="2" t="str">
        <f>TEXT(LayoffsData[[#This Row],[date]],"yyyy-mm")</f>
        <v>2020-04</v>
      </c>
      <c r="H1028" s="1" t="s">
        <v>24</v>
      </c>
      <c r="I1028" s="1" t="s">
        <v>17</v>
      </c>
      <c r="J1028">
        <v>40</v>
      </c>
    </row>
    <row r="1029" spans="1:10" x14ac:dyDescent="0.25">
      <c r="A1029" s="1" t="s">
        <v>1061</v>
      </c>
      <c r="B1029" s="1" t="s">
        <v>783</v>
      </c>
      <c r="C1029" s="1" t="s">
        <v>149</v>
      </c>
      <c r="D1029">
        <v>50</v>
      </c>
      <c r="E1029">
        <v>0.16</v>
      </c>
      <c r="F1029" s="2">
        <v>44880</v>
      </c>
      <c r="G1029" s="2" t="str">
        <f>TEXT(LayoffsData[[#This Row],[date]],"yyyy-mm")</f>
        <v>2022-11</v>
      </c>
      <c r="H1029" s="1" t="s">
        <v>37</v>
      </c>
      <c r="I1029" s="1" t="s">
        <v>80</v>
      </c>
      <c r="J1029">
        <v>28</v>
      </c>
    </row>
    <row r="1030" spans="1:10" x14ac:dyDescent="0.25">
      <c r="A1030" s="1" t="s">
        <v>1062</v>
      </c>
      <c r="B1030" s="1" t="s">
        <v>76</v>
      </c>
      <c r="C1030" s="1" t="s">
        <v>27</v>
      </c>
      <c r="D1030">
        <v>6</v>
      </c>
      <c r="E1030">
        <v>0.21</v>
      </c>
      <c r="F1030" s="2">
        <v>43945</v>
      </c>
      <c r="G1030" s="2" t="str">
        <f>TEXT(LayoffsData[[#This Row],[date]],"yyyy-mm")</f>
        <v>2020-04</v>
      </c>
      <c r="H1030" s="1" t="s">
        <v>37</v>
      </c>
      <c r="I1030" s="1" t="s">
        <v>17</v>
      </c>
      <c r="J1030">
        <v>12</v>
      </c>
    </row>
    <row r="1031" spans="1:10" x14ac:dyDescent="0.25">
      <c r="A1031" s="1" t="s">
        <v>1063</v>
      </c>
      <c r="B1031" s="1" t="s">
        <v>73</v>
      </c>
      <c r="C1031" s="1" t="s">
        <v>165</v>
      </c>
      <c r="D1031">
        <v>39</v>
      </c>
      <c r="E1031">
        <v>0.2</v>
      </c>
      <c r="F1031" s="2">
        <v>43923</v>
      </c>
      <c r="G1031" s="2" t="str">
        <f>TEXT(LayoffsData[[#This Row],[date]],"yyyy-mm")</f>
        <v>2020-04</v>
      </c>
      <c r="H1031" s="1" t="s">
        <v>105</v>
      </c>
      <c r="I1031" s="1" t="s">
        <v>17</v>
      </c>
      <c r="J1031">
        <v>118</v>
      </c>
    </row>
    <row r="1032" spans="1:10" x14ac:dyDescent="0.25">
      <c r="A1032" s="1" t="s">
        <v>1064</v>
      </c>
      <c r="B1032" s="1" t="s">
        <v>32</v>
      </c>
      <c r="C1032" s="1" t="s">
        <v>51</v>
      </c>
      <c r="D1032">
        <v>50</v>
      </c>
      <c r="E1032">
        <v>0.05</v>
      </c>
      <c r="F1032" s="2">
        <v>44728</v>
      </c>
      <c r="G1032" s="2" t="str">
        <f>TEXT(LayoffsData[[#This Row],[date]],"yyyy-mm")</f>
        <v>2022-06</v>
      </c>
      <c r="H1032" s="1" t="s">
        <v>24</v>
      </c>
      <c r="I1032" s="1" t="s">
        <v>17</v>
      </c>
      <c r="J1032">
        <v>430</v>
      </c>
    </row>
    <row r="1033" spans="1:10" x14ac:dyDescent="0.25">
      <c r="A1033" s="1" t="s">
        <v>1065</v>
      </c>
      <c r="B1033" s="1" t="s">
        <v>73</v>
      </c>
      <c r="C1033" s="1" t="s">
        <v>15</v>
      </c>
      <c r="E1033">
        <v>0.56999999999999995</v>
      </c>
      <c r="F1033" s="2">
        <v>44979</v>
      </c>
      <c r="G1033" s="2" t="str">
        <f>TEXT(LayoffsData[[#This Row],[date]],"yyyy-mm")</f>
        <v>2023-02</v>
      </c>
      <c r="H1033" s="1" t="s">
        <v>57</v>
      </c>
      <c r="I1033" s="1" t="s">
        <v>17</v>
      </c>
      <c r="J1033">
        <v>194</v>
      </c>
    </row>
    <row r="1034" spans="1:10" x14ac:dyDescent="0.25">
      <c r="A1034" s="1" t="s">
        <v>1066</v>
      </c>
      <c r="B1034" s="1" t="s">
        <v>343</v>
      </c>
      <c r="C1034" s="1" t="s">
        <v>29</v>
      </c>
      <c r="D1034">
        <v>900</v>
      </c>
      <c r="E1034">
        <v>0.2</v>
      </c>
      <c r="F1034" s="2">
        <v>44886</v>
      </c>
      <c r="G1034" s="2" t="str">
        <f>TEXT(LayoffsData[[#This Row],[date]],"yyyy-mm")</f>
        <v>2022-11</v>
      </c>
      <c r="H1034" s="1" t="s">
        <v>11</v>
      </c>
      <c r="I1034" s="1" t="s">
        <v>140</v>
      </c>
      <c r="J1034">
        <v>1200</v>
      </c>
    </row>
    <row r="1035" spans="1:10" x14ac:dyDescent="0.25">
      <c r="A1035" s="1" t="s">
        <v>1067</v>
      </c>
      <c r="B1035" s="1" t="s">
        <v>14</v>
      </c>
      <c r="C1035" s="1" t="s">
        <v>172</v>
      </c>
      <c r="D1035">
        <v>100</v>
      </c>
      <c r="E1035">
        <v>0.06</v>
      </c>
      <c r="F1035" s="2">
        <v>44937</v>
      </c>
      <c r="G1035" s="2" t="str">
        <f>TEXT(LayoffsData[[#This Row],[date]],"yyyy-mm")</f>
        <v>2023-01</v>
      </c>
      <c r="H1035" s="1" t="s">
        <v>105</v>
      </c>
      <c r="I1035" s="1" t="s">
        <v>17</v>
      </c>
      <c r="J1035">
        <v>205</v>
      </c>
    </row>
    <row r="1036" spans="1:10" x14ac:dyDescent="0.25">
      <c r="A1036" s="1" t="s">
        <v>1068</v>
      </c>
      <c r="B1036" s="1" t="s">
        <v>32</v>
      </c>
      <c r="C1036" s="1" t="s">
        <v>10</v>
      </c>
      <c r="D1036">
        <v>500</v>
      </c>
      <c r="E1036">
        <v>1</v>
      </c>
      <c r="F1036" s="2">
        <v>43958</v>
      </c>
      <c r="G1036" s="2" t="str">
        <f>TEXT(LayoffsData[[#This Row],[date]],"yyyy-mm")</f>
        <v>2020-05</v>
      </c>
      <c r="H1036" s="1" t="s">
        <v>57</v>
      </c>
      <c r="I1036" s="1" t="s">
        <v>17</v>
      </c>
      <c r="J1036">
        <v>11</v>
      </c>
    </row>
    <row r="1037" spans="1:10" x14ac:dyDescent="0.25">
      <c r="A1037" s="1" t="s">
        <v>1069</v>
      </c>
      <c r="B1037" s="1" t="s">
        <v>232</v>
      </c>
      <c r="C1037" s="1" t="s">
        <v>172</v>
      </c>
      <c r="D1037">
        <v>100</v>
      </c>
      <c r="E1037">
        <v>0.12</v>
      </c>
      <c r="F1037" s="2">
        <v>44944</v>
      </c>
      <c r="G1037" s="2" t="str">
        <f>TEXT(LayoffsData[[#This Row],[date]],"yyyy-mm")</f>
        <v>2023-01</v>
      </c>
      <c r="H1037" s="1" t="s">
        <v>86</v>
      </c>
      <c r="I1037" s="1" t="s">
        <v>17</v>
      </c>
      <c r="J1037">
        <v>416</v>
      </c>
    </row>
    <row r="1038" spans="1:10" x14ac:dyDescent="0.25">
      <c r="A1038" s="1" t="s">
        <v>1070</v>
      </c>
      <c r="B1038" s="1" t="s">
        <v>1071</v>
      </c>
      <c r="C1038" s="1" t="s">
        <v>68</v>
      </c>
      <c r="D1038">
        <v>72</v>
      </c>
      <c r="E1038">
        <v>0.33</v>
      </c>
      <c r="F1038" s="2">
        <v>44882</v>
      </c>
      <c r="G1038" s="2" t="str">
        <f>TEXT(LayoffsData[[#This Row],[date]],"yyyy-mm")</f>
        <v>2022-11</v>
      </c>
      <c r="H1038" s="1" t="s">
        <v>37</v>
      </c>
      <c r="I1038" s="1" t="s">
        <v>64</v>
      </c>
      <c r="J1038">
        <v>281</v>
      </c>
    </row>
    <row r="1039" spans="1:10" x14ac:dyDescent="0.25">
      <c r="A1039" s="1" t="s">
        <v>1072</v>
      </c>
      <c r="B1039" s="1" t="s">
        <v>213</v>
      </c>
      <c r="C1039" s="1" t="s">
        <v>20</v>
      </c>
      <c r="F1039" s="2">
        <v>44876</v>
      </c>
      <c r="G1039" s="2" t="str">
        <f>TEXT(LayoffsData[[#This Row],[date]],"yyyy-mm")</f>
        <v>2022-11</v>
      </c>
      <c r="H1039" s="1" t="s">
        <v>57</v>
      </c>
      <c r="I1039" s="1" t="s">
        <v>17</v>
      </c>
    </row>
    <row r="1040" spans="1:10" x14ac:dyDescent="0.25">
      <c r="A1040" s="1" t="s">
        <v>1073</v>
      </c>
      <c r="B1040" s="1" t="s">
        <v>14</v>
      </c>
      <c r="C1040" s="1" t="s">
        <v>174</v>
      </c>
      <c r="E1040">
        <v>0.14000000000000001</v>
      </c>
      <c r="F1040" s="2">
        <v>44810</v>
      </c>
      <c r="G1040" s="2" t="str">
        <f>TEXT(LayoffsData[[#This Row],[date]],"yyyy-mm")</f>
        <v>2022-09</v>
      </c>
      <c r="H1040" s="1" t="s">
        <v>28</v>
      </c>
      <c r="I1040" s="1" t="s">
        <v>17</v>
      </c>
      <c r="J1040">
        <v>108</v>
      </c>
    </row>
    <row r="1041" spans="1:10" x14ac:dyDescent="0.25">
      <c r="A1041" s="1" t="s">
        <v>1074</v>
      </c>
      <c r="B1041" s="1" t="s">
        <v>349</v>
      </c>
      <c r="C1041" s="1" t="s">
        <v>51</v>
      </c>
      <c r="D1041">
        <v>390</v>
      </c>
      <c r="F1041" s="2">
        <v>44762</v>
      </c>
      <c r="G1041" s="2" t="str">
        <f>TEXT(LayoffsData[[#This Row],[date]],"yyyy-mm")</f>
        <v>2022-07</v>
      </c>
      <c r="H1041" s="1" t="s">
        <v>11</v>
      </c>
      <c r="I1041" s="1" t="s">
        <v>350</v>
      </c>
      <c r="J1041">
        <v>2800</v>
      </c>
    </row>
    <row r="1042" spans="1:10" x14ac:dyDescent="0.25">
      <c r="A1042" s="1" t="s">
        <v>1075</v>
      </c>
      <c r="B1042" s="1" t="s">
        <v>14</v>
      </c>
      <c r="C1042" s="1" t="s">
        <v>27</v>
      </c>
      <c r="D1042">
        <v>400</v>
      </c>
      <c r="E1042">
        <v>0.3</v>
      </c>
      <c r="F1042" s="2">
        <v>44875</v>
      </c>
      <c r="G1042" s="2" t="str">
        <f>TEXT(LayoffsData[[#This Row],[date]],"yyyy-mm")</f>
        <v>2022-11</v>
      </c>
      <c r="H1042" s="1" t="s">
        <v>37</v>
      </c>
      <c r="I1042" s="1" t="s">
        <v>17</v>
      </c>
      <c r="J1042">
        <v>1500</v>
      </c>
    </row>
    <row r="1043" spans="1:10" x14ac:dyDescent="0.25">
      <c r="A1043" s="1" t="s">
        <v>1075</v>
      </c>
      <c r="B1043" s="1" t="s">
        <v>14</v>
      </c>
      <c r="C1043" s="1" t="s">
        <v>27</v>
      </c>
      <c r="D1043">
        <v>900</v>
      </c>
      <c r="E1043">
        <v>0.3</v>
      </c>
      <c r="F1043" s="2">
        <v>43956</v>
      </c>
      <c r="G1043" s="2" t="str">
        <f>TEXT(LayoffsData[[#This Row],[date]],"yyyy-mm")</f>
        <v>2020-05</v>
      </c>
      <c r="H1043" s="1" t="s">
        <v>37</v>
      </c>
      <c r="I1043" s="1" t="s">
        <v>17</v>
      </c>
      <c r="J1043">
        <v>1500</v>
      </c>
    </row>
    <row r="1044" spans="1:10" x14ac:dyDescent="0.25">
      <c r="A1044" s="1" t="s">
        <v>1076</v>
      </c>
      <c r="B1044" s="1" t="s">
        <v>14</v>
      </c>
      <c r="C1044" s="1" t="s">
        <v>27</v>
      </c>
      <c r="D1044">
        <v>35</v>
      </c>
      <c r="E1044">
        <v>7.0000000000000007E-2</v>
      </c>
      <c r="F1044" s="2">
        <v>44874</v>
      </c>
      <c r="G1044" s="2" t="str">
        <f>TEXT(LayoffsData[[#This Row],[date]],"yyyy-mm")</f>
        <v>2022-11</v>
      </c>
      <c r="H1044" s="1" t="s">
        <v>57</v>
      </c>
      <c r="I1044" s="1" t="s">
        <v>17</v>
      </c>
      <c r="J1044">
        <v>244</v>
      </c>
    </row>
    <row r="1045" spans="1:10" x14ac:dyDescent="0.25">
      <c r="A1045" s="1" t="s">
        <v>1077</v>
      </c>
      <c r="B1045" s="1" t="s">
        <v>32</v>
      </c>
      <c r="C1045" s="1" t="s">
        <v>63</v>
      </c>
      <c r="E1045">
        <v>0.1</v>
      </c>
      <c r="F1045" s="2">
        <v>44782</v>
      </c>
      <c r="G1045" s="2" t="str">
        <f>TEXT(LayoffsData[[#This Row],[date]],"yyyy-mm")</f>
        <v>2022-08</v>
      </c>
      <c r="H1045" s="1" t="s">
        <v>11</v>
      </c>
      <c r="I1045" s="1" t="s">
        <v>17</v>
      </c>
      <c r="J1045">
        <v>166</v>
      </c>
    </row>
    <row r="1046" spans="1:10" x14ac:dyDescent="0.25">
      <c r="A1046" s="1" t="s">
        <v>1077</v>
      </c>
      <c r="B1046" s="1" t="s">
        <v>32</v>
      </c>
      <c r="C1046" s="1" t="s">
        <v>63</v>
      </c>
      <c r="D1046">
        <v>75</v>
      </c>
      <c r="E1046">
        <v>0.11</v>
      </c>
      <c r="F1046" s="2">
        <v>44930</v>
      </c>
      <c r="G1046" s="2" t="str">
        <f>TEXT(LayoffsData[[#This Row],[date]],"yyyy-mm")</f>
        <v>2023-01</v>
      </c>
      <c r="H1046" s="1" t="s">
        <v>11</v>
      </c>
      <c r="I1046" s="1" t="s">
        <v>17</v>
      </c>
      <c r="J1046">
        <v>166</v>
      </c>
    </row>
    <row r="1047" spans="1:10" x14ac:dyDescent="0.25">
      <c r="A1047" s="1" t="s">
        <v>1078</v>
      </c>
      <c r="B1047" s="1" t="s">
        <v>26</v>
      </c>
      <c r="C1047" s="1" t="s">
        <v>27</v>
      </c>
      <c r="E1047">
        <v>1</v>
      </c>
      <c r="F1047" s="2">
        <v>44987</v>
      </c>
      <c r="G1047" s="2" t="str">
        <f>TEXT(LayoffsData[[#This Row],[date]],"yyyy-mm")</f>
        <v>2023-03</v>
      </c>
      <c r="H1047" s="1" t="s">
        <v>57</v>
      </c>
      <c r="I1047" s="1" t="s">
        <v>17</v>
      </c>
    </row>
    <row r="1048" spans="1:10" x14ac:dyDescent="0.25">
      <c r="A1048" s="1" t="s">
        <v>1079</v>
      </c>
      <c r="B1048" s="1" t="s">
        <v>406</v>
      </c>
      <c r="C1048" s="1" t="s">
        <v>149</v>
      </c>
      <c r="E1048">
        <v>0.17</v>
      </c>
      <c r="F1048" s="2">
        <v>44882</v>
      </c>
      <c r="G1048" s="2" t="str">
        <f>TEXT(LayoffsData[[#This Row],[date]],"yyyy-mm")</f>
        <v>2022-11</v>
      </c>
      <c r="H1048" s="1" t="s">
        <v>28</v>
      </c>
      <c r="I1048" s="1" t="s">
        <v>17</v>
      </c>
      <c r="J1048">
        <v>188</v>
      </c>
    </row>
    <row r="1049" spans="1:10" x14ac:dyDescent="0.25">
      <c r="A1049" s="1" t="s">
        <v>1080</v>
      </c>
      <c r="B1049" s="1" t="s">
        <v>1081</v>
      </c>
      <c r="C1049" s="1" t="s">
        <v>27</v>
      </c>
      <c r="E1049">
        <v>1</v>
      </c>
      <c r="F1049" s="2">
        <v>44714</v>
      </c>
      <c r="G1049" s="2" t="str">
        <f>TEXT(LayoffsData[[#This Row],[date]],"yyyy-mm")</f>
        <v>2022-06</v>
      </c>
      <c r="H1049" s="1" t="s">
        <v>24</v>
      </c>
      <c r="I1049" s="1" t="s">
        <v>17</v>
      </c>
      <c r="J1049">
        <v>17</v>
      </c>
    </row>
    <row r="1050" spans="1:10" x14ac:dyDescent="0.25">
      <c r="A1050" s="1" t="s">
        <v>1082</v>
      </c>
      <c r="B1050" s="1" t="s">
        <v>250</v>
      </c>
      <c r="C1050" s="1" t="s">
        <v>10</v>
      </c>
      <c r="F1050" s="2">
        <v>43972</v>
      </c>
      <c r="G1050" s="2" t="str">
        <f>TEXT(LayoffsData[[#This Row],[date]],"yyyy-mm")</f>
        <v>2020-05</v>
      </c>
      <c r="H1050" s="1" t="s">
        <v>57</v>
      </c>
      <c r="I1050" s="1" t="s">
        <v>251</v>
      </c>
      <c r="J1050">
        <v>100</v>
      </c>
    </row>
    <row r="1051" spans="1:10" x14ac:dyDescent="0.25">
      <c r="A1051" s="1" t="s">
        <v>1083</v>
      </c>
      <c r="B1051" s="1" t="s">
        <v>55</v>
      </c>
      <c r="C1051" s="1" t="s">
        <v>147</v>
      </c>
      <c r="D1051">
        <v>47</v>
      </c>
      <c r="F1051" s="2">
        <v>44946</v>
      </c>
      <c r="G1051" s="2" t="str">
        <f>TEXT(LayoffsData[[#This Row],[date]],"yyyy-mm")</f>
        <v>2023-01</v>
      </c>
      <c r="H1051" s="1" t="s">
        <v>37</v>
      </c>
      <c r="I1051" s="1" t="s">
        <v>17</v>
      </c>
      <c r="J1051">
        <v>169</v>
      </c>
    </row>
    <row r="1052" spans="1:10" x14ac:dyDescent="0.25">
      <c r="A1052" s="1" t="s">
        <v>1084</v>
      </c>
      <c r="B1052" s="1" t="s">
        <v>14</v>
      </c>
      <c r="C1052" s="1" t="s">
        <v>149</v>
      </c>
      <c r="E1052">
        <v>0.23</v>
      </c>
      <c r="F1052" s="2">
        <v>44816</v>
      </c>
      <c r="G1052" s="2" t="str">
        <f>TEXT(LayoffsData[[#This Row],[date]],"yyyy-mm")</f>
        <v>2022-09</v>
      </c>
      <c r="H1052" s="1" t="s">
        <v>24</v>
      </c>
      <c r="I1052" s="1" t="s">
        <v>17</v>
      </c>
      <c r="J1052">
        <v>91</v>
      </c>
    </row>
    <row r="1053" spans="1:10" x14ac:dyDescent="0.25">
      <c r="A1053" s="1" t="s">
        <v>1085</v>
      </c>
      <c r="B1053" s="1" t="s">
        <v>14</v>
      </c>
      <c r="C1053" s="1" t="s">
        <v>376</v>
      </c>
      <c r="D1053">
        <v>240</v>
      </c>
      <c r="E1053">
        <v>0.03</v>
      </c>
      <c r="F1053" s="2">
        <v>43923</v>
      </c>
      <c r="G1053" s="2" t="str">
        <f>TEXT(LayoffsData[[#This Row],[date]],"yyyy-mm")</f>
        <v>2020-04</v>
      </c>
      <c r="H1053" s="1" t="s">
        <v>33</v>
      </c>
      <c r="I1053" s="1" t="s">
        <v>17</v>
      </c>
      <c r="J1053">
        <v>1200</v>
      </c>
    </row>
    <row r="1054" spans="1:10" x14ac:dyDescent="0.25">
      <c r="A1054" s="1" t="s">
        <v>1085</v>
      </c>
      <c r="B1054" s="1" t="s">
        <v>14</v>
      </c>
      <c r="C1054" s="1" t="s">
        <v>376</v>
      </c>
      <c r="D1054">
        <v>400</v>
      </c>
      <c r="E1054">
        <v>7.0000000000000007E-2</v>
      </c>
      <c r="F1054" s="2">
        <v>44011</v>
      </c>
      <c r="G1054" s="2" t="str">
        <f>TEXT(LayoffsData[[#This Row],[date]],"yyyy-mm")</f>
        <v>2020-06</v>
      </c>
      <c r="H1054" s="1" t="s">
        <v>16</v>
      </c>
      <c r="I1054" s="1" t="s">
        <v>17</v>
      </c>
      <c r="J1054">
        <v>1300</v>
      </c>
    </row>
    <row r="1055" spans="1:10" x14ac:dyDescent="0.25">
      <c r="A1055" s="1" t="s">
        <v>1085</v>
      </c>
      <c r="B1055" s="1" t="s">
        <v>14</v>
      </c>
      <c r="C1055" s="1" t="s">
        <v>376</v>
      </c>
      <c r="D1055">
        <v>2434</v>
      </c>
      <c r="E1055">
        <v>1</v>
      </c>
      <c r="F1055" s="2">
        <v>44348</v>
      </c>
      <c r="G1055" s="2" t="str">
        <f>TEXT(LayoffsData[[#This Row],[date]],"yyyy-mm")</f>
        <v>2021-06</v>
      </c>
      <c r="H1055" s="1" t="s">
        <v>37</v>
      </c>
      <c r="I1055" s="1" t="s">
        <v>17</v>
      </c>
      <c r="J1055">
        <v>1600</v>
      </c>
    </row>
    <row r="1056" spans="1:10" x14ac:dyDescent="0.25">
      <c r="A1056" s="1" t="s">
        <v>1086</v>
      </c>
      <c r="B1056" s="1" t="s">
        <v>35</v>
      </c>
      <c r="C1056" s="1" t="s">
        <v>10</v>
      </c>
      <c r="F1056" s="2">
        <v>44883</v>
      </c>
      <c r="G1056" s="2" t="str">
        <f>TEXT(LayoffsData[[#This Row],[date]],"yyyy-mm")</f>
        <v>2022-11</v>
      </c>
      <c r="H1056" s="1" t="s">
        <v>16</v>
      </c>
      <c r="I1056" s="1" t="s">
        <v>38</v>
      </c>
      <c r="J1056">
        <v>1600</v>
      </c>
    </row>
    <row r="1057" spans="1:10" x14ac:dyDescent="0.25">
      <c r="A1057" s="1" t="s">
        <v>1086</v>
      </c>
      <c r="B1057" s="1" t="s">
        <v>35</v>
      </c>
      <c r="C1057" s="1" t="s">
        <v>10</v>
      </c>
      <c r="D1057">
        <v>150</v>
      </c>
      <c r="F1057" s="2">
        <v>44720</v>
      </c>
      <c r="G1057" s="2" t="str">
        <f>TEXT(LayoffsData[[#This Row],[date]],"yyyy-mm")</f>
        <v>2022-06</v>
      </c>
      <c r="H1057" s="1" t="s">
        <v>16</v>
      </c>
      <c r="I1057" s="1" t="s">
        <v>38</v>
      </c>
      <c r="J1057">
        <v>1600</v>
      </c>
    </row>
    <row r="1058" spans="1:10" x14ac:dyDescent="0.25">
      <c r="A1058" s="1" t="s">
        <v>1087</v>
      </c>
      <c r="B1058" s="1" t="s">
        <v>658</v>
      </c>
      <c r="C1058" s="1" t="s">
        <v>84</v>
      </c>
      <c r="D1058">
        <v>160</v>
      </c>
      <c r="E1058">
        <v>0.08</v>
      </c>
      <c r="F1058" s="2">
        <v>43950</v>
      </c>
      <c r="G1058" s="2" t="str">
        <f>TEXT(LayoffsData[[#This Row],[date]],"yyyy-mm")</f>
        <v>2020-04</v>
      </c>
      <c r="H1058" s="1" t="s">
        <v>57</v>
      </c>
      <c r="I1058" s="1" t="s">
        <v>17</v>
      </c>
      <c r="J1058">
        <v>229</v>
      </c>
    </row>
    <row r="1059" spans="1:10" x14ac:dyDescent="0.25">
      <c r="A1059" s="1" t="s">
        <v>1088</v>
      </c>
      <c r="B1059" s="1" t="s">
        <v>137</v>
      </c>
      <c r="C1059" s="1" t="s">
        <v>147</v>
      </c>
      <c r="E1059">
        <v>0.35</v>
      </c>
      <c r="F1059" s="2">
        <v>43921</v>
      </c>
      <c r="G1059" s="2" t="str">
        <f>TEXT(LayoffsData[[#This Row],[date]],"yyyy-mm")</f>
        <v>2020-03</v>
      </c>
      <c r="H1059" s="1" t="s">
        <v>21</v>
      </c>
      <c r="I1059" s="1" t="s">
        <v>17</v>
      </c>
      <c r="J1059">
        <v>8</v>
      </c>
    </row>
    <row r="1060" spans="1:10" x14ac:dyDescent="0.25">
      <c r="A1060" s="1" t="s">
        <v>1089</v>
      </c>
      <c r="B1060" s="1" t="s">
        <v>55</v>
      </c>
      <c r="C1060" s="1" t="s">
        <v>174</v>
      </c>
      <c r="F1060" s="2">
        <v>44722</v>
      </c>
      <c r="G1060" s="2" t="str">
        <f>TEXT(LayoffsData[[#This Row],[date]],"yyyy-mm")</f>
        <v>2022-06</v>
      </c>
      <c r="H1060" s="1" t="s">
        <v>37</v>
      </c>
      <c r="I1060" s="1" t="s">
        <v>17</v>
      </c>
      <c r="J1060">
        <v>6</v>
      </c>
    </row>
    <row r="1061" spans="1:10" x14ac:dyDescent="0.25">
      <c r="A1061" s="1" t="s">
        <v>1090</v>
      </c>
      <c r="B1061" s="1" t="s">
        <v>14</v>
      </c>
      <c r="C1061" s="1" t="s">
        <v>108</v>
      </c>
      <c r="D1061">
        <v>349</v>
      </c>
      <c r="E1061">
        <v>0.18</v>
      </c>
      <c r="F1061" s="2">
        <v>43921</v>
      </c>
      <c r="G1061" s="2" t="str">
        <f>TEXT(LayoffsData[[#This Row],[date]],"yyyy-mm")</f>
        <v>2020-03</v>
      </c>
      <c r="H1061" s="1" t="s">
        <v>33</v>
      </c>
      <c r="I1061" s="1" t="s">
        <v>17</v>
      </c>
      <c r="J1061">
        <v>227</v>
      </c>
    </row>
    <row r="1062" spans="1:10" x14ac:dyDescent="0.25">
      <c r="A1062" s="1" t="s">
        <v>1091</v>
      </c>
      <c r="B1062" s="1" t="s">
        <v>35</v>
      </c>
      <c r="C1062" s="1" t="s">
        <v>165</v>
      </c>
      <c r="D1062">
        <v>18</v>
      </c>
      <c r="E1062">
        <v>0.16</v>
      </c>
      <c r="F1062" s="2">
        <v>43929</v>
      </c>
      <c r="G1062" s="2" t="str">
        <f>TEXT(LayoffsData[[#This Row],[date]],"yyyy-mm")</f>
        <v>2020-04</v>
      </c>
      <c r="H1062" s="1" t="s">
        <v>37</v>
      </c>
      <c r="I1062" s="1" t="s">
        <v>38</v>
      </c>
      <c r="J1062">
        <v>23</v>
      </c>
    </row>
    <row r="1063" spans="1:10" x14ac:dyDescent="0.25">
      <c r="A1063" s="1" t="s">
        <v>1092</v>
      </c>
      <c r="B1063" s="1" t="s">
        <v>137</v>
      </c>
      <c r="C1063" s="1" t="s">
        <v>48</v>
      </c>
      <c r="D1063">
        <v>120</v>
      </c>
      <c r="E1063">
        <v>0.1</v>
      </c>
      <c r="F1063" s="2">
        <v>44855</v>
      </c>
      <c r="G1063" s="2" t="str">
        <f>TEXT(LayoffsData[[#This Row],[date]],"yyyy-mm")</f>
        <v>2022-10</v>
      </c>
      <c r="H1063" s="1" t="s">
        <v>105</v>
      </c>
      <c r="I1063" s="1" t="s">
        <v>17</v>
      </c>
      <c r="J1063">
        <v>138</v>
      </c>
    </row>
    <row r="1064" spans="1:10" x14ac:dyDescent="0.25">
      <c r="A1064" s="1" t="s">
        <v>1093</v>
      </c>
      <c r="B1064" s="1" t="s">
        <v>14</v>
      </c>
      <c r="C1064" s="1" t="s">
        <v>174</v>
      </c>
      <c r="D1064">
        <v>39</v>
      </c>
      <c r="E1064">
        <v>7.0000000000000007E-2</v>
      </c>
      <c r="F1064" s="2">
        <v>44756</v>
      </c>
      <c r="G1064" s="2" t="str">
        <f>TEXT(LayoffsData[[#This Row],[date]],"yyyy-mm")</f>
        <v>2022-07</v>
      </c>
      <c r="H1064" s="1" t="s">
        <v>16</v>
      </c>
      <c r="I1064" s="1" t="s">
        <v>17</v>
      </c>
      <c r="J1064">
        <v>240</v>
      </c>
    </row>
    <row r="1065" spans="1:10" x14ac:dyDescent="0.25">
      <c r="A1065" s="1" t="s">
        <v>1094</v>
      </c>
      <c r="B1065" s="1" t="s">
        <v>32</v>
      </c>
      <c r="C1065" s="1" t="s">
        <v>68</v>
      </c>
      <c r="D1065">
        <v>25</v>
      </c>
      <c r="E1065">
        <v>0.18</v>
      </c>
      <c r="F1065" s="2">
        <v>43964</v>
      </c>
      <c r="G1065" s="2" t="str">
        <f>TEXT(LayoffsData[[#This Row],[date]],"yyyy-mm")</f>
        <v>2020-05</v>
      </c>
      <c r="H1065" s="1" t="s">
        <v>37</v>
      </c>
      <c r="I1065" s="1" t="s">
        <v>17</v>
      </c>
      <c r="J1065">
        <v>10</v>
      </c>
    </row>
    <row r="1066" spans="1:10" x14ac:dyDescent="0.25">
      <c r="A1066" s="1" t="s">
        <v>1095</v>
      </c>
      <c r="B1066" s="1" t="s">
        <v>44</v>
      </c>
      <c r="C1066" s="1" t="s">
        <v>149</v>
      </c>
      <c r="D1066">
        <v>8</v>
      </c>
      <c r="E1066">
        <v>0.28000000000000003</v>
      </c>
      <c r="F1066" s="2">
        <v>44977</v>
      </c>
      <c r="G1066" s="2" t="str">
        <f>TEXT(LayoffsData[[#This Row],[date]],"yyyy-mm")</f>
        <v>2023-02</v>
      </c>
      <c r="H1066" s="1" t="s">
        <v>131</v>
      </c>
      <c r="I1066" s="1" t="s">
        <v>46</v>
      </c>
      <c r="J1066">
        <v>10</v>
      </c>
    </row>
    <row r="1067" spans="1:10" x14ac:dyDescent="0.25">
      <c r="A1067" s="1" t="s">
        <v>1096</v>
      </c>
      <c r="B1067" s="1" t="s">
        <v>14</v>
      </c>
      <c r="C1067" s="1" t="s">
        <v>113</v>
      </c>
      <c r="E1067">
        <v>1</v>
      </c>
      <c r="F1067" s="2">
        <v>44881</v>
      </c>
      <c r="G1067" s="2" t="str">
        <f>TEXT(LayoffsData[[#This Row],[date]],"yyyy-mm")</f>
        <v>2022-11</v>
      </c>
      <c r="H1067" s="1" t="s">
        <v>21</v>
      </c>
      <c r="I1067" s="1" t="s">
        <v>17</v>
      </c>
      <c r="J1067">
        <v>21</v>
      </c>
    </row>
    <row r="1068" spans="1:10" x14ac:dyDescent="0.25">
      <c r="A1068" s="1" t="s">
        <v>1097</v>
      </c>
      <c r="B1068" s="1" t="s">
        <v>244</v>
      </c>
      <c r="C1068" s="1" t="s">
        <v>51</v>
      </c>
      <c r="D1068">
        <v>93</v>
      </c>
      <c r="E1068">
        <v>0.1</v>
      </c>
      <c r="F1068" s="2">
        <v>44886</v>
      </c>
      <c r="G1068" s="2" t="str">
        <f>TEXT(LayoffsData[[#This Row],[date]],"yyyy-mm")</f>
        <v>2022-11</v>
      </c>
      <c r="H1068" s="1" t="s">
        <v>28</v>
      </c>
      <c r="I1068" s="1" t="s">
        <v>17</v>
      </c>
      <c r="J1068">
        <v>804</v>
      </c>
    </row>
    <row r="1069" spans="1:10" x14ac:dyDescent="0.25">
      <c r="A1069" s="1" t="s">
        <v>1097</v>
      </c>
      <c r="B1069" s="1" t="s">
        <v>32</v>
      </c>
      <c r="C1069" s="1" t="s">
        <v>51</v>
      </c>
      <c r="D1069">
        <v>124</v>
      </c>
      <c r="F1069" s="2">
        <v>43950</v>
      </c>
      <c r="G1069" s="2" t="str">
        <f>TEXT(LayoffsData[[#This Row],[date]],"yyyy-mm")</f>
        <v>2020-04</v>
      </c>
      <c r="H1069" s="1" t="s">
        <v>24</v>
      </c>
      <c r="I1069" s="1" t="s">
        <v>17</v>
      </c>
      <c r="J1069">
        <v>89</v>
      </c>
    </row>
    <row r="1070" spans="1:10" x14ac:dyDescent="0.25">
      <c r="A1070" s="1" t="s">
        <v>1098</v>
      </c>
      <c r="B1070" s="1" t="s">
        <v>14</v>
      </c>
      <c r="C1070" s="1" t="s">
        <v>111</v>
      </c>
      <c r="D1070">
        <v>70</v>
      </c>
      <c r="F1070" s="2">
        <v>43985</v>
      </c>
      <c r="G1070" s="2" t="str">
        <f>TEXT(LayoffsData[[#This Row],[date]],"yyyy-mm")</f>
        <v>2020-06</v>
      </c>
      <c r="H1070" s="1" t="s">
        <v>37</v>
      </c>
      <c r="I1070" s="1" t="s">
        <v>17</v>
      </c>
      <c r="J1070">
        <v>1</v>
      </c>
    </row>
    <row r="1071" spans="1:10" x14ac:dyDescent="0.25">
      <c r="A1071" s="1" t="s">
        <v>1098</v>
      </c>
      <c r="B1071" s="1" t="s">
        <v>14</v>
      </c>
      <c r="C1071" s="1" t="s">
        <v>111</v>
      </c>
      <c r="D1071">
        <v>100</v>
      </c>
      <c r="E1071">
        <v>1</v>
      </c>
      <c r="F1071" s="2">
        <v>44825</v>
      </c>
      <c r="G1071" s="2" t="str">
        <f>TEXT(LayoffsData[[#This Row],[date]],"yyyy-mm")</f>
        <v>2022-09</v>
      </c>
      <c r="H1071" s="1" t="s">
        <v>37</v>
      </c>
      <c r="I1071" s="1" t="s">
        <v>17</v>
      </c>
      <c r="J1071">
        <v>1</v>
      </c>
    </row>
    <row r="1072" spans="1:10" x14ac:dyDescent="0.25">
      <c r="A1072" s="1" t="s">
        <v>1099</v>
      </c>
      <c r="B1072" s="1" t="s">
        <v>14</v>
      </c>
      <c r="C1072" s="1" t="s">
        <v>29</v>
      </c>
      <c r="D1072">
        <v>40</v>
      </c>
      <c r="F1072" s="2">
        <v>44719</v>
      </c>
      <c r="G1072" s="2" t="str">
        <f>TEXT(LayoffsData[[#This Row],[date]],"yyyy-mm")</f>
        <v>2022-06</v>
      </c>
      <c r="H1072" s="1" t="s">
        <v>37</v>
      </c>
      <c r="I1072" s="1" t="s">
        <v>17</v>
      </c>
      <c r="J1072">
        <v>11</v>
      </c>
    </row>
    <row r="1073" spans="1:10" x14ac:dyDescent="0.25">
      <c r="A1073" s="1" t="s">
        <v>1100</v>
      </c>
      <c r="B1073" s="1" t="s">
        <v>62</v>
      </c>
      <c r="C1073" s="1" t="s">
        <v>68</v>
      </c>
      <c r="D1073">
        <v>100</v>
      </c>
      <c r="F1073" s="2">
        <v>44826</v>
      </c>
      <c r="G1073" s="2" t="str">
        <f>TEXT(LayoffsData[[#This Row],[date]],"yyyy-mm")</f>
        <v>2022-09</v>
      </c>
      <c r="H1073" s="1" t="s">
        <v>37</v>
      </c>
      <c r="I1073" s="1" t="s">
        <v>64</v>
      </c>
      <c r="J1073">
        <v>3700</v>
      </c>
    </row>
    <row r="1074" spans="1:10" x14ac:dyDescent="0.25">
      <c r="A1074" s="1" t="s">
        <v>1100</v>
      </c>
      <c r="B1074" s="1" t="s">
        <v>62</v>
      </c>
      <c r="C1074" s="1" t="s">
        <v>68</v>
      </c>
      <c r="D1074">
        <v>700</v>
      </c>
      <c r="E1074">
        <v>0.1</v>
      </c>
      <c r="F1074" s="2">
        <v>44704</v>
      </c>
      <c r="G1074" s="2" t="str">
        <f>TEXT(LayoffsData[[#This Row],[date]],"yyyy-mm")</f>
        <v>2022-05</v>
      </c>
      <c r="H1074" s="1" t="s">
        <v>37</v>
      </c>
      <c r="I1074" s="1" t="s">
        <v>64</v>
      </c>
      <c r="J1074">
        <v>3700</v>
      </c>
    </row>
    <row r="1075" spans="1:10" x14ac:dyDescent="0.25">
      <c r="A1075" s="1" t="s">
        <v>1101</v>
      </c>
      <c r="B1075" s="1" t="s">
        <v>153</v>
      </c>
      <c r="C1075" s="1" t="s">
        <v>84</v>
      </c>
      <c r="D1075">
        <v>300</v>
      </c>
      <c r="E1075">
        <v>0.15</v>
      </c>
      <c r="F1075" s="2">
        <v>43941</v>
      </c>
      <c r="G1075" s="2" t="str">
        <f>TEXT(LayoffsData[[#This Row],[date]],"yyyy-mm")</f>
        <v>2020-04</v>
      </c>
      <c r="H1075" s="1" t="s">
        <v>33</v>
      </c>
      <c r="I1075" s="1" t="s">
        <v>153</v>
      </c>
      <c r="J1075">
        <v>521</v>
      </c>
    </row>
    <row r="1076" spans="1:10" x14ac:dyDescent="0.25">
      <c r="A1076" s="1" t="s">
        <v>1102</v>
      </c>
      <c r="B1076" s="1" t="s">
        <v>32</v>
      </c>
      <c r="C1076" s="1" t="s">
        <v>174</v>
      </c>
      <c r="D1076">
        <v>115</v>
      </c>
      <c r="E1076">
        <v>0.46</v>
      </c>
      <c r="F1076" s="2">
        <v>44635</v>
      </c>
      <c r="G1076" s="2" t="str">
        <f>TEXT(LayoffsData[[#This Row],[date]],"yyyy-mm")</f>
        <v>2022-03</v>
      </c>
      <c r="H1076" s="1" t="s">
        <v>37</v>
      </c>
      <c r="I1076" s="1" t="s">
        <v>17</v>
      </c>
      <c r="J1076">
        <v>654</v>
      </c>
    </row>
    <row r="1077" spans="1:10" x14ac:dyDescent="0.25">
      <c r="A1077" s="1" t="s">
        <v>1103</v>
      </c>
      <c r="B1077" s="1" t="s">
        <v>32</v>
      </c>
      <c r="C1077" s="1" t="s">
        <v>174</v>
      </c>
      <c r="D1077">
        <v>20</v>
      </c>
      <c r="E1077">
        <v>0.08</v>
      </c>
      <c r="F1077" s="2">
        <v>44133</v>
      </c>
      <c r="G1077" s="2" t="str">
        <f>TEXT(LayoffsData[[#This Row],[date]],"yyyy-mm")</f>
        <v>2020-10</v>
      </c>
      <c r="H1077" s="1" t="s">
        <v>28</v>
      </c>
      <c r="I1077" s="1" t="s">
        <v>17</v>
      </c>
      <c r="J1077">
        <v>560</v>
      </c>
    </row>
    <row r="1078" spans="1:10" x14ac:dyDescent="0.25">
      <c r="A1078" s="1" t="s">
        <v>1103</v>
      </c>
      <c r="B1078" s="1" t="s">
        <v>32</v>
      </c>
      <c r="C1078" s="1" t="s">
        <v>174</v>
      </c>
      <c r="D1078">
        <v>127</v>
      </c>
      <c r="E1078">
        <v>0.3</v>
      </c>
      <c r="F1078" s="2">
        <v>43917</v>
      </c>
      <c r="G1078" s="2" t="str">
        <f>TEXT(LayoffsData[[#This Row],[date]],"yyyy-mm")</f>
        <v>2020-03</v>
      </c>
      <c r="H1078" s="1" t="s">
        <v>28</v>
      </c>
      <c r="I1078" s="1" t="s">
        <v>17</v>
      </c>
      <c r="J1078">
        <v>560</v>
      </c>
    </row>
    <row r="1079" spans="1:10" x14ac:dyDescent="0.25">
      <c r="A1079" s="1" t="s">
        <v>1104</v>
      </c>
      <c r="B1079" s="1" t="s">
        <v>14</v>
      </c>
      <c r="C1079" s="1" t="s">
        <v>10</v>
      </c>
      <c r="D1079">
        <v>15</v>
      </c>
      <c r="E1079">
        <v>0.2</v>
      </c>
      <c r="F1079" s="2">
        <v>43936</v>
      </c>
      <c r="G1079" s="2" t="str">
        <f>TEXT(LayoffsData[[#This Row],[date]],"yyyy-mm")</f>
        <v>2020-04</v>
      </c>
      <c r="H1079" s="1" t="s">
        <v>21</v>
      </c>
      <c r="I1079" s="1" t="s">
        <v>17</v>
      </c>
      <c r="J1079">
        <v>40</v>
      </c>
    </row>
    <row r="1080" spans="1:10" x14ac:dyDescent="0.25">
      <c r="A1080" s="1" t="s">
        <v>1105</v>
      </c>
      <c r="B1080" s="1" t="s">
        <v>259</v>
      </c>
      <c r="C1080" s="1" t="s">
        <v>29</v>
      </c>
      <c r="F1080" s="2">
        <v>44796</v>
      </c>
      <c r="G1080" s="2" t="str">
        <f>TEXT(LayoffsData[[#This Row],[date]],"yyyy-mm")</f>
        <v>2022-08</v>
      </c>
      <c r="H1080" s="1" t="s">
        <v>11</v>
      </c>
      <c r="I1080" s="1" t="s">
        <v>46</v>
      </c>
    </row>
    <row r="1081" spans="1:10" x14ac:dyDescent="0.25">
      <c r="A1081" s="1" t="s">
        <v>1106</v>
      </c>
      <c r="B1081" s="1" t="s">
        <v>9</v>
      </c>
      <c r="C1081" s="1" t="s">
        <v>68</v>
      </c>
      <c r="E1081">
        <v>0.14000000000000001</v>
      </c>
      <c r="F1081" s="2">
        <v>44965</v>
      </c>
      <c r="G1081" s="2" t="str">
        <f>TEXT(LayoffsData[[#This Row],[date]],"yyyy-mm")</f>
        <v>2023-02</v>
      </c>
      <c r="H1081" s="1" t="s">
        <v>33</v>
      </c>
      <c r="I1081" s="1" t="s">
        <v>12</v>
      </c>
      <c r="J1081">
        <v>278</v>
      </c>
    </row>
    <row r="1082" spans="1:10" x14ac:dyDescent="0.25">
      <c r="A1082" s="1" t="s">
        <v>1106</v>
      </c>
      <c r="B1082" s="1" t="s">
        <v>9</v>
      </c>
      <c r="C1082" s="1" t="s">
        <v>68</v>
      </c>
      <c r="D1082">
        <v>15</v>
      </c>
      <c r="E1082">
        <v>0.04</v>
      </c>
      <c r="F1082" s="2">
        <v>44882</v>
      </c>
      <c r="G1082" s="2" t="str">
        <f>TEXT(LayoffsData[[#This Row],[date]],"yyyy-mm")</f>
        <v>2022-11</v>
      </c>
      <c r="H1082" s="1" t="s">
        <v>33</v>
      </c>
      <c r="I1082" s="1" t="s">
        <v>12</v>
      </c>
      <c r="J1082">
        <v>278</v>
      </c>
    </row>
    <row r="1083" spans="1:10" x14ac:dyDescent="0.25">
      <c r="A1083" s="1" t="s">
        <v>1107</v>
      </c>
      <c r="B1083" s="1" t="s">
        <v>200</v>
      </c>
      <c r="C1083" s="1" t="s">
        <v>36</v>
      </c>
      <c r="D1083">
        <v>16</v>
      </c>
      <c r="E1083">
        <v>0.14000000000000001</v>
      </c>
      <c r="F1083" s="2">
        <v>44901</v>
      </c>
      <c r="G1083" s="2" t="str">
        <f>TEXT(LayoffsData[[#This Row],[date]],"yyyy-mm")</f>
        <v>2022-12</v>
      </c>
      <c r="H1083" s="1" t="s">
        <v>37</v>
      </c>
      <c r="I1083" s="1" t="s">
        <v>201</v>
      </c>
    </row>
    <row r="1084" spans="1:10" x14ac:dyDescent="0.25">
      <c r="A1084" s="1" t="s">
        <v>1108</v>
      </c>
      <c r="B1084" s="1" t="s">
        <v>120</v>
      </c>
      <c r="C1084" s="1" t="s">
        <v>68</v>
      </c>
      <c r="D1084">
        <v>70</v>
      </c>
      <c r="E1084">
        <v>0.08</v>
      </c>
      <c r="F1084" s="2">
        <v>44869</v>
      </c>
      <c r="G1084" s="2" t="str">
        <f>TEXT(LayoffsData[[#This Row],[date]],"yyyy-mm")</f>
        <v>2022-11</v>
      </c>
      <c r="H1084" s="1" t="s">
        <v>37</v>
      </c>
      <c r="I1084" s="1" t="s">
        <v>121</v>
      </c>
      <c r="J1084">
        <v>180</v>
      </c>
    </row>
    <row r="1085" spans="1:10" x14ac:dyDescent="0.25">
      <c r="A1085" s="1" t="s">
        <v>1109</v>
      </c>
      <c r="B1085" s="1" t="s">
        <v>14</v>
      </c>
      <c r="C1085" s="1" t="s">
        <v>15</v>
      </c>
      <c r="D1085">
        <v>23</v>
      </c>
      <c r="E1085">
        <v>0.09</v>
      </c>
      <c r="F1085" s="2">
        <v>43941</v>
      </c>
      <c r="G1085" s="2" t="str">
        <f>TEXT(LayoffsData[[#This Row],[date]],"yyyy-mm")</f>
        <v>2020-04</v>
      </c>
      <c r="H1085" s="1" t="s">
        <v>28</v>
      </c>
      <c r="I1085" s="1" t="s">
        <v>17</v>
      </c>
      <c r="J1085">
        <v>50</v>
      </c>
    </row>
    <row r="1086" spans="1:10" x14ac:dyDescent="0.25">
      <c r="A1086" s="1" t="s">
        <v>1109</v>
      </c>
      <c r="B1086" s="1" t="s">
        <v>14</v>
      </c>
      <c r="C1086" s="1" t="s">
        <v>15</v>
      </c>
      <c r="D1086">
        <v>78</v>
      </c>
      <c r="E1086">
        <v>0.09</v>
      </c>
      <c r="F1086" s="2">
        <v>44908</v>
      </c>
      <c r="G1086" s="2" t="str">
        <f>TEXT(LayoffsData[[#This Row],[date]],"yyyy-mm")</f>
        <v>2022-12</v>
      </c>
      <c r="H1086" s="1" t="s">
        <v>16</v>
      </c>
      <c r="I1086" s="1" t="s">
        <v>17</v>
      </c>
      <c r="J1086">
        <v>514</v>
      </c>
    </row>
    <row r="1087" spans="1:10" x14ac:dyDescent="0.25">
      <c r="A1087" s="1" t="s">
        <v>1110</v>
      </c>
      <c r="B1087" s="1" t="s">
        <v>315</v>
      </c>
      <c r="C1087" s="1" t="s">
        <v>68</v>
      </c>
      <c r="D1087">
        <v>180</v>
      </c>
      <c r="F1087" s="2">
        <v>44827</v>
      </c>
      <c r="G1087" s="2" t="str">
        <f>TEXT(LayoffsData[[#This Row],[date]],"yyyy-mm")</f>
        <v>2022-09</v>
      </c>
      <c r="H1087" s="1" t="s">
        <v>16</v>
      </c>
      <c r="I1087" s="1" t="s">
        <v>17</v>
      </c>
      <c r="J1087">
        <v>706</v>
      </c>
    </row>
    <row r="1088" spans="1:10" x14ac:dyDescent="0.25">
      <c r="A1088" s="1" t="s">
        <v>1111</v>
      </c>
      <c r="B1088" s="1" t="s">
        <v>14</v>
      </c>
      <c r="C1088" s="1" t="s">
        <v>63</v>
      </c>
      <c r="D1088">
        <v>12</v>
      </c>
      <c r="F1088" s="2">
        <v>44013</v>
      </c>
      <c r="G1088" s="2" t="str">
        <f>TEXT(LayoffsData[[#This Row],[date]],"yyyy-mm")</f>
        <v>2020-07</v>
      </c>
      <c r="H1088" s="1" t="s">
        <v>28</v>
      </c>
      <c r="I1088" s="1" t="s">
        <v>17</v>
      </c>
      <c r="J1088">
        <v>19</v>
      </c>
    </row>
    <row r="1089" spans="1:10" x14ac:dyDescent="0.25">
      <c r="A1089" s="1" t="s">
        <v>1112</v>
      </c>
      <c r="B1089" s="1" t="s">
        <v>79</v>
      </c>
      <c r="C1089" s="1" t="s">
        <v>68</v>
      </c>
      <c r="D1089">
        <v>50</v>
      </c>
      <c r="E1089">
        <v>0.25</v>
      </c>
      <c r="F1089" s="2">
        <v>44706</v>
      </c>
      <c r="G1089" s="2" t="str">
        <f>TEXT(LayoffsData[[#This Row],[date]],"yyyy-mm")</f>
        <v>2022-05</v>
      </c>
      <c r="H1089" s="1" t="s">
        <v>24</v>
      </c>
      <c r="I1089" s="1" t="s">
        <v>80</v>
      </c>
      <c r="J1089">
        <v>53</v>
      </c>
    </row>
    <row r="1090" spans="1:10" x14ac:dyDescent="0.25">
      <c r="A1090" s="1" t="s">
        <v>1113</v>
      </c>
      <c r="B1090" s="1" t="s">
        <v>293</v>
      </c>
      <c r="C1090" s="1" t="s">
        <v>27</v>
      </c>
      <c r="D1090">
        <v>40</v>
      </c>
      <c r="F1090" s="2">
        <v>44804</v>
      </c>
      <c r="G1090" s="2" t="str">
        <f>TEXT(LayoffsData[[#This Row],[date]],"yyyy-mm")</f>
        <v>2022-08</v>
      </c>
      <c r="H1090" s="1" t="s">
        <v>24</v>
      </c>
      <c r="I1090" s="1" t="s">
        <v>69</v>
      </c>
      <c r="J1090">
        <v>44</v>
      </c>
    </row>
    <row r="1091" spans="1:10" x14ac:dyDescent="0.25">
      <c r="A1091" s="1" t="s">
        <v>1114</v>
      </c>
      <c r="B1091" s="1" t="s">
        <v>14</v>
      </c>
      <c r="C1091" s="1" t="s">
        <v>36</v>
      </c>
      <c r="D1091">
        <v>1100</v>
      </c>
      <c r="E1091">
        <v>0.3</v>
      </c>
      <c r="F1091" s="2">
        <v>44895</v>
      </c>
      <c r="G1091" s="2" t="str">
        <f>TEXT(LayoffsData[[#This Row],[date]],"yyyy-mm")</f>
        <v>2022-11</v>
      </c>
      <c r="H1091" s="1" t="s">
        <v>37</v>
      </c>
      <c r="I1091" s="1" t="s">
        <v>17</v>
      </c>
      <c r="J1091">
        <v>134</v>
      </c>
    </row>
    <row r="1092" spans="1:10" x14ac:dyDescent="0.25">
      <c r="A1092" s="1" t="s">
        <v>1115</v>
      </c>
      <c r="B1092" s="1" t="s">
        <v>62</v>
      </c>
      <c r="C1092" s="1" t="s">
        <v>15</v>
      </c>
      <c r="D1092">
        <v>100</v>
      </c>
      <c r="E1092">
        <v>0.1</v>
      </c>
      <c r="F1092" s="2">
        <v>44698</v>
      </c>
      <c r="G1092" s="2" t="str">
        <f>TEXT(LayoffsData[[#This Row],[date]],"yyyy-mm")</f>
        <v>2022-05</v>
      </c>
      <c r="H1092" s="1" t="s">
        <v>33</v>
      </c>
      <c r="I1092" s="1" t="s">
        <v>64</v>
      </c>
      <c r="J1092">
        <v>568</v>
      </c>
    </row>
    <row r="1093" spans="1:10" x14ac:dyDescent="0.25">
      <c r="A1093" s="1" t="s">
        <v>1115</v>
      </c>
      <c r="B1093" s="1" t="s">
        <v>62</v>
      </c>
      <c r="C1093" s="1" t="s">
        <v>15</v>
      </c>
      <c r="D1093">
        <v>300</v>
      </c>
      <c r="E1093">
        <v>0.1</v>
      </c>
      <c r="F1093" s="2">
        <v>44865</v>
      </c>
      <c r="G1093" s="2" t="str">
        <f>TEXT(LayoffsData[[#This Row],[date]],"yyyy-mm")</f>
        <v>2022-10</v>
      </c>
      <c r="H1093" s="1" t="s">
        <v>33</v>
      </c>
      <c r="I1093" s="1" t="s">
        <v>64</v>
      </c>
      <c r="J1093">
        <v>568</v>
      </c>
    </row>
    <row r="1094" spans="1:10" x14ac:dyDescent="0.25">
      <c r="A1094" s="1" t="s">
        <v>1116</v>
      </c>
      <c r="B1094" s="1" t="s">
        <v>343</v>
      </c>
      <c r="C1094" s="1" t="s">
        <v>68</v>
      </c>
      <c r="D1094">
        <v>23</v>
      </c>
      <c r="E1094">
        <v>0.05</v>
      </c>
      <c r="F1094" s="2">
        <v>44806</v>
      </c>
      <c r="G1094" s="2" t="str">
        <f>TEXT(LayoffsData[[#This Row],[date]],"yyyy-mm")</f>
        <v>2022-09</v>
      </c>
      <c r="H1094" s="1" t="s">
        <v>24</v>
      </c>
      <c r="I1094" s="1" t="s">
        <v>140</v>
      </c>
      <c r="J1094">
        <v>91</v>
      </c>
    </row>
    <row r="1095" spans="1:10" x14ac:dyDescent="0.25">
      <c r="A1095" s="1" t="s">
        <v>1117</v>
      </c>
      <c r="B1095" s="1" t="s">
        <v>1118</v>
      </c>
      <c r="C1095" s="1" t="s">
        <v>68</v>
      </c>
      <c r="D1095">
        <v>90</v>
      </c>
      <c r="E1095">
        <v>0.3</v>
      </c>
      <c r="F1095" s="2">
        <v>43941</v>
      </c>
      <c r="G1095" s="2" t="str">
        <f>TEXT(LayoffsData[[#This Row],[date]],"yyyy-mm")</f>
        <v>2020-04</v>
      </c>
      <c r="H1095" s="1" t="s">
        <v>24</v>
      </c>
      <c r="I1095" s="1" t="s">
        <v>316</v>
      </c>
      <c r="J1095">
        <v>38</v>
      </c>
    </row>
    <row r="1096" spans="1:10" x14ac:dyDescent="0.25">
      <c r="A1096" s="1" t="s">
        <v>1119</v>
      </c>
      <c r="B1096" s="1" t="s">
        <v>522</v>
      </c>
      <c r="C1096" s="1" t="s">
        <v>51</v>
      </c>
      <c r="E1096">
        <v>1</v>
      </c>
      <c r="F1096" s="2">
        <v>44735</v>
      </c>
      <c r="G1096" s="2" t="str">
        <f>TEXT(LayoffsData[[#This Row],[date]],"yyyy-mm")</f>
        <v>2022-06</v>
      </c>
      <c r="H1096" s="1" t="s">
        <v>131</v>
      </c>
      <c r="I1096" s="1" t="s">
        <v>523</v>
      </c>
      <c r="J1096">
        <v>1</v>
      </c>
    </row>
    <row r="1097" spans="1:10" x14ac:dyDescent="0.25">
      <c r="A1097" s="1" t="s">
        <v>1120</v>
      </c>
      <c r="B1097" s="1" t="s">
        <v>73</v>
      </c>
      <c r="C1097" s="1" t="s">
        <v>165</v>
      </c>
      <c r="F1097" s="2">
        <v>44069</v>
      </c>
      <c r="G1097" s="2" t="str">
        <f>TEXT(LayoffsData[[#This Row],[date]],"yyyy-mm")</f>
        <v>2020-08</v>
      </c>
      <c r="H1097" s="1" t="s">
        <v>57</v>
      </c>
      <c r="I1097" s="1" t="s">
        <v>17</v>
      </c>
    </row>
    <row r="1098" spans="1:10" x14ac:dyDescent="0.25">
      <c r="A1098" s="1" t="s">
        <v>1121</v>
      </c>
      <c r="B1098" s="1" t="s">
        <v>73</v>
      </c>
      <c r="C1098" s="1" t="s">
        <v>15</v>
      </c>
      <c r="D1098">
        <v>70</v>
      </c>
      <c r="F1098" s="2">
        <v>44962</v>
      </c>
      <c r="G1098" s="2" t="str">
        <f>TEXT(LayoffsData[[#This Row],[date]],"yyyy-mm")</f>
        <v>2023-02</v>
      </c>
      <c r="H1098" s="1" t="s">
        <v>37</v>
      </c>
      <c r="I1098" s="1" t="s">
        <v>17</v>
      </c>
      <c r="J1098">
        <v>183</v>
      </c>
    </row>
    <row r="1099" spans="1:10" x14ac:dyDescent="0.25">
      <c r="A1099" s="1" t="s">
        <v>1122</v>
      </c>
      <c r="B1099" s="1" t="s">
        <v>14</v>
      </c>
      <c r="C1099" s="1" t="s">
        <v>74</v>
      </c>
      <c r="D1099">
        <v>36</v>
      </c>
      <c r="F1099" s="2">
        <v>44781</v>
      </c>
      <c r="G1099" s="2" t="str">
        <f>TEXT(LayoffsData[[#This Row],[date]],"yyyy-mm")</f>
        <v>2022-08</v>
      </c>
      <c r="H1099" s="1" t="s">
        <v>33</v>
      </c>
      <c r="I1099" s="1" t="s">
        <v>17</v>
      </c>
      <c r="J1099">
        <v>188</v>
      </c>
    </row>
    <row r="1100" spans="1:10" x14ac:dyDescent="0.25">
      <c r="A1100" s="1" t="s">
        <v>1123</v>
      </c>
      <c r="B1100" s="1" t="s">
        <v>115</v>
      </c>
      <c r="C1100" s="1" t="s">
        <v>41</v>
      </c>
      <c r="D1100">
        <v>40</v>
      </c>
      <c r="F1100" s="2">
        <v>43938</v>
      </c>
      <c r="G1100" s="2" t="str">
        <f>TEXT(LayoffsData[[#This Row],[date]],"yyyy-mm")</f>
        <v>2020-04</v>
      </c>
      <c r="H1100" s="1" t="s">
        <v>24</v>
      </c>
      <c r="I1100" s="1" t="s">
        <v>116</v>
      </c>
      <c r="J1100">
        <v>34</v>
      </c>
    </row>
    <row r="1101" spans="1:10" x14ac:dyDescent="0.25">
      <c r="A1101" s="1" t="s">
        <v>1124</v>
      </c>
      <c r="B1101" s="1" t="s">
        <v>14</v>
      </c>
      <c r="C1101" s="1" t="s">
        <v>172</v>
      </c>
      <c r="D1101">
        <v>300</v>
      </c>
      <c r="E1101">
        <v>0.2</v>
      </c>
      <c r="F1101" s="2">
        <v>44706</v>
      </c>
      <c r="G1101" s="2" t="str">
        <f>TEXT(LayoffsData[[#This Row],[date]],"yyyy-mm")</f>
        <v>2022-05</v>
      </c>
      <c r="H1101" s="1" t="s">
        <v>33</v>
      </c>
      <c r="I1101" s="1" t="s">
        <v>17</v>
      </c>
      <c r="J1101">
        <v>1900</v>
      </c>
    </row>
    <row r="1102" spans="1:10" x14ac:dyDescent="0.25">
      <c r="A1102" s="1" t="s">
        <v>1125</v>
      </c>
      <c r="B1102" s="1" t="s">
        <v>14</v>
      </c>
      <c r="C1102" s="1" t="s">
        <v>68</v>
      </c>
      <c r="D1102">
        <v>13</v>
      </c>
      <c r="E1102">
        <v>0.25</v>
      </c>
      <c r="F1102" s="2">
        <v>43913</v>
      </c>
      <c r="G1102" s="2" t="str">
        <f>TEXT(LayoffsData[[#This Row],[date]],"yyyy-mm")</f>
        <v>2020-03</v>
      </c>
      <c r="H1102" s="1" t="s">
        <v>28</v>
      </c>
      <c r="I1102" s="1" t="s">
        <v>17</v>
      </c>
      <c r="J1102">
        <v>94</v>
      </c>
    </row>
    <row r="1103" spans="1:10" x14ac:dyDescent="0.25">
      <c r="A1103" s="1" t="s">
        <v>1126</v>
      </c>
      <c r="B1103" s="1" t="s">
        <v>14</v>
      </c>
      <c r="C1103" s="1" t="s">
        <v>325</v>
      </c>
      <c r="D1103">
        <v>1300</v>
      </c>
      <c r="E1103">
        <v>7.0000000000000007E-2</v>
      </c>
      <c r="F1103" s="2">
        <v>44951</v>
      </c>
      <c r="G1103" s="2" t="str">
        <f>TEXT(LayoffsData[[#This Row],[date]],"yyyy-mm")</f>
        <v>2023-01</v>
      </c>
      <c r="H1103" s="1" t="s">
        <v>11</v>
      </c>
      <c r="I1103" s="1" t="s">
        <v>17</v>
      </c>
    </row>
    <row r="1104" spans="1:10" x14ac:dyDescent="0.25">
      <c r="A1104" s="1" t="s">
        <v>1127</v>
      </c>
      <c r="B1104" s="1" t="s">
        <v>14</v>
      </c>
      <c r="C1104" s="1" t="s">
        <v>41</v>
      </c>
      <c r="D1104">
        <v>19</v>
      </c>
      <c r="F1104" s="2">
        <v>43942</v>
      </c>
      <c r="G1104" s="2" t="str">
        <f>TEXT(LayoffsData[[#This Row],[date]],"yyyy-mm")</f>
        <v>2020-04</v>
      </c>
      <c r="H1104" s="1" t="s">
        <v>24</v>
      </c>
      <c r="I1104" s="1" t="s">
        <v>17</v>
      </c>
      <c r="J1104">
        <v>48</v>
      </c>
    </row>
    <row r="1105" spans="1:10" x14ac:dyDescent="0.25">
      <c r="A1105" s="1" t="s">
        <v>1127</v>
      </c>
      <c r="B1105" s="1" t="s">
        <v>14</v>
      </c>
      <c r="C1105" s="1" t="s">
        <v>41</v>
      </c>
      <c r="D1105">
        <v>65</v>
      </c>
      <c r="F1105" s="2">
        <v>44315</v>
      </c>
      <c r="G1105" s="2" t="str">
        <f>TEXT(LayoffsData[[#This Row],[date]],"yyyy-mm")</f>
        <v>2021-04</v>
      </c>
      <c r="H1105" s="1" t="s">
        <v>28</v>
      </c>
      <c r="I1105" s="1" t="s">
        <v>17</v>
      </c>
      <c r="J1105">
        <v>122</v>
      </c>
    </row>
    <row r="1106" spans="1:10" x14ac:dyDescent="0.25">
      <c r="A1106" s="1" t="s">
        <v>1128</v>
      </c>
      <c r="B1106" s="1" t="s">
        <v>1129</v>
      </c>
      <c r="C1106" s="1" t="s">
        <v>174</v>
      </c>
      <c r="F1106" s="2">
        <v>44909</v>
      </c>
      <c r="G1106" s="2" t="str">
        <f>TEXT(LayoffsData[[#This Row],[date]],"yyyy-mm")</f>
        <v>2022-12</v>
      </c>
      <c r="H1106" s="1" t="s">
        <v>28</v>
      </c>
      <c r="I1106" s="1" t="s">
        <v>17</v>
      </c>
      <c r="J1106">
        <v>347</v>
      </c>
    </row>
    <row r="1107" spans="1:10" x14ac:dyDescent="0.25">
      <c r="A1107" s="1" t="s">
        <v>1128</v>
      </c>
      <c r="B1107" s="1" t="s">
        <v>1129</v>
      </c>
      <c r="C1107" s="1" t="s">
        <v>174</v>
      </c>
      <c r="D1107">
        <v>110</v>
      </c>
      <c r="F1107" s="2">
        <v>44840</v>
      </c>
      <c r="G1107" s="2" t="str">
        <f>TEXT(LayoffsData[[#This Row],[date]],"yyyy-mm")</f>
        <v>2022-10</v>
      </c>
      <c r="H1107" s="1" t="s">
        <v>28</v>
      </c>
      <c r="I1107" s="1" t="s">
        <v>17</v>
      </c>
      <c r="J1107">
        <v>347</v>
      </c>
    </row>
    <row r="1108" spans="1:10" x14ac:dyDescent="0.25">
      <c r="A1108" s="1" t="s">
        <v>1130</v>
      </c>
      <c r="B1108" s="1" t="s">
        <v>351</v>
      </c>
      <c r="C1108" s="1" t="s">
        <v>29</v>
      </c>
      <c r="E1108">
        <v>1</v>
      </c>
      <c r="F1108" s="2">
        <v>44932</v>
      </c>
      <c r="G1108" s="2" t="str">
        <f>TEXT(LayoffsData[[#This Row],[date]],"yyyy-mm")</f>
        <v>2023-01</v>
      </c>
      <c r="H1108" s="1" t="s">
        <v>131</v>
      </c>
      <c r="I1108" s="1" t="s">
        <v>17</v>
      </c>
      <c r="J1108">
        <v>40</v>
      </c>
    </row>
    <row r="1109" spans="1:10" x14ac:dyDescent="0.25">
      <c r="A1109" s="1" t="s">
        <v>1131</v>
      </c>
      <c r="B1109" s="1" t="s">
        <v>14</v>
      </c>
      <c r="C1109" s="1" t="s">
        <v>172</v>
      </c>
      <c r="D1109">
        <v>50</v>
      </c>
      <c r="E1109">
        <v>0.4</v>
      </c>
      <c r="F1109" s="2">
        <v>43986</v>
      </c>
      <c r="G1109" s="2" t="str">
        <f>TEXT(LayoffsData[[#This Row],[date]],"yyyy-mm")</f>
        <v>2020-06</v>
      </c>
      <c r="H1109" s="1" t="s">
        <v>28</v>
      </c>
      <c r="I1109" s="1" t="s">
        <v>17</v>
      </c>
      <c r="J1109">
        <v>52</v>
      </c>
    </row>
    <row r="1110" spans="1:10" x14ac:dyDescent="0.25">
      <c r="A1110" s="1" t="s">
        <v>1132</v>
      </c>
      <c r="B1110" s="1" t="s">
        <v>32</v>
      </c>
      <c r="C1110" s="1" t="s">
        <v>172</v>
      </c>
      <c r="D1110">
        <v>30</v>
      </c>
      <c r="E1110">
        <v>0.06</v>
      </c>
      <c r="F1110" s="2">
        <v>44691</v>
      </c>
      <c r="G1110" s="2" t="str">
        <f>TEXT(LayoffsData[[#This Row],[date]],"yyyy-mm")</f>
        <v>2022-05</v>
      </c>
      <c r="H1110" s="1" t="s">
        <v>11</v>
      </c>
      <c r="I1110" s="1" t="s">
        <v>17</v>
      </c>
      <c r="J1110">
        <v>342</v>
      </c>
    </row>
    <row r="1111" spans="1:10" x14ac:dyDescent="0.25">
      <c r="A1111" s="1" t="s">
        <v>1132</v>
      </c>
      <c r="B1111" s="1" t="s">
        <v>32</v>
      </c>
      <c r="C1111" s="1" t="s">
        <v>172</v>
      </c>
      <c r="D1111">
        <v>60</v>
      </c>
      <c r="F1111" s="2">
        <v>43923</v>
      </c>
      <c r="G1111" s="2" t="str">
        <f>TEXT(LayoffsData[[#This Row],[date]],"yyyy-mm")</f>
        <v>2020-04</v>
      </c>
      <c r="H1111" s="1" t="s">
        <v>24</v>
      </c>
      <c r="I1111" s="1" t="s">
        <v>17</v>
      </c>
      <c r="J1111">
        <v>152</v>
      </c>
    </row>
    <row r="1112" spans="1:10" x14ac:dyDescent="0.25">
      <c r="A1112" s="1" t="s">
        <v>1132</v>
      </c>
      <c r="B1112" s="1" t="s">
        <v>32</v>
      </c>
      <c r="C1112" s="1" t="s">
        <v>172</v>
      </c>
      <c r="D1112">
        <v>115</v>
      </c>
      <c r="E1112">
        <v>0.37</v>
      </c>
      <c r="F1112" s="2">
        <v>44775</v>
      </c>
      <c r="G1112" s="2" t="str">
        <f>TEXT(LayoffsData[[#This Row],[date]],"yyyy-mm")</f>
        <v>2022-08</v>
      </c>
      <c r="H1112" s="1" t="s">
        <v>11</v>
      </c>
      <c r="I1112" s="1" t="s">
        <v>17</v>
      </c>
      <c r="J1112">
        <v>342</v>
      </c>
    </row>
    <row r="1113" spans="1:10" x14ac:dyDescent="0.25">
      <c r="A1113" s="1" t="s">
        <v>1132</v>
      </c>
      <c r="B1113" s="1" t="s">
        <v>32</v>
      </c>
      <c r="C1113" s="1" t="s">
        <v>172</v>
      </c>
      <c r="D1113">
        <v>130</v>
      </c>
      <c r="E1113">
        <v>0.28000000000000003</v>
      </c>
      <c r="F1113" s="2">
        <v>44701</v>
      </c>
      <c r="G1113" s="2" t="str">
        <f>TEXT(LayoffsData[[#This Row],[date]],"yyyy-mm")</f>
        <v>2022-05</v>
      </c>
      <c r="H1113" s="1" t="s">
        <v>11</v>
      </c>
      <c r="I1113" s="1" t="s">
        <v>17</v>
      </c>
      <c r="J1113">
        <v>342</v>
      </c>
    </row>
    <row r="1114" spans="1:10" x14ac:dyDescent="0.25">
      <c r="A1114" s="1" t="s">
        <v>1133</v>
      </c>
      <c r="B1114" s="1" t="s">
        <v>14</v>
      </c>
      <c r="C1114" s="1" t="s">
        <v>147</v>
      </c>
      <c r="E1114">
        <v>0.15</v>
      </c>
      <c r="F1114" s="2">
        <v>44938</v>
      </c>
      <c r="G1114" s="2" t="str">
        <f>TEXT(LayoffsData[[#This Row],[date]],"yyyy-mm")</f>
        <v>2023-01</v>
      </c>
      <c r="H1114" s="1" t="s">
        <v>86</v>
      </c>
      <c r="I1114" s="1" t="s">
        <v>17</v>
      </c>
      <c r="J1114">
        <v>328</v>
      </c>
    </row>
    <row r="1115" spans="1:10" x14ac:dyDescent="0.25">
      <c r="A1115" s="1" t="s">
        <v>1133</v>
      </c>
      <c r="B1115" s="1" t="s">
        <v>14</v>
      </c>
      <c r="C1115" s="1" t="s">
        <v>147</v>
      </c>
      <c r="D1115">
        <v>13</v>
      </c>
      <c r="F1115" s="2">
        <v>44861</v>
      </c>
      <c r="G1115" s="2" t="str">
        <f>TEXT(LayoffsData[[#This Row],[date]],"yyyy-mm")</f>
        <v>2022-10</v>
      </c>
      <c r="H1115" s="1" t="s">
        <v>86</v>
      </c>
      <c r="I1115" s="1" t="s">
        <v>17</v>
      </c>
      <c r="J1115">
        <v>328</v>
      </c>
    </row>
    <row r="1116" spans="1:10" x14ac:dyDescent="0.25">
      <c r="A1116" s="1" t="s">
        <v>1133</v>
      </c>
      <c r="B1116" s="1" t="s">
        <v>14</v>
      </c>
      <c r="C1116" s="1" t="s">
        <v>147</v>
      </c>
      <c r="D1116">
        <v>16</v>
      </c>
      <c r="E1116">
        <v>0.1</v>
      </c>
      <c r="F1116" s="2">
        <v>43966</v>
      </c>
      <c r="G1116" s="2" t="str">
        <f>TEXT(LayoffsData[[#This Row],[date]],"yyyy-mm")</f>
        <v>2020-05</v>
      </c>
      <c r="H1116" s="1" t="s">
        <v>28</v>
      </c>
      <c r="I1116" s="1" t="s">
        <v>17</v>
      </c>
      <c r="J1116">
        <v>49</v>
      </c>
    </row>
    <row r="1117" spans="1:10" x14ac:dyDescent="0.25">
      <c r="A1117" s="1" t="s">
        <v>1134</v>
      </c>
      <c r="B1117" s="1" t="s">
        <v>168</v>
      </c>
      <c r="C1117" s="1" t="s">
        <v>598</v>
      </c>
      <c r="D1117">
        <v>30</v>
      </c>
      <c r="E1117">
        <v>0.33</v>
      </c>
      <c r="F1117" s="2">
        <v>44810</v>
      </c>
      <c r="G1117" s="2" t="str">
        <f>TEXT(LayoffsData[[#This Row],[date]],"yyyy-mm")</f>
        <v>2022-09</v>
      </c>
      <c r="H1117" s="1" t="s">
        <v>28</v>
      </c>
      <c r="I1117" s="1" t="s">
        <v>170</v>
      </c>
      <c r="J1117">
        <v>41</v>
      </c>
    </row>
    <row r="1118" spans="1:10" x14ac:dyDescent="0.25">
      <c r="A1118" s="1" t="s">
        <v>1135</v>
      </c>
      <c r="B1118" s="1" t="s">
        <v>790</v>
      </c>
      <c r="C1118" s="1" t="s">
        <v>68</v>
      </c>
      <c r="D1118">
        <v>45</v>
      </c>
      <c r="F1118" s="2">
        <v>44770</v>
      </c>
      <c r="G1118" s="2" t="str">
        <f>TEXT(LayoffsData[[#This Row],[date]],"yyyy-mm")</f>
        <v>2022-07</v>
      </c>
      <c r="H1118" s="1" t="s">
        <v>11</v>
      </c>
      <c r="I1118" s="1" t="s">
        <v>791</v>
      </c>
      <c r="J1118">
        <v>130</v>
      </c>
    </row>
    <row r="1119" spans="1:10" x14ac:dyDescent="0.25">
      <c r="A1119" s="1" t="s">
        <v>1136</v>
      </c>
      <c r="B1119" s="1" t="s">
        <v>343</v>
      </c>
      <c r="C1119" s="1" t="s">
        <v>36</v>
      </c>
      <c r="F1119" s="2">
        <v>44894</v>
      </c>
      <c r="G1119" s="2" t="str">
        <f>TEXT(LayoffsData[[#This Row],[date]],"yyyy-mm")</f>
        <v>2022-11</v>
      </c>
      <c r="H1119" s="1" t="s">
        <v>37</v>
      </c>
      <c r="I1119" s="1" t="s">
        <v>140</v>
      </c>
    </row>
    <row r="1120" spans="1:10" x14ac:dyDescent="0.25">
      <c r="A1120" s="1" t="s">
        <v>1137</v>
      </c>
      <c r="B1120" s="1" t="s">
        <v>14</v>
      </c>
      <c r="C1120" s="1" t="s">
        <v>29</v>
      </c>
      <c r="E1120">
        <v>0.5</v>
      </c>
      <c r="F1120" s="2">
        <v>43922</v>
      </c>
      <c r="G1120" s="2" t="str">
        <f>TEXT(LayoffsData[[#This Row],[date]],"yyyy-mm")</f>
        <v>2020-04</v>
      </c>
      <c r="H1120" s="1" t="s">
        <v>28</v>
      </c>
      <c r="I1120" s="1" t="s">
        <v>17</v>
      </c>
      <c r="J1120">
        <v>62</v>
      </c>
    </row>
    <row r="1121" spans="1:10" x14ac:dyDescent="0.25">
      <c r="A1121" s="1" t="s">
        <v>1138</v>
      </c>
      <c r="B1121" s="1" t="s">
        <v>67</v>
      </c>
      <c r="C1121" s="1" t="s">
        <v>41</v>
      </c>
      <c r="D1121">
        <v>60</v>
      </c>
      <c r="F1121" s="2">
        <v>44936</v>
      </c>
      <c r="G1121" s="2" t="str">
        <f>TEXT(LayoffsData[[#This Row],[date]],"yyyy-mm")</f>
        <v>2023-01</v>
      </c>
      <c r="H1121" s="1" t="s">
        <v>16</v>
      </c>
      <c r="I1121" s="1" t="s">
        <v>69</v>
      </c>
      <c r="J1121">
        <v>190</v>
      </c>
    </row>
    <row r="1122" spans="1:10" x14ac:dyDescent="0.25">
      <c r="A1122" s="1" t="s">
        <v>1138</v>
      </c>
      <c r="B1122" s="1" t="s">
        <v>67</v>
      </c>
      <c r="C1122" s="1" t="s">
        <v>41</v>
      </c>
      <c r="D1122">
        <v>80</v>
      </c>
      <c r="E1122">
        <v>0.04</v>
      </c>
      <c r="F1122" s="2">
        <v>44777</v>
      </c>
      <c r="G1122" s="2" t="str">
        <f>TEXT(LayoffsData[[#This Row],[date]],"yyyy-mm")</f>
        <v>2022-08</v>
      </c>
      <c r="H1122" s="1" t="s">
        <v>16</v>
      </c>
      <c r="I1122" s="1" t="s">
        <v>69</v>
      </c>
      <c r="J1122">
        <v>166</v>
      </c>
    </row>
    <row r="1123" spans="1:10" x14ac:dyDescent="0.25">
      <c r="A1123" s="1" t="s">
        <v>1139</v>
      </c>
      <c r="B1123" s="1" t="s">
        <v>32</v>
      </c>
      <c r="C1123" s="1" t="s">
        <v>149</v>
      </c>
      <c r="D1123">
        <v>80</v>
      </c>
      <c r="E1123">
        <v>0.31</v>
      </c>
      <c r="F1123" s="2">
        <v>44910</v>
      </c>
      <c r="G1123" s="2" t="str">
        <f>TEXT(LayoffsData[[#This Row],[date]],"yyyy-mm")</f>
        <v>2022-12</v>
      </c>
      <c r="H1123" s="1" t="s">
        <v>28</v>
      </c>
      <c r="I1123" s="1" t="s">
        <v>17</v>
      </c>
      <c r="J1123">
        <v>379</v>
      </c>
    </row>
    <row r="1124" spans="1:10" x14ac:dyDescent="0.25">
      <c r="A1124" s="1" t="s">
        <v>1140</v>
      </c>
      <c r="B1124" s="1" t="s">
        <v>55</v>
      </c>
      <c r="C1124" s="1" t="s">
        <v>29</v>
      </c>
      <c r="D1124">
        <v>56</v>
      </c>
      <c r="E1124">
        <v>0.21</v>
      </c>
      <c r="F1124" s="2">
        <v>44852</v>
      </c>
      <c r="G1124" s="2" t="str">
        <f>TEXT(LayoffsData[[#This Row],[date]],"yyyy-mm")</f>
        <v>2022-10</v>
      </c>
      <c r="H1124" s="1" t="s">
        <v>11</v>
      </c>
      <c r="I1124" s="1" t="s">
        <v>17</v>
      </c>
      <c r="J1124">
        <v>71</v>
      </c>
    </row>
    <row r="1125" spans="1:10" x14ac:dyDescent="0.25">
      <c r="A1125" s="1" t="s">
        <v>1140</v>
      </c>
      <c r="B1125" s="1" t="s">
        <v>55</v>
      </c>
      <c r="C1125" s="1" t="s">
        <v>29</v>
      </c>
      <c r="D1125">
        <v>91</v>
      </c>
      <c r="E1125">
        <v>0.5</v>
      </c>
      <c r="F1125" s="2">
        <v>43913</v>
      </c>
      <c r="G1125" s="2" t="str">
        <f>TEXT(LayoffsData[[#This Row],[date]],"yyyy-mm")</f>
        <v>2020-03</v>
      </c>
      <c r="H1125" s="1" t="s">
        <v>57</v>
      </c>
      <c r="I1125" s="1" t="s">
        <v>17</v>
      </c>
      <c r="J1125">
        <v>2</v>
      </c>
    </row>
    <row r="1126" spans="1:10" x14ac:dyDescent="0.25">
      <c r="A1126" s="1" t="s">
        <v>1141</v>
      </c>
      <c r="B1126" s="1" t="s">
        <v>9</v>
      </c>
      <c r="C1126" s="1" t="s">
        <v>15</v>
      </c>
      <c r="F1126" s="2">
        <v>43956</v>
      </c>
      <c r="G1126" s="2" t="str">
        <f>TEXT(LayoffsData[[#This Row],[date]],"yyyy-mm")</f>
        <v>2020-05</v>
      </c>
      <c r="H1126" s="1" t="s">
        <v>37</v>
      </c>
      <c r="I1126" s="1" t="s">
        <v>12</v>
      </c>
      <c r="J1126">
        <v>76</v>
      </c>
    </row>
    <row r="1127" spans="1:10" x14ac:dyDescent="0.25">
      <c r="A1127" s="1" t="s">
        <v>1142</v>
      </c>
      <c r="B1127" s="1" t="s">
        <v>19</v>
      </c>
      <c r="C1127" s="1" t="s">
        <v>41</v>
      </c>
      <c r="D1127">
        <v>27</v>
      </c>
      <c r="E1127">
        <v>0.09</v>
      </c>
      <c r="F1127" s="2">
        <v>44964</v>
      </c>
      <c r="G1127" s="2" t="str">
        <f>TEXT(LayoffsData[[#This Row],[date]],"yyyy-mm")</f>
        <v>2023-02</v>
      </c>
      <c r="H1127" s="1" t="s">
        <v>105</v>
      </c>
      <c r="I1127" s="1" t="s">
        <v>22</v>
      </c>
      <c r="J1127">
        <v>56</v>
      </c>
    </row>
    <row r="1128" spans="1:10" x14ac:dyDescent="0.25">
      <c r="A1128" s="1" t="s">
        <v>1143</v>
      </c>
      <c r="B1128" s="1" t="s">
        <v>9</v>
      </c>
      <c r="C1128" s="1" t="s">
        <v>36</v>
      </c>
      <c r="F1128" s="2">
        <v>44893</v>
      </c>
      <c r="G1128" s="2" t="str">
        <f>TEXT(LayoffsData[[#This Row],[date]],"yyyy-mm")</f>
        <v>2022-11</v>
      </c>
      <c r="H1128" s="1" t="s">
        <v>24</v>
      </c>
      <c r="I1128" s="1" t="s">
        <v>12</v>
      </c>
      <c r="J1128">
        <v>103</v>
      </c>
    </row>
    <row r="1129" spans="1:10" x14ac:dyDescent="0.25">
      <c r="A1129" s="1" t="s">
        <v>1144</v>
      </c>
      <c r="B1129" s="1" t="s">
        <v>60</v>
      </c>
      <c r="C1129" s="1" t="s">
        <v>63</v>
      </c>
      <c r="D1129">
        <v>23</v>
      </c>
      <c r="E1129">
        <v>0.38</v>
      </c>
      <c r="F1129" s="2">
        <v>44655</v>
      </c>
      <c r="G1129" s="2" t="str">
        <f>TEXT(LayoffsData[[#This Row],[date]],"yyyy-mm")</f>
        <v>2022-04</v>
      </c>
      <c r="H1129" s="1" t="s">
        <v>11</v>
      </c>
      <c r="I1129" s="1" t="s">
        <v>12</v>
      </c>
      <c r="J1129">
        <v>3</v>
      </c>
    </row>
    <row r="1130" spans="1:10" x14ac:dyDescent="0.25">
      <c r="A1130" s="1" t="s">
        <v>1145</v>
      </c>
      <c r="B1130" s="1" t="s">
        <v>387</v>
      </c>
      <c r="C1130" s="1" t="s">
        <v>36</v>
      </c>
      <c r="D1130">
        <v>100</v>
      </c>
      <c r="E1130">
        <v>0.38</v>
      </c>
      <c r="F1130" s="2">
        <v>44889</v>
      </c>
      <c r="G1130" s="2" t="str">
        <f>TEXT(LayoffsData[[#This Row],[date]],"yyyy-mm")</f>
        <v>2022-11</v>
      </c>
      <c r="H1130" s="1" t="s">
        <v>21</v>
      </c>
      <c r="I1130" s="1" t="s">
        <v>388</v>
      </c>
      <c r="J1130">
        <v>17</v>
      </c>
    </row>
    <row r="1131" spans="1:10" x14ac:dyDescent="0.25">
      <c r="A1131" s="1" t="s">
        <v>1146</v>
      </c>
      <c r="B1131" s="1" t="s">
        <v>32</v>
      </c>
      <c r="C1131" s="1" t="s">
        <v>68</v>
      </c>
      <c r="D1131">
        <v>52</v>
      </c>
      <c r="F1131" s="2">
        <v>44671</v>
      </c>
      <c r="G1131" s="2" t="str">
        <f>TEXT(LayoffsData[[#This Row],[date]],"yyyy-mm")</f>
        <v>2022-04</v>
      </c>
      <c r="H1131" s="1" t="s">
        <v>11</v>
      </c>
      <c r="I1131" s="1" t="s">
        <v>17</v>
      </c>
      <c r="J1131">
        <v>481</v>
      </c>
    </row>
    <row r="1132" spans="1:10" x14ac:dyDescent="0.25">
      <c r="A1132" s="1" t="s">
        <v>1147</v>
      </c>
      <c r="B1132" s="1" t="s">
        <v>44</v>
      </c>
      <c r="C1132" s="1" t="s">
        <v>174</v>
      </c>
      <c r="D1132">
        <v>100</v>
      </c>
      <c r="F1132" s="2">
        <v>44988</v>
      </c>
      <c r="G1132" s="2" t="str">
        <f>TEXT(LayoffsData[[#This Row],[date]],"yyyy-mm")</f>
        <v>2023-03</v>
      </c>
      <c r="H1132" s="1" t="s">
        <v>37</v>
      </c>
      <c r="I1132" s="1" t="s">
        <v>46</v>
      </c>
      <c r="J1132">
        <v>59</v>
      </c>
    </row>
    <row r="1133" spans="1:10" x14ac:dyDescent="0.25">
      <c r="A1133" s="1" t="s">
        <v>1148</v>
      </c>
      <c r="B1133" s="1" t="s">
        <v>14</v>
      </c>
      <c r="C1133" s="1" t="s">
        <v>68</v>
      </c>
      <c r="D1133">
        <v>225</v>
      </c>
      <c r="E1133">
        <v>0.14000000000000001</v>
      </c>
      <c r="F1133" s="2">
        <v>44938</v>
      </c>
      <c r="G1133" s="2" t="str">
        <f>TEXT(LayoffsData[[#This Row],[date]],"yyyy-mm")</f>
        <v>2023-01</v>
      </c>
      <c r="H1133" s="1" t="s">
        <v>11</v>
      </c>
      <c r="I1133" s="1" t="s">
        <v>17</v>
      </c>
      <c r="J1133">
        <v>392</v>
      </c>
    </row>
    <row r="1134" spans="1:10" x14ac:dyDescent="0.25">
      <c r="A1134" s="1" t="s">
        <v>1148</v>
      </c>
      <c r="B1134" s="1" t="s">
        <v>14</v>
      </c>
      <c r="C1134" s="1" t="s">
        <v>68</v>
      </c>
      <c r="D1134">
        <v>460</v>
      </c>
      <c r="E1134">
        <v>0.3</v>
      </c>
      <c r="F1134" s="2">
        <v>43942</v>
      </c>
      <c r="G1134" s="2" t="str">
        <f>TEXT(LayoffsData[[#This Row],[date]],"yyyy-mm")</f>
        <v>2020-04</v>
      </c>
      <c r="H1134" s="1" t="s">
        <v>11</v>
      </c>
      <c r="I1134" s="1" t="s">
        <v>17</v>
      </c>
      <c r="J1134">
        <v>392</v>
      </c>
    </row>
    <row r="1135" spans="1:10" x14ac:dyDescent="0.25">
      <c r="A1135" s="1" t="s">
        <v>1149</v>
      </c>
      <c r="B1135" s="1" t="s">
        <v>1150</v>
      </c>
      <c r="C1135" s="1" t="s">
        <v>68</v>
      </c>
      <c r="D1135">
        <v>500</v>
      </c>
      <c r="E1135">
        <v>0.5</v>
      </c>
      <c r="F1135" s="2">
        <v>43966</v>
      </c>
      <c r="G1135" s="2" t="str">
        <f>TEXT(LayoffsData[[#This Row],[date]],"yyyy-mm")</f>
        <v>2020-05</v>
      </c>
      <c r="H1135" s="1" t="s">
        <v>37</v>
      </c>
      <c r="I1135" s="1" t="s">
        <v>69</v>
      </c>
      <c r="J1135">
        <v>200</v>
      </c>
    </row>
    <row r="1136" spans="1:10" x14ac:dyDescent="0.25">
      <c r="A1136" s="1" t="s">
        <v>1151</v>
      </c>
      <c r="B1136" s="1" t="s">
        <v>1152</v>
      </c>
      <c r="C1136" s="1" t="s">
        <v>68</v>
      </c>
      <c r="D1136">
        <v>200</v>
      </c>
      <c r="F1136" s="2">
        <v>44868</v>
      </c>
      <c r="G1136" s="2" t="str">
        <f>TEXT(LayoffsData[[#This Row],[date]],"yyyy-mm")</f>
        <v>2022-11</v>
      </c>
      <c r="H1136" s="1" t="s">
        <v>11</v>
      </c>
      <c r="I1136" s="1" t="s">
        <v>17</v>
      </c>
    </row>
    <row r="1137" spans="1:10" x14ac:dyDescent="0.25">
      <c r="A1137" s="1" t="s">
        <v>1153</v>
      </c>
      <c r="B1137" s="1" t="s">
        <v>79</v>
      </c>
      <c r="C1137" s="1" t="s">
        <v>149</v>
      </c>
      <c r="E1137">
        <v>0.5</v>
      </c>
      <c r="F1137" s="2">
        <v>44916</v>
      </c>
      <c r="G1137" s="2" t="str">
        <f>TEXT(LayoffsData[[#This Row],[date]],"yyyy-mm")</f>
        <v>2022-12</v>
      </c>
      <c r="H1137" s="1" t="s">
        <v>21</v>
      </c>
      <c r="I1137" s="1" t="s">
        <v>80</v>
      </c>
      <c r="J1137">
        <v>90</v>
      </c>
    </row>
    <row r="1138" spans="1:10" x14ac:dyDescent="0.25">
      <c r="A1138" s="1" t="s">
        <v>1153</v>
      </c>
      <c r="B1138" s="1" t="s">
        <v>79</v>
      </c>
      <c r="C1138" s="1" t="s">
        <v>149</v>
      </c>
      <c r="D1138">
        <v>18</v>
      </c>
      <c r="E1138">
        <v>0.15</v>
      </c>
      <c r="F1138" s="2">
        <v>44746</v>
      </c>
      <c r="G1138" s="2" t="str">
        <f>TEXT(LayoffsData[[#This Row],[date]],"yyyy-mm")</f>
        <v>2022-07</v>
      </c>
      <c r="H1138" s="1" t="s">
        <v>21</v>
      </c>
      <c r="I1138" s="1" t="s">
        <v>80</v>
      </c>
      <c r="J1138">
        <v>90</v>
      </c>
    </row>
    <row r="1139" spans="1:10" x14ac:dyDescent="0.25">
      <c r="A1139" s="1" t="s">
        <v>1154</v>
      </c>
      <c r="B1139" s="1" t="s">
        <v>691</v>
      </c>
      <c r="C1139" s="1" t="s">
        <v>325</v>
      </c>
      <c r="F1139" s="2">
        <v>44903</v>
      </c>
      <c r="G1139" s="2" t="str">
        <f>TEXT(LayoffsData[[#This Row],[date]],"yyyy-mm")</f>
        <v>2022-12</v>
      </c>
      <c r="H1139" s="1" t="s">
        <v>11</v>
      </c>
      <c r="I1139" s="1" t="s">
        <v>17</v>
      </c>
      <c r="J1139">
        <v>850</v>
      </c>
    </row>
    <row r="1140" spans="1:10" x14ac:dyDescent="0.25">
      <c r="A1140" s="1" t="s">
        <v>1155</v>
      </c>
      <c r="B1140" s="1" t="s">
        <v>32</v>
      </c>
      <c r="C1140" s="1" t="s">
        <v>15</v>
      </c>
      <c r="F1140" s="2">
        <v>44744</v>
      </c>
      <c r="G1140" s="2" t="str">
        <f>TEXT(LayoffsData[[#This Row],[date]],"yyyy-mm")</f>
        <v>2022-07</v>
      </c>
      <c r="H1140" s="1" t="s">
        <v>33</v>
      </c>
      <c r="I1140" s="1" t="s">
        <v>17</v>
      </c>
      <c r="J1140">
        <v>263</v>
      </c>
    </row>
    <row r="1141" spans="1:10" x14ac:dyDescent="0.25">
      <c r="A1141" s="1" t="s">
        <v>1156</v>
      </c>
      <c r="B1141" s="1" t="s">
        <v>32</v>
      </c>
      <c r="C1141" s="1" t="s">
        <v>174</v>
      </c>
      <c r="D1141">
        <v>30</v>
      </c>
      <c r="E1141">
        <v>0.3</v>
      </c>
      <c r="F1141" s="2">
        <v>44902</v>
      </c>
      <c r="G1141" s="2" t="str">
        <f>TEXT(LayoffsData[[#This Row],[date]],"yyyy-mm")</f>
        <v>2022-12</v>
      </c>
      <c r="H1141" s="1" t="s">
        <v>24</v>
      </c>
      <c r="I1141" s="1" t="s">
        <v>17</v>
      </c>
      <c r="J1141">
        <v>114</v>
      </c>
    </row>
    <row r="1142" spans="1:10" x14ac:dyDescent="0.25">
      <c r="A1142" s="1" t="s">
        <v>1157</v>
      </c>
      <c r="B1142" s="1" t="s">
        <v>1158</v>
      </c>
      <c r="C1142" s="1" t="s">
        <v>376</v>
      </c>
      <c r="F1142" s="2">
        <v>43922</v>
      </c>
      <c r="G1142" s="2" t="str">
        <f>TEXT(LayoffsData[[#This Row],[date]],"yyyy-mm")</f>
        <v>2020-04</v>
      </c>
      <c r="H1142" s="1" t="s">
        <v>28</v>
      </c>
      <c r="I1142" s="1" t="s">
        <v>17</v>
      </c>
      <c r="J1142">
        <v>46</v>
      </c>
    </row>
    <row r="1143" spans="1:10" x14ac:dyDescent="0.25">
      <c r="A1143" s="1" t="s">
        <v>1159</v>
      </c>
      <c r="B1143" s="1" t="s">
        <v>14</v>
      </c>
      <c r="C1143" s="1" t="s">
        <v>165</v>
      </c>
      <c r="D1143">
        <v>86</v>
      </c>
      <c r="E1143">
        <v>0.4</v>
      </c>
      <c r="F1143" s="2">
        <v>43929</v>
      </c>
      <c r="G1143" s="2" t="str">
        <f>TEXT(LayoffsData[[#This Row],[date]],"yyyy-mm")</f>
        <v>2020-04</v>
      </c>
      <c r="H1143" s="1" t="s">
        <v>28</v>
      </c>
      <c r="I1143" s="1" t="s">
        <v>17</v>
      </c>
      <c r="J1143">
        <v>72</v>
      </c>
    </row>
    <row r="1144" spans="1:10" x14ac:dyDescent="0.25">
      <c r="A1144" s="1" t="s">
        <v>1160</v>
      </c>
      <c r="B1144" s="1" t="s">
        <v>67</v>
      </c>
      <c r="C1144" s="1" t="s">
        <v>41</v>
      </c>
      <c r="D1144">
        <v>150</v>
      </c>
      <c r="F1144" s="2">
        <v>44613</v>
      </c>
      <c r="G1144" s="2" t="str">
        <f>TEXT(LayoffsData[[#This Row],[date]],"yyyy-mm")</f>
        <v>2022-02</v>
      </c>
      <c r="H1144" s="1" t="s">
        <v>21</v>
      </c>
      <c r="I1144" s="1" t="s">
        <v>69</v>
      </c>
      <c r="J1144">
        <v>24</v>
      </c>
    </row>
    <row r="1145" spans="1:10" x14ac:dyDescent="0.25">
      <c r="A1145" s="1" t="s">
        <v>1161</v>
      </c>
      <c r="B1145" s="1" t="s">
        <v>67</v>
      </c>
      <c r="C1145" s="1" t="s">
        <v>41</v>
      </c>
      <c r="E1145">
        <v>1</v>
      </c>
      <c r="F1145" s="2">
        <v>44813</v>
      </c>
      <c r="G1145" s="2" t="str">
        <f>TEXT(LayoffsData[[#This Row],[date]],"yyyy-mm")</f>
        <v>2022-09</v>
      </c>
      <c r="H1145" s="1" t="s">
        <v>28</v>
      </c>
      <c r="I1145" s="1" t="s">
        <v>69</v>
      </c>
      <c r="J1145">
        <v>20</v>
      </c>
    </row>
    <row r="1146" spans="1:10" x14ac:dyDescent="0.25">
      <c r="A1146" s="1" t="s">
        <v>1162</v>
      </c>
      <c r="B1146" s="1" t="s">
        <v>14</v>
      </c>
      <c r="C1146" s="1" t="s">
        <v>27</v>
      </c>
      <c r="E1146">
        <v>0.14000000000000001</v>
      </c>
      <c r="F1146" s="2">
        <v>44938</v>
      </c>
      <c r="G1146" s="2" t="str">
        <f>TEXT(LayoffsData[[#This Row],[date]],"yyyy-mm")</f>
        <v>2023-01</v>
      </c>
      <c r="H1146" s="1" t="s">
        <v>11</v>
      </c>
      <c r="I1146" s="1" t="s">
        <v>17</v>
      </c>
      <c r="J1146">
        <v>158</v>
      </c>
    </row>
    <row r="1147" spans="1:10" x14ac:dyDescent="0.25">
      <c r="A1147" s="1" t="s">
        <v>1163</v>
      </c>
      <c r="B1147" s="1" t="s">
        <v>14</v>
      </c>
      <c r="C1147" s="1" t="s">
        <v>20</v>
      </c>
      <c r="D1147">
        <v>130</v>
      </c>
      <c r="E1147">
        <v>0.15</v>
      </c>
      <c r="F1147" s="2">
        <v>44874</v>
      </c>
      <c r="G1147" s="2" t="str">
        <f>TEXT(LayoffsData[[#This Row],[date]],"yyyy-mm")</f>
        <v>2022-11</v>
      </c>
      <c r="H1147" s="1" t="s">
        <v>57</v>
      </c>
      <c r="I1147" s="1" t="s">
        <v>17</v>
      </c>
      <c r="J1147">
        <v>6</v>
      </c>
    </row>
    <row r="1148" spans="1:10" x14ac:dyDescent="0.25">
      <c r="A1148" s="1" t="s">
        <v>1164</v>
      </c>
      <c r="B1148" s="1" t="s">
        <v>55</v>
      </c>
      <c r="C1148" s="1" t="s">
        <v>68</v>
      </c>
      <c r="D1148">
        <v>18</v>
      </c>
      <c r="E1148">
        <v>0.22</v>
      </c>
      <c r="F1148" s="2">
        <v>43945</v>
      </c>
      <c r="G1148" s="2" t="str">
        <f>TEXT(LayoffsData[[#This Row],[date]],"yyyy-mm")</f>
        <v>2020-04</v>
      </c>
      <c r="H1148" s="1" t="s">
        <v>24</v>
      </c>
      <c r="I1148" s="1" t="s">
        <v>17</v>
      </c>
      <c r="J1148">
        <v>15</v>
      </c>
    </row>
    <row r="1149" spans="1:10" x14ac:dyDescent="0.25">
      <c r="A1149" s="1" t="s">
        <v>1164</v>
      </c>
      <c r="B1149" s="1" t="s">
        <v>55</v>
      </c>
      <c r="C1149" s="1" t="s">
        <v>68</v>
      </c>
      <c r="D1149">
        <v>22</v>
      </c>
      <c r="E1149">
        <v>0.49</v>
      </c>
      <c r="F1149" s="2">
        <v>44032</v>
      </c>
      <c r="G1149" s="2" t="str">
        <f>TEXT(LayoffsData[[#This Row],[date]],"yyyy-mm")</f>
        <v>2020-07</v>
      </c>
      <c r="H1149" s="1" t="s">
        <v>24</v>
      </c>
      <c r="I1149" s="1" t="s">
        <v>17</v>
      </c>
      <c r="J1149">
        <v>15</v>
      </c>
    </row>
    <row r="1150" spans="1:10" x14ac:dyDescent="0.25">
      <c r="A1150" s="1" t="s">
        <v>1165</v>
      </c>
      <c r="B1150" s="1" t="s">
        <v>9</v>
      </c>
      <c r="C1150" s="1" t="s">
        <v>41</v>
      </c>
      <c r="D1150">
        <v>14</v>
      </c>
      <c r="E1150">
        <v>7.0000000000000007E-2</v>
      </c>
      <c r="F1150" s="2">
        <v>43930</v>
      </c>
      <c r="G1150" s="2" t="str">
        <f>TEXT(LayoffsData[[#This Row],[date]],"yyyy-mm")</f>
        <v>2020-04</v>
      </c>
      <c r="H1150" s="1" t="s">
        <v>37</v>
      </c>
      <c r="I1150" s="1" t="s">
        <v>12</v>
      </c>
    </row>
    <row r="1151" spans="1:10" x14ac:dyDescent="0.25">
      <c r="A1151" s="1" t="s">
        <v>1166</v>
      </c>
      <c r="B1151" s="1" t="s">
        <v>168</v>
      </c>
      <c r="C1151" s="1" t="s">
        <v>68</v>
      </c>
      <c r="D1151">
        <v>20</v>
      </c>
      <c r="F1151" s="2">
        <v>44651</v>
      </c>
      <c r="G1151" s="2" t="str">
        <f>TEXT(LayoffsData[[#This Row],[date]],"yyyy-mm")</f>
        <v>2022-03</v>
      </c>
      <c r="H1151" s="1" t="s">
        <v>24</v>
      </c>
      <c r="I1151" s="1" t="s">
        <v>170</v>
      </c>
      <c r="J1151">
        <v>42</v>
      </c>
    </row>
    <row r="1152" spans="1:10" x14ac:dyDescent="0.25">
      <c r="A1152" s="1" t="s">
        <v>1166</v>
      </c>
      <c r="B1152" s="1" t="s">
        <v>168</v>
      </c>
      <c r="C1152" s="1" t="s">
        <v>68</v>
      </c>
      <c r="D1152">
        <v>20</v>
      </c>
      <c r="E1152">
        <v>0.25</v>
      </c>
      <c r="F1152" s="2">
        <v>44962</v>
      </c>
      <c r="G1152" s="2" t="str">
        <f>TEXT(LayoffsData[[#This Row],[date]],"yyyy-mm")</f>
        <v>2023-02</v>
      </c>
      <c r="H1152" s="1" t="s">
        <v>24</v>
      </c>
      <c r="I1152" s="1" t="s">
        <v>170</v>
      </c>
      <c r="J1152">
        <v>42</v>
      </c>
    </row>
    <row r="1153" spans="1:10" x14ac:dyDescent="0.25">
      <c r="A1153" s="1" t="s">
        <v>1167</v>
      </c>
      <c r="B1153" s="1" t="s">
        <v>1168</v>
      </c>
      <c r="C1153" s="1" t="s">
        <v>27</v>
      </c>
      <c r="D1153">
        <v>80</v>
      </c>
      <c r="E1153">
        <v>0.12</v>
      </c>
      <c r="F1153" s="2">
        <v>44746</v>
      </c>
      <c r="G1153" s="2" t="str">
        <f>TEXT(LayoffsData[[#This Row],[date]],"yyyy-mm")</f>
        <v>2022-07</v>
      </c>
      <c r="H1153" s="1" t="s">
        <v>33</v>
      </c>
      <c r="I1153" s="1" t="s">
        <v>170</v>
      </c>
      <c r="J1153">
        <v>335</v>
      </c>
    </row>
    <row r="1154" spans="1:10" x14ac:dyDescent="0.25">
      <c r="A1154" s="1" t="s">
        <v>1169</v>
      </c>
      <c r="B1154" s="1" t="s">
        <v>134</v>
      </c>
      <c r="C1154" s="1" t="s">
        <v>29</v>
      </c>
      <c r="D1154">
        <v>300</v>
      </c>
      <c r="E1154">
        <v>0.1</v>
      </c>
      <c r="F1154" s="2">
        <v>44943</v>
      </c>
      <c r="G1154" s="2" t="str">
        <f>TEXT(LayoffsData[[#This Row],[date]],"yyyy-mm")</f>
        <v>2023-01</v>
      </c>
      <c r="H1154" s="1" t="s">
        <v>11</v>
      </c>
      <c r="I1154" s="1" t="s">
        <v>12</v>
      </c>
      <c r="J1154">
        <v>1200</v>
      </c>
    </row>
    <row r="1155" spans="1:10" x14ac:dyDescent="0.25">
      <c r="A1155" s="1" t="s">
        <v>1170</v>
      </c>
      <c r="B1155" s="1" t="s">
        <v>14</v>
      </c>
      <c r="C1155" s="1" t="s">
        <v>10</v>
      </c>
      <c r="D1155">
        <v>80</v>
      </c>
      <c r="E1155">
        <v>0.13</v>
      </c>
      <c r="F1155" s="2">
        <v>43950</v>
      </c>
      <c r="G1155" s="2" t="str">
        <f>TEXT(LayoffsData[[#This Row],[date]],"yyyy-mm")</f>
        <v>2020-04</v>
      </c>
      <c r="H1155" s="1" t="s">
        <v>33</v>
      </c>
      <c r="I1155" s="1" t="s">
        <v>17</v>
      </c>
      <c r="J1155">
        <v>765</v>
      </c>
    </row>
    <row r="1156" spans="1:10" x14ac:dyDescent="0.25">
      <c r="A1156" s="1" t="s">
        <v>1171</v>
      </c>
      <c r="B1156" s="1" t="s">
        <v>55</v>
      </c>
      <c r="C1156" s="1" t="s">
        <v>147</v>
      </c>
      <c r="E1156">
        <v>0.15</v>
      </c>
      <c r="F1156" s="2">
        <v>44937</v>
      </c>
      <c r="G1156" s="2" t="str">
        <f>TEXT(LayoffsData[[#This Row],[date]],"yyyy-mm")</f>
        <v>2023-01</v>
      </c>
      <c r="H1156" s="1" t="s">
        <v>28</v>
      </c>
      <c r="I1156" s="1" t="s">
        <v>17</v>
      </c>
      <c r="J1156">
        <v>33</v>
      </c>
    </row>
    <row r="1157" spans="1:10" x14ac:dyDescent="0.25">
      <c r="A1157" s="1" t="s">
        <v>1172</v>
      </c>
      <c r="B1157" s="1" t="s">
        <v>32</v>
      </c>
      <c r="C1157" s="1" t="s">
        <v>165</v>
      </c>
      <c r="D1157">
        <v>13</v>
      </c>
      <c r="E1157">
        <v>1</v>
      </c>
      <c r="F1157" s="2">
        <v>44231</v>
      </c>
      <c r="G1157" s="2" t="str">
        <f>TEXT(LayoffsData[[#This Row],[date]],"yyyy-mm")</f>
        <v>2021-02</v>
      </c>
      <c r="H1157" s="1" t="s">
        <v>37</v>
      </c>
      <c r="I1157" s="1" t="s">
        <v>17</v>
      </c>
    </row>
    <row r="1158" spans="1:10" x14ac:dyDescent="0.25">
      <c r="A1158" s="1" t="s">
        <v>1173</v>
      </c>
      <c r="B1158" s="1" t="s">
        <v>14</v>
      </c>
      <c r="C1158" s="1" t="s">
        <v>147</v>
      </c>
      <c r="F1158" s="2">
        <v>44970</v>
      </c>
      <c r="G1158" s="2" t="str">
        <f>TEXT(LayoffsData[[#This Row],[date]],"yyyy-mm")</f>
        <v>2023-02</v>
      </c>
      <c r="H1158" s="1" t="s">
        <v>57</v>
      </c>
      <c r="I1158" s="1" t="s">
        <v>17</v>
      </c>
      <c r="J1158">
        <v>154</v>
      </c>
    </row>
    <row r="1159" spans="1:10" x14ac:dyDescent="0.25">
      <c r="A1159" s="1" t="s">
        <v>1173</v>
      </c>
      <c r="B1159" s="1" t="s">
        <v>14</v>
      </c>
      <c r="C1159" s="1" t="s">
        <v>165</v>
      </c>
      <c r="D1159">
        <v>960</v>
      </c>
      <c r="E1159">
        <v>0.06</v>
      </c>
      <c r="F1159" s="2">
        <v>44033</v>
      </c>
      <c r="G1159" s="2" t="str">
        <f>TEXT(LayoffsData[[#This Row],[date]],"yyyy-mm")</f>
        <v>2020-07</v>
      </c>
      <c r="H1159" s="1" t="s">
        <v>57</v>
      </c>
      <c r="I1159" s="1" t="s">
        <v>17</v>
      </c>
      <c r="J1159">
        <v>154</v>
      </c>
    </row>
    <row r="1160" spans="1:10" x14ac:dyDescent="0.25">
      <c r="A1160" s="1" t="s">
        <v>1174</v>
      </c>
      <c r="B1160" s="1" t="s">
        <v>115</v>
      </c>
      <c r="C1160" s="1" t="s">
        <v>20</v>
      </c>
      <c r="D1160">
        <v>35</v>
      </c>
      <c r="E1160">
        <v>0.35</v>
      </c>
      <c r="F1160" s="2">
        <v>44845</v>
      </c>
      <c r="G1160" s="2" t="str">
        <f>TEXT(LayoffsData[[#This Row],[date]],"yyyy-mm")</f>
        <v>2022-10</v>
      </c>
      <c r="H1160" s="1" t="s">
        <v>131</v>
      </c>
      <c r="I1160" s="1" t="s">
        <v>116</v>
      </c>
      <c r="J1160">
        <v>2</v>
      </c>
    </row>
    <row r="1161" spans="1:10" x14ac:dyDescent="0.25">
      <c r="A1161" s="1" t="s">
        <v>1175</v>
      </c>
      <c r="B1161" s="1" t="s">
        <v>259</v>
      </c>
      <c r="C1161" s="1" t="s">
        <v>27</v>
      </c>
      <c r="D1161">
        <v>50</v>
      </c>
      <c r="E1161">
        <v>0.17</v>
      </c>
      <c r="F1161" s="2">
        <v>44782</v>
      </c>
      <c r="G1161" s="2" t="str">
        <f>TEXT(LayoffsData[[#This Row],[date]],"yyyy-mm")</f>
        <v>2022-08</v>
      </c>
      <c r="H1161" s="1" t="s">
        <v>37</v>
      </c>
      <c r="I1161" s="1" t="s">
        <v>46</v>
      </c>
      <c r="J1161">
        <v>165</v>
      </c>
    </row>
    <row r="1162" spans="1:10" x14ac:dyDescent="0.25">
      <c r="A1162" s="1" t="s">
        <v>1176</v>
      </c>
      <c r="B1162" s="1" t="s">
        <v>1177</v>
      </c>
      <c r="C1162" s="1" t="s">
        <v>124</v>
      </c>
      <c r="F1162" s="2">
        <v>44722</v>
      </c>
      <c r="G1162" s="2" t="str">
        <f>TEXT(LayoffsData[[#This Row],[date]],"yyyy-mm")</f>
        <v>2022-06</v>
      </c>
      <c r="H1162" s="1" t="s">
        <v>24</v>
      </c>
      <c r="I1162" s="1" t="s">
        <v>17</v>
      </c>
      <c r="J1162">
        <v>22</v>
      </c>
    </row>
    <row r="1163" spans="1:10" x14ac:dyDescent="0.25">
      <c r="A1163" s="1" t="s">
        <v>1178</v>
      </c>
      <c r="B1163" s="1" t="s">
        <v>32</v>
      </c>
      <c r="C1163" s="1" t="s">
        <v>68</v>
      </c>
      <c r="D1163">
        <v>27</v>
      </c>
      <c r="E1163">
        <v>0.18</v>
      </c>
      <c r="F1163" s="2">
        <v>44902</v>
      </c>
      <c r="G1163" s="2" t="str">
        <f>TEXT(LayoffsData[[#This Row],[date]],"yyyy-mm")</f>
        <v>2022-12</v>
      </c>
      <c r="H1163" s="1" t="s">
        <v>28</v>
      </c>
      <c r="I1163" s="1" t="s">
        <v>17</v>
      </c>
      <c r="J1163">
        <v>115</v>
      </c>
    </row>
    <row r="1164" spans="1:10" x14ac:dyDescent="0.25">
      <c r="A1164" s="1" t="s">
        <v>1179</v>
      </c>
      <c r="B1164" s="1" t="s">
        <v>35</v>
      </c>
      <c r="C1164" s="1" t="s">
        <v>51</v>
      </c>
      <c r="D1164">
        <v>100</v>
      </c>
      <c r="E1164">
        <v>0.15</v>
      </c>
      <c r="F1164" s="2">
        <v>44608</v>
      </c>
      <c r="G1164" s="2" t="str">
        <f>TEXT(LayoffsData[[#This Row],[date]],"yyyy-mm")</f>
        <v>2022-02</v>
      </c>
      <c r="H1164" s="1" t="s">
        <v>33</v>
      </c>
      <c r="I1164" s="1" t="s">
        <v>38</v>
      </c>
      <c r="J1164">
        <v>118</v>
      </c>
    </row>
    <row r="1165" spans="1:10" x14ac:dyDescent="0.25">
      <c r="A1165" s="1" t="s">
        <v>1180</v>
      </c>
      <c r="B1165" s="1" t="s">
        <v>32</v>
      </c>
      <c r="C1165" s="1" t="s">
        <v>53</v>
      </c>
      <c r="D1165">
        <v>30</v>
      </c>
      <c r="F1165" s="2">
        <v>44136</v>
      </c>
      <c r="G1165" s="2" t="str">
        <f>TEXT(LayoffsData[[#This Row],[date]],"yyyy-mm")</f>
        <v>2020-11</v>
      </c>
      <c r="H1165" s="1" t="s">
        <v>11</v>
      </c>
      <c r="I1165" s="1" t="s">
        <v>17</v>
      </c>
      <c r="J1165">
        <v>42</v>
      </c>
    </row>
    <row r="1166" spans="1:10" x14ac:dyDescent="0.25">
      <c r="A1166" s="1" t="s">
        <v>1180</v>
      </c>
      <c r="B1166" s="1" t="s">
        <v>32</v>
      </c>
      <c r="C1166" s="1" t="s">
        <v>53</v>
      </c>
      <c r="D1166">
        <v>193</v>
      </c>
      <c r="E1166">
        <v>0.11</v>
      </c>
      <c r="F1166" s="2">
        <v>44819</v>
      </c>
      <c r="G1166" s="2" t="str">
        <f>TEXT(LayoffsData[[#This Row],[date]],"yyyy-mm")</f>
        <v>2022-09</v>
      </c>
      <c r="H1166" s="1" t="s">
        <v>11</v>
      </c>
      <c r="I1166" s="1" t="s">
        <v>17</v>
      </c>
      <c r="J1166">
        <v>42</v>
      </c>
    </row>
    <row r="1167" spans="1:10" x14ac:dyDescent="0.25">
      <c r="A1167" s="1" t="s">
        <v>1181</v>
      </c>
      <c r="B1167" s="1" t="s">
        <v>14</v>
      </c>
      <c r="C1167" s="1" t="s">
        <v>20</v>
      </c>
      <c r="E1167">
        <v>0.1</v>
      </c>
      <c r="F1167" s="2">
        <v>44868</v>
      </c>
      <c r="G1167" s="2" t="str">
        <f>TEXT(LayoffsData[[#This Row],[date]],"yyyy-mm")</f>
        <v>2022-11</v>
      </c>
      <c r="H1167" s="1" t="s">
        <v>11</v>
      </c>
      <c r="I1167" s="1" t="s">
        <v>17</v>
      </c>
      <c r="J1167">
        <v>16</v>
      </c>
    </row>
    <row r="1168" spans="1:10" x14ac:dyDescent="0.25">
      <c r="A1168" s="1" t="s">
        <v>1182</v>
      </c>
      <c r="B1168" s="1" t="s">
        <v>32</v>
      </c>
      <c r="C1168" s="1" t="s">
        <v>149</v>
      </c>
      <c r="D1168">
        <v>50</v>
      </c>
      <c r="F1168" s="2">
        <v>43954</v>
      </c>
      <c r="G1168" s="2" t="str">
        <f>TEXT(LayoffsData[[#This Row],[date]],"yyyy-mm")</f>
        <v>2020-05</v>
      </c>
      <c r="H1168" s="1" t="s">
        <v>11</v>
      </c>
      <c r="I1168" s="1" t="s">
        <v>17</v>
      </c>
      <c r="J1168">
        <v>46</v>
      </c>
    </row>
    <row r="1169" spans="1:10" x14ac:dyDescent="0.25">
      <c r="A1169" s="1" t="s">
        <v>1183</v>
      </c>
      <c r="B1169" s="1" t="s">
        <v>14</v>
      </c>
      <c r="C1169" s="1" t="s">
        <v>53</v>
      </c>
      <c r="E1169">
        <v>0.16</v>
      </c>
      <c r="F1169" s="2">
        <v>44943</v>
      </c>
      <c r="G1169" s="2" t="str">
        <f>TEXT(LayoffsData[[#This Row],[date]],"yyyy-mm")</f>
        <v>2023-01</v>
      </c>
      <c r="H1169" s="1" t="s">
        <v>11</v>
      </c>
      <c r="I1169" s="1" t="s">
        <v>17</v>
      </c>
      <c r="J1169">
        <v>12</v>
      </c>
    </row>
    <row r="1170" spans="1:10" x14ac:dyDescent="0.25">
      <c r="A1170" s="1" t="s">
        <v>1184</v>
      </c>
      <c r="B1170" s="1" t="s">
        <v>293</v>
      </c>
      <c r="C1170" s="1" t="s">
        <v>29</v>
      </c>
      <c r="D1170">
        <v>450</v>
      </c>
      <c r="E1170">
        <v>0.15</v>
      </c>
      <c r="F1170" s="2">
        <v>43970</v>
      </c>
      <c r="G1170" s="2" t="str">
        <f>TEXT(LayoffsData[[#This Row],[date]],"yyyy-mm")</f>
        <v>2020-05</v>
      </c>
      <c r="H1170" s="1" t="s">
        <v>33</v>
      </c>
      <c r="I1170" s="1" t="s">
        <v>69</v>
      </c>
      <c r="J1170">
        <v>157</v>
      </c>
    </row>
    <row r="1171" spans="1:10" x14ac:dyDescent="0.25">
      <c r="A1171" s="1" t="s">
        <v>1185</v>
      </c>
      <c r="B1171" s="1" t="s">
        <v>196</v>
      </c>
      <c r="C1171" s="1" t="s">
        <v>10</v>
      </c>
      <c r="E1171">
        <v>1</v>
      </c>
      <c r="F1171" s="2">
        <v>44979</v>
      </c>
      <c r="G1171" s="2" t="str">
        <f>TEXT(LayoffsData[[#This Row],[date]],"yyyy-mm")</f>
        <v>2023-02</v>
      </c>
      <c r="H1171" s="1" t="s">
        <v>131</v>
      </c>
      <c r="I1171" s="1" t="s">
        <v>17</v>
      </c>
      <c r="J1171">
        <v>57</v>
      </c>
    </row>
    <row r="1172" spans="1:10" x14ac:dyDescent="0.25">
      <c r="A1172" s="1" t="s">
        <v>1186</v>
      </c>
      <c r="B1172" s="1" t="s">
        <v>35</v>
      </c>
      <c r="C1172" s="1" t="s">
        <v>174</v>
      </c>
      <c r="D1172">
        <v>47</v>
      </c>
      <c r="F1172" s="2">
        <v>43917</v>
      </c>
      <c r="G1172" s="2" t="str">
        <f>TEXT(LayoffsData[[#This Row],[date]],"yyyy-mm")</f>
        <v>2020-03</v>
      </c>
      <c r="H1172" s="1" t="s">
        <v>28</v>
      </c>
      <c r="I1172" s="1" t="s">
        <v>38</v>
      </c>
      <c r="J1172">
        <v>263</v>
      </c>
    </row>
    <row r="1173" spans="1:10" x14ac:dyDescent="0.25">
      <c r="A1173" s="1" t="s">
        <v>1186</v>
      </c>
      <c r="B1173" s="1" t="s">
        <v>35</v>
      </c>
      <c r="C1173" s="1" t="s">
        <v>174</v>
      </c>
      <c r="D1173">
        <v>47</v>
      </c>
      <c r="E1173">
        <v>0.1</v>
      </c>
      <c r="F1173" s="2">
        <v>43938</v>
      </c>
      <c r="G1173" s="2" t="str">
        <f>TEXT(LayoffsData[[#This Row],[date]],"yyyy-mm")</f>
        <v>2020-04</v>
      </c>
      <c r="H1173" s="1" t="s">
        <v>28</v>
      </c>
      <c r="I1173" s="1" t="s">
        <v>38</v>
      </c>
      <c r="J1173">
        <v>263</v>
      </c>
    </row>
    <row r="1174" spans="1:10" x14ac:dyDescent="0.25">
      <c r="A1174" s="1" t="s">
        <v>1186</v>
      </c>
      <c r="B1174" s="1" t="s">
        <v>35</v>
      </c>
      <c r="C1174" s="1" t="s">
        <v>174</v>
      </c>
      <c r="D1174">
        <v>159</v>
      </c>
      <c r="F1174" s="2">
        <v>44670</v>
      </c>
      <c r="G1174" s="2" t="str">
        <f>TEXT(LayoffsData[[#This Row],[date]],"yyyy-mm")</f>
        <v>2022-04</v>
      </c>
      <c r="H1174" s="1" t="s">
        <v>37</v>
      </c>
      <c r="I1174" s="1" t="s">
        <v>38</v>
      </c>
      <c r="J1174">
        <v>788</v>
      </c>
    </row>
    <row r="1175" spans="1:10" x14ac:dyDescent="0.25">
      <c r="A1175" s="1" t="s">
        <v>1186</v>
      </c>
      <c r="B1175" s="1" t="s">
        <v>35</v>
      </c>
      <c r="C1175" s="1" t="s">
        <v>174</v>
      </c>
      <c r="D1175">
        <v>312</v>
      </c>
      <c r="E1175">
        <v>0.12</v>
      </c>
      <c r="F1175" s="2">
        <v>44902</v>
      </c>
      <c r="G1175" s="2" t="str">
        <f>TEXT(LayoffsData[[#This Row],[date]],"yyyy-mm")</f>
        <v>2022-12</v>
      </c>
      <c r="H1175" s="1" t="s">
        <v>37</v>
      </c>
      <c r="I1175" s="1" t="s">
        <v>38</v>
      </c>
      <c r="J1175">
        <v>788</v>
      </c>
    </row>
    <row r="1176" spans="1:10" x14ac:dyDescent="0.25">
      <c r="A1176" s="1" t="s">
        <v>1186</v>
      </c>
      <c r="B1176" s="1" t="s">
        <v>35</v>
      </c>
      <c r="C1176" s="1" t="s">
        <v>174</v>
      </c>
      <c r="D1176">
        <v>340</v>
      </c>
      <c r="E1176">
        <v>0.15</v>
      </c>
      <c r="F1176" s="2">
        <v>44988</v>
      </c>
      <c r="G1176" s="2" t="str">
        <f>TEXT(LayoffsData[[#This Row],[date]],"yyyy-mm")</f>
        <v>2023-03</v>
      </c>
      <c r="H1176" s="1" t="s">
        <v>37</v>
      </c>
      <c r="I1176" s="1" t="s">
        <v>38</v>
      </c>
      <c r="J1176">
        <v>788</v>
      </c>
    </row>
    <row r="1177" spans="1:10" x14ac:dyDescent="0.25">
      <c r="A1177" s="1" t="s">
        <v>1186</v>
      </c>
      <c r="B1177" s="1" t="s">
        <v>35</v>
      </c>
      <c r="C1177" s="1" t="s">
        <v>174</v>
      </c>
      <c r="D1177">
        <v>384</v>
      </c>
      <c r="E1177">
        <v>0.12</v>
      </c>
      <c r="F1177" s="2">
        <v>44747</v>
      </c>
      <c r="G1177" s="2" t="str">
        <f>TEXT(LayoffsData[[#This Row],[date]],"yyyy-mm")</f>
        <v>2022-07</v>
      </c>
      <c r="H1177" s="1" t="s">
        <v>37</v>
      </c>
      <c r="I1177" s="1" t="s">
        <v>38</v>
      </c>
      <c r="J1177">
        <v>788</v>
      </c>
    </row>
    <row r="1178" spans="1:10" x14ac:dyDescent="0.25">
      <c r="A1178" s="1" t="s">
        <v>1187</v>
      </c>
      <c r="B1178" s="1" t="s">
        <v>55</v>
      </c>
      <c r="C1178" s="1" t="s">
        <v>174</v>
      </c>
      <c r="D1178">
        <v>32</v>
      </c>
      <c r="E1178">
        <v>0.6</v>
      </c>
      <c r="F1178" s="2">
        <v>43980</v>
      </c>
      <c r="G1178" s="2" t="str">
        <f>TEXT(LayoffsData[[#This Row],[date]],"yyyy-mm")</f>
        <v>2020-05</v>
      </c>
      <c r="H1178" s="1" t="s">
        <v>21</v>
      </c>
      <c r="I1178" s="1" t="s">
        <v>17</v>
      </c>
      <c r="J1178">
        <v>17</v>
      </c>
    </row>
    <row r="1179" spans="1:10" x14ac:dyDescent="0.25">
      <c r="A1179" s="1" t="s">
        <v>1188</v>
      </c>
      <c r="B1179" s="1" t="s">
        <v>32</v>
      </c>
      <c r="C1179" s="1" t="s">
        <v>174</v>
      </c>
      <c r="D1179">
        <v>25</v>
      </c>
      <c r="E1179">
        <v>0.75</v>
      </c>
      <c r="F1179" s="2">
        <v>43920</v>
      </c>
      <c r="G1179" s="2" t="str">
        <f>TEXT(LayoffsData[[#This Row],[date]],"yyyy-mm")</f>
        <v>2020-03</v>
      </c>
      <c r="H1179" s="1" t="s">
        <v>21</v>
      </c>
      <c r="I1179" s="1" t="s">
        <v>17</v>
      </c>
      <c r="J1179">
        <v>18</v>
      </c>
    </row>
    <row r="1180" spans="1:10" x14ac:dyDescent="0.25">
      <c r="A1180" s="1" t="s">
        <v>1189</v>
      </c>
      <c r="B1180" s="1" t="s">
        <v>35</v>
      </c>
      <c r="C1180" s="1" t="s">
        <v>108</v>
      </c>
      <c r="D1180">
        <v>300</v>
      </c>
      <c r="E1180">
        <v>7.0000000000000007E-2</v>
      </c>
      <c r="F1180" s="2">
        <v>44963</v>
      </c>
      <c r="G1180" s="2" t="str">
        <f>TEXT(LayoffsData[[#This Row],[date]],"yyyy-mm")</f>
        <v>2023-02</v>
      </c>
      <c r="H1180" s="1" t="s">
        <v>86</v>
      </c>
      <c r="I1180" s="1" t="s">
        <v>38</v>
      </c>
      <c r="J1180">
        <v>507</v>
      </c>
    </row>
    <row r="1181" spans="1:10" x14ac:dyDescent="0.25">
      <c r="A1181" s="1" t="s">
        <v>1189</v>
      </c>
      <c r="B1181" s="1" t="s">
        <v>35</v>
      </c>
      <c r="C1181" s="1" t="s">
        <v>108</v>
      </c>
      <c r="D1181">
        <v>500</v>
      </c>
      <c r="E1181">
        <v>0.15</v>
      </c>
      <c r="F1181" s="2">
        <v>44781</v>
      </c>
      <c r="G1181" s="2" t="str">
        <f>TEXT(LayoffsData[[#This Row],[date]],"yyyy-mm")</f>
        <v>2022-08</v>
      </c>
      <c r="H1181" s="1" t="s">
        <v>86</v>
      </c>
      <c r="I1181" s="1" t="s">
        <v>38</v>
      </c>
      <c r="J1181">
        <v>507</v>
      </c>
    </row>
    <row r="1182" spans="1:10" x14ac:dyDescent="0.25">
      <c r="A1182" s="1" t="s">
        <v>1190</v>
      </c>
      <c r="B1182" s="1" t="s">
        <v>35</v>
      </c>
      <c r="C1182" s="1" t="s">
        <v>29</v>
      </c>
      <c r="D1182">
        <v>25</v>
      </c>
      <c r="E1182">
        <v>0.1</v>
      </c>
      <c r="F1182" s="2">
        <v>44798</v>
      </c>
      <c r="G1182" s="2" t="str">
        <f>TEXT(LayoffsData[[#This Row],[date]],"yyyy-mm")</f>
        <v>2022-08</v>
      </c>
      <c r="H1182" s="1" t="s">
        <v>57</v>
      </c>
      <c r="I1182" s="1" t="s">
        <v>38</v>
      </c>
    </row>
    <row r="1183" spans="1:10" x14ac:dyDescent="0.25">
      <c r="A1183" s="1" t="s">
        <v>1191</v>
      </c>
      <c r="B1183" s="1" t="s">
        <v>680</v>
      </c>
      <c r="C1183" s="1" t="s">
        <v>149</v>
      </c>
      <c r="D1183">
        <v>76</v>
      </c>
      <c r="E1183">
        <v>0.23</v>
      </c>
      <c r="F1183" s="2">
        <v>44881</v>
      </c>
      <c r="G1183" s="2" t="str">
        <f>TEXT(LayoffsData[[#This Row],[date]],"yyyy-mm")</f>
        <v>2022-11</v>
      </c>
      <c r="H1183" s="1" t="s">
        <v>24</v>
      </c>
      <c r="I1183" s="1" t="s">
        <v>17</v>
      </c>
      <c r="J1183">
        <v>56</v>
      </c>
    </row>
    <row r="1184" spans="1:10" x14ac:dyDescent="0.25">
      <c r="A1184" s="1" t="s">
        <v>1192</v>
      </c>
      <c r="B1184" s="1" t="s">
        <v>73</v>
      </c>
      <c r="C1184" s="1" t="s">
        <v>84</v>
      </c>
      <c r="D1184">
        <v>34</v>
      </c>
      <c r="F1184" s="2">
        <v>43909</v>
      </c>
      <c r="G1184" s="2" t="str">
        <f>TEXT(LayoffsData[[#This Row],[date]],"yyyy-mm")</f>
        <v>2020-03</v>
      </c>
      <c r="H1184" s="1" t="s">
        <v>28</v>
      </c>
      <c r="I1184" s="1" t="s">
        <v>17</v>
      </c>
      <c r="J1184">
        <v>81</v>
      </c>
    </row>
    <row r="1185" spans="1:10" x14ac:dyDescent="0.25">
      <c r="A1185" s="1" t="s">
        <v>1193</v>
      </c>
      <c r="B1185" s="1" t="s">
        <v>14</v>
      </c>
      <c r="C1185" s="1" t="s">
        <v>113</v>
      </c>
      <c r="D1185">
        <v>23</v>
      </c>
      <c r="E1185">
        <v>0.11</v>
      </c>
      <c r="F1185" s="2">
        <v>44854</v>
      </c>
      <c r="G1185" s="2" t="str">
        <f>TEXT(LayoffsData[[#This Row],[date]],"yyyy-mm")</f>
        <v>2022-10</v>
      </c>
      <c r="H1185" s="1" t="s">
        <v>28</v>
      </c>
      <c r="I1185" s="1" t="s">
        <v>17</v>
      </c>
      <c r="J1185">
        <v>203</v>
      </c>
    </row>
    <row r="1186" spans="1:10" x14ac:dyDescent="0.25">
      <c r="A1186" s="1" t="s">
        <v>1193</v>
      </c>
      <c r="B1186" s="1" t="s">
        <v>14</v>
      </c>
      <c r="C1186" s="1" t="s">
        <v>113</v>
      </c>
      <c r="D1186">
        <v>34</v>
      </c>
      <c r="E1186">
        <v>0.14000000000000001</v>
      </c>
      <c r="F1186" s="2">
        <v>44713</v>
      </c>
      <c r="G1186" s="2" t="str">
        <f>TEXT(LayoffsData[[#This Row],[date]],"yyyy-mm")</f>
        <v>2022-06</v>
      </c>
      <c r="H1186" s="1" t="s">
        <v>28</v>
      </c>
      <c r="I1186" s="1" t="s">
        <v>17</v>
      </c>
      <c r="J1186">
        <v>203</v>
      </c>
    </row>
    <row r="1187" spans="1:10" x14ac:dyDescent="0.25">
      <c r="A1187" s="1" t="s">
        <v>1194</v>
      </c>
      <c r="B1187" s="1" t="s">
        <v>40</v>
      </c>
      <c r="C1187" s="1" t="s">
        <v>68</v>
      </c>
      <c r="D1187">
        <v>15</v>
      </c>
      <c r="E1187">
        <v>0.2</v>
      </c>
      <c r="F1187" s="2">
        <v>44797</v>
      </c>
      <c r="G1187" s="2" t="str">
        <f>TEXT(LayoffsData[[#This Row],[date]],"yyyy-mm")</f>
        <v>2022-08</v>
      </c>
      <c r="H1187" s="1" t="s">
        <v>21</v>
      </c>
      <c r="I1187" s="1" t="s">
        <v>17</v>
      </c>
      <c r="J1187">
        <v>24</v>
      </c>
    </row>
    <row r="1188" spans="1:10" x14ac:dyDescent="0.25">
      <c r="A1188" s="1" t="s">
        <v>1195</v>
      </c>
      <c r="B1188" s="1" t="s">
        <v>9</v>
      </c>
      <c r="C1188" s="1" t="s">
        <v>48</v>
      </c>
      <c r="D1188">
        <v>11</v>
      </c>
      <c r="E1188">
        <v>0.08</v>
      </c>
      <c r="F1188" s="2">
        <v>43955</v>
      </c>
      <c r="G1188" s="2" t="str">
        <f>TEXT(LayoffsData[[#This Row],[date]],"yyyy-mm")</f>
        <v>2020-05</v>
      </c>
      <c r="H1188" s="1" t="s">
        <v>21</v>
      </c>
      <c r="I1188" s="1" t="s">
        <v>12</v>
      </c>
      <c r="J1188">
        <v>11</v>
      </c>
    </row>
    <row r="1189" spans="1:10" x14ac:dyDescent="0.25">
      <c r="A1189" s="1" t="s">
        <v>1196</v>
      </c>
      <c r="B1189" s="1" t="s">
        <v>200</v>
      </c>
      <c r="C1189" s="1" t="s">
        <v>20</v>
      </c>
      <c r="D1189">
        <v>8</v>
      </c>
      <c r="E1189">
        <v>0.04</v>
      </c>
      <c r="F1189" s="2">
        <v>43930</v>
      </c>
      <c r="G1189" s="2" t="str">
        <f>TEXT(LayoffsData[[#This Row],[date]],"yyyy-mm")</f>
        <v>2020-04</v>
      </c>
      <c r="H1189" s="1" t="s">
        <v>37</v>
      </c>
      <c r="I1189" s="1" t="s">
        <v>201</v>
      </c>
      <c r="J1189">
        <v>32</v>
      </c>
    </row>
    <row r="1190" spans="1:10" x14ac:dyDescent="0.25">
      <c r="A1190" s="1" t="s">
        <v>1197</v>
      </c>
      <c r="B1190" s="1" t="s">
        <v>695</v>
      </c>
      <c r="C1190" s="1" t="s">
        <v>27</v>
      </c>
      <c r="E1190">
        <v>1</v>
      </c>
      <c r="F1190" s="2">
        <v>44897</v>
      </c>
      <c r="G1190" s="2" t="str">
        <f>TEXT(LayoffsData[[#This Row],[date]],"yyyy-mm")</f>
        <v>2022-12</v>
      </c>
      <c r="H1190" s="1" t="s">
        <v>37</v>
      </c>
      <c r="I1190" s="1" t="s">
        <v>17</v>
      </c>
      <c r="J1190">
        <v>9</v>
      </c>
    </row>
    <row r="1191" spans="1:10" x14ac:dyDescent="0.25">
      <c r="A1191" s="1" t="s">
        <v>1198</v>
      </c>
      <c r="B1191" s="1" t="s">
        <v>32</v>
      </c>
      <c r="C1191" s="1" t="s">
        <v>15</v>
      </c>
      <c r="E1191">
        <v>0.2</v>
      </c>
      <c r="F1191" s="2">
        <v>44944</v>
      </c>
      <c r="G1191" s="2" t="str">
        <f>TEXT(LayoffsData[[#This Row],[date]],"yyyy-mm")</f>
        <v>2023-01</v>
      </c>
      <c r="H1191" s="1" t="s">
        <v>11</v>
      </c>
      <c r="I1191" s="1" t="s">
        <v>17</v>
      </c>
    </row>
    <row r="1192" spans="1:10" x14ac:dyDescent="0.25">
      <c r="A1192" s="1" t="s">
        <v>1199</v>
      </c>
      <c r="B1192" s="1" t="s">
        <v>14</v>
      </c>
      <c r="C1192" s="1" t="s">
        <v>15</v>
      </c>
      <c r="D1192">
        <v>26</v>
      </c>
      <c r="F1192" s="2">
        <v>44981</v>
      </c>
      <c r="G1192" s="2" t="str">
        <f>TEXT(LayoffsData[[#This Row],[date]],"yyyy-mm")</f>
        <v>2023-02</v>
      </c>
      <c r="H1192" s="1" t="s">
        <v>11</v>
      </c>
      <c r="I1192" s="1" t="s">
        <v>17</v>
      </c>
      <c r="J1192">
        <v>132</v>
      </c>
    </row>
    <row r="1193" spans="1:10" x14ac:dyDescent="0.25">
      <c r="A1193" s="1" t="s">
        <v>1200</v>
      </c>
      <c r="B1193" s="1" t="s">
        <v>1201</v>
      </c>
      <c r="C1193" s="1" t="s">
        <v>20</v>
      </c>
      <c r="F1193" s="2">
        <v>43937</v>
      </c>
      <c r="G1193" s="2" t="str">
        <f>TEXT(LayoffsData[[#This Row],[date]],"yyyy-mm")</f>
        <v>2020-04</v>
      </c>
      <c r="H1193" s="1" t="s">
        <v>37</v>
      </c>
      <c r="I1193" s="1" t="s">
        <v>17</v>
      </c>
    </row>
    <row r="1194" spans="1:10" x14ac:dyDescent="0.25">
      <c r="A1194" s="1" t="s">
        <v>1202</v>
      </c>
      <c r="B1194" s="1" t="s">
        <v>14</v>
      </c>
      <c r="C1194" s="1" t="s">
        <v>124</v>
      </c>
      <c r="E1194">
        <v>1</v>
      </c>
      <c r="F1194" s="2">
        <v>44061</v>
      </c>
      <c r="G1194" s="2" t="str">
        <f>TEXT(LayoffsData[[#This Row],[date]],"yyyy-mm")</f>
        <v>2020-08</v>
      </c>
      <c r="H1194" s="1" t="s">
        <v>21</v>
      </c>
      <c r="I1194" s="1" t="s">
        <v>17</v>
      </c>
      <c r="J1194">
        <v>10</v>
      </c>
    </row>
    <row r="1195" spans="1:10" x14ac:dyDescent="0.25">
      <c r="A1195" s="1" t="s">
        <v>1203</v>
      </c>
      <c r="B1195" s="1" t="s">
        <v>120</v>
      </c>
      <c r="C1195" s="1" t="s">
        <v>20</v>
      </c>
      <c r="D1195">
        <v>150</v>
      </c>
      <c r="F1195" s="2">
        <v>44719</v>
      </c>
      <c r="G1195" s="2" t="str">
        <f>TEXT(LayoffsData[[#This Row],[date]],"yyyy-mm")</f>
        <v>2022-06</v>
      </c>
      <c r="H1195" s="1" t="s">
        <v>28</v>
      </c>
      <c r="I1195" s="1" t="s">
        <v>121</v>
      </c>
      <c r="J1195">
        <v>149</v>
      </c>
    </row>
    <row r="1196" spans="1:10" x14ac:dyDescent="0.25">
      <c r="A1196" s="1" t="s">
        <v>1204</v>
      </c>
      <c r="B1196" s="1" t="s">
        <v>32</v>
      </c>
      <c r="C1196" s="1" t="s">
        <v>51</v>
      </c>
      <c r="D1196">
        <v>60</v>
      </c>
      <c r="E1196">
        <v>0.33</v>
      </c>
      <c r="F1196" s="2">
        <v>44763</v>
      </c>
      <c r="G1196" s="2" t="str">
        <f>TEXT(LayoffsData[[#This Row],[date]],"yyyy-mm")</f>
        <v>2022-07</v>
      </c>
      <c r="H1196" s="1" t="s">
        <v>24</v>
      </c>
      <c r="I1196" s="1" t="s">
        <v>17</v>
      </c>
      <c r="J1196">
        <v>72</v>
      </c>
    </row>
    <row r="1197" spans="1:10" x14ac:dyDescent="0.25">
      <c r="A1197" s="1" t="s">
        <v>1205</v>
      </c>
      <c r="B1197" s="1" t="s">
        <v>200</v>
      </c>
      <c r="C1197" s="1" t="s">
        <v>36</v>
      </c>
      <c r="D1197">
        <v>330</v>
      </c>
      <c r="E1197">
        <v>0.35</v>
      </c>
      <c r="F1197" s="2">
        <v>44951</v>
      </c>
      <c r="G1197" s="2" t="str">
        <f>TEXT(LayoffsData[[#This Row],[date]],"yyyy-mm")</f>
        <v>2023-01</v>
      </c>
      <c r="H1197" s="1" t="s">
        <v>57</v>
      </c>
      <c r="I1197" s="1" t="s">
        <v>201</v>
      </c>
      <c r="J1197">
        <v>13</v>
      </c>
    </row>
    <row r="1198" spans="1:10" x14ac:dyDescent="0.25">
      <c r="A1198" s="1" t="s">
        <v>1206</v>
      </c>
      <c r="B1198" s="1" t="s">
        <v>32</v>
      </c>
      <c r="C1198" s="1" t="s">
        <v>20</v>
      </c>
      <c r="D1198">
        <v>30</v>
      </c>
      <c r="E1198">
        <v>0.1</v>
      </c>
      <c r="F1198" s="2">
        <v>44760</v>
      </c>
      <c r="G1198" s="2" t="str">
        <f>TEXT(LayoffsData[[#This Row],[date]],"yyyy-mm")</f>
        <v>2022-07</v>
      </c>
      <c r="H1198" s="1" t="s">
        <v>24</v>
      </c>
      <c r="I1198" s="1" t="s">
        <v>17</v>
      </c>
      <c r="J1198">
        <v>245</v>
      </c>
    </row>
    <row r="1199" spans="1:10" x14ac:dyDescent="0.25">
      <c r="A1199" s="1" t="s">
        <v>1207</v>
      </c>
      <c r="B1199" s="1" t="s">
        <v>26</v>
      </c>
      <c r="C1199" s="1" t="s">
        <v>174</v>
      </c>
      <c r="D1199">
        <v>44</v>
      </c>
      <c r="F1199" s="2">
        <v>44943</v>
      </c>
      <c r="G1199" s="2" t="str">
        <f>TEXT(LayoffsData[[#This Row],[date]],"yyyy-mm")</f>
        <v>2023-01</v>
      </c>
      <c r="H1199" s="1" t="s">
        <v>24</v>
      </c>
      <c r="I1199" s="1" t="s">
        <v>17</v>
      </c>
      <c r="J1199">
        <v>31</v>
      </c>
    </row>
    <row r="1200" spans="1:10" x14ac:dyDescent="0.25">
      <c r="A1200" s="1" t="s">
        <v>1208</v>
      </c>
      <c r="B1200" s="1" t="s">
        <v>14</v>
      </c>
      <c r="C1200" s="1" t="s">
        <v>10</v>
      </c>
      <c r="D1200">
        <v>60</v>
      </c>
      <c r="E1200">
        <v>0.02</v>
      </c>
      <c r="F1200" s="2">
        <v>44762</v>
      </c>
      <c r="G1200" s="2" t="str">
        <f>TEXT(LayoffsData[[#This Row],[date]],"yyyy-mm")</f>
        <v>2022-07</v>
      </c>
      <c r="H1200" s="1" t="s">
        <v>11</v>
      </c>
      <c r="I1200" s="1" t="s">
        <v>17</v>
      </c>
      <c r="J1200">
        <v>4900</v>
      </c>
    </row>
    <row r="1201" spans="1:10" x14ac:dyDescent="0.25">
      <c r="A1201" s="1" t="s">
        <v>1208</v>
      </c>
      <c r="B1201" s="1" t="s">
        <v>14</v>
      </c>
      <c r="C1201" s="1" t="s">
        <v>10</v>
      </c>
      <c r="D1201">
        <v>700</v>
      </c>
      <c r="E1201">
        <v>0.13</v>
      </c>
      <c r="F1201" s="2">
        <v>44868</v>
      </c>
      <c r="G1201" s="2" t="str">
        <f>TEXT(LayoffsData[[#This Row],[date]],"yyyy-mm")</f>
        <v>2022-11</v>
      </c>
      <c r="H1201" s="1" t="s">
        <v>11</v>
      </c>
      <c r="I1201" s="1" t="s">
        <v>17</v>
      </c>
      <c r="J1201">
        <v>4900</v>
      </c>
    </row>
    <row r="1202" spans="1:10" x14ac:dyDescent="0.25">
      <c r="A1202" s="1" t="s">
        <v>1208</v>
      </c>
      <c r="B1202" s="1" t="s">
        <v>14</v>
      </c>
      <c r="C1202" s="1" t="s">
        <v>10</v>
      </c>
      <c r="D1202">
        <v>982</v>
      </c>
      <c r="E1202">
        <v>0.17</v>
      </c>
      <c r="F1202" s="2">
        <v>43950</v>
      </c>
      <c r="G1202" s="2" t="str">
        <f>TEXT(LayoffsData[[#This Row],[date]],"yyyy-mm")</f>
        <v>2020-04</v>
      </c>
      <c r="H1202" s="1" t="s">
        <v>11</v>
      </c>
      <c r="I1202" s="1" t="s">
        <v>17</v>
      </c>
      <c r="J1202">
        <v>4900</v>
      </c>
    </row>
    <row r="1203" spans="1:10" x14ac:dyDescent="0.25">
      <c r="A1203" s="1" t="s">
        <v>1209</v>
      </c>
      <c r="B1203" s="1" t="s">
        <v>14</v>
      </c>
      <c r="C1203" s="1" t="s">
        <v>174</v>
      </c>
      <c r="D1203">
        <v>100</v>
      </c>
      <c r="F1203" s="2">
        <v>43915</v>
      </c>
      <c r="G1203" s="2" t="str">
        <f>TEXT(LayoffsData[[#This Row],[date]],"yyyy-mm")</f>
        <v>2020-03</v>
      </c>
      <c r="H1203" s="1" t="s">
        <v>24</v>
      </c>
      <c r="I1203" s="1" t="s">
        <v>17</v>
      </c>
      <c r="J1203">
        <v>179</v>
      </c>
    </row>
    <row r="1204" spans="1:10" x14ac:dyDescent="0.25">
      <c r="A1204" s="1" t="s">
        <v>1210</v>
      </c>
      <c r="B1204" s="1" t="s">
        <v>200</v>
      </c>
      <c r="C1204" s="1" t="s">
        <v>29</v>
      </c>
      <c r="D1204">
        <v>50</v>
      </c>
      <c r="E1204">
        <v>0.25</v>
      </c>
      <c r="F1204" s="2">
        <v>44894</v>
      </c>
      <c r="G1204" s="2" t="str">
        <f>TEXT(LayoffsData[[#This Row],[date]],"yyyy-mm")</f>
        <v>2022-11</v>
      </c>
      <c r="H1204" s="1" t="s">
        <v>37</v>
      </c>
      <c r="I1204" s="1" t="s">
        <v>201</v>
      </c>
      <c r="J1204">
        <v>144</v>
      </c>
    </row>
    <row r="1205" spans="1:10" x14ac:dyDescent="0.25">
      <c r="A1205" s="1" t="s">
        <v>1211</v>
      </c>
      <c r="B1205" s="1" t="s">
        <v>71</v>
      </c>
      <c r="C1205" s="1" t="s">
        <v>20</v>
      </c>
      <c r="F1205" s="2">
        <v>43929</v>
      </c>
      <c r="G1205" s="2" t="str">
        <f>TEXT(LayoffsData[[#This Row],[date]],"yyyy-mm")</f>
        <v>2020-04</v>
      </c>
      <c r="H1205" s="1" t="s">
        <v>28</v>
      </c>
      <c r="I1205" s="1" t="s">
        <v>17</v>
      </c>
      <c r="J1205">
        <v>58</v>
      </c>
    </row>
    <row r="1206" spans="1:10" x14ac:dyDescent="0.25">
      <c r="A1206" s="1" t="s">
        <v>1212</v>
      </c>
      <c r="B1206" s="1" t="s">
        <v>76</v>
      </c>
      <c r="C1206" s="1" t="s">
        <v>68</v>
      </c>
      <c r="D1206">
        <v>38</v>
      </c>
      <c r="F1206" s="2">
        <v>44761</v>
      </c>
      <c r="G1206" s="2" t="str">
        <f>TEXT(LayoffsData[[#This Row],[date]],"yyyy-mm")</f>
        <v>2022-07</v>
      </c>
      <c r="H1206" s="1" t="s">
        <v>16</v>
      </c>
      <c r="I1206" s="1" t="s">
        <v>17</v>
      </c>
      <c r="J1206">
        <v>323</v>
      </c>
    </row>
    <row r="1207" spans="1:10" x14ac:dyDescent="0.25">
      <c r="A1207" s="1" t="s">
        <v>1213</v>
      </c>
      <c r="B1207" s="1" t="s">
        <v>200</v>
      </c>
      <c r="C1207" s="1" t="s">
        <v>29</v>
      </c>
      <c r="E1207">
        <v>0.35</v>
      </c>
      <c r="F1207" s="2">
        <v>44826</v>
      </c>
      <c r="G1207" s="2" t="str">
        <f>TEXT(LayoffsData[[#This Row],[date]],"yyyy-mm")</f>
        <v>2022-09</v>
      </c>
      <c r="H1207" s="1" t="s">
        <v>33</v>
      </c>
      <c r="I1207" s="1" t="s">
        <v>201</v>
      </c>
      <c r="J1207">
        <v>136</v>
      </c>
    </row>
    <row r="1208" spans="1:10" x14ac:dyDescent="0.25">
      <c r="A1208" s="1" t="s">
        <v>1214</v>
      </c>
      <c r="B1208" s="1" t="s">
        <v>14</v>
      </c>
      <c r="C1208" s="1" t="s">
        <v>63</v>
      </c>
      <c r="E1208">
        <v>1</v>
      </c>
      <c r="F1208" s="2">
        <v>44315</v>
      </c>
      <c r="G1208" s="2" t="str">
        <f>TEXT(LayoffsData[[#This Row],[date]],"yyyy-mm")</f>
        <v>2021-04</v>
      </c>
      <c r="H1208" s="1" t="s">
        <v>24</v>
      </c>
      <c r="I1208" s="1" t="s">
        <v>17</v>
      </c>
      <c r="J1208">
        <v>16</v>
      </c>
    </row>
    <row r="1209" spans="1:10" x14ac:dyDescent="0.25">
      <c r="A1209" s="1" t="s">
        <v>1215</v>
      </c>
      <c r="B1209" s="1" t="s">
        <v>264</v>
      </c>
      <c r="C1209" s="1" t="s">
        <v>29</v>
      </c>
      <c r="D1209">
        <v>60</v>
      </c>
      <c r="E1209">
        <v>0.03</v>
      </c>
      <c r="F1209" s="2">
        <v>44782</v>
      </c>
      <c r="G1209" s="2" t="str">
        <f>TEXT(LayoffsData[[#This Row],[date]],"yyyy-mm")</f>
        <v>2022-08</v>
      </c>
      <c r="H1209" s="1" t="s">
        <v>16</v>
      </c>
      <c r="I1209" s="1" t="s">
        <v>38</v>
      </c>
      <c r="J1209">
        <v>338</v>
      </c>
    </row>
    <row r="1210" spans="1:10" x14ac:dyDescent="0.25">
      <c r="A1210" s="1" t="s">
        <v>1216</v>
      </c>
      <c r="B1210" s="1" t="s">
        <v>14</v>
      </c>
      <c r="C1210" s="1" t="s">
        <v>36</v>
      </c>
      <c r="D1210">
        <v>22</v>
      </c>
      <c r="F1210" s="2">
        <v>44970</v>
      </c>
      <c r="G1210" s="2" t="str">
        <f>TEXT(LayoffsData[[#This Row],[date]],"yyyy-mm")</f>
        <v>2023-02</v>
      </c>
      <c r="H1210" s="1" t="s">
        <v>24</v>
      </c>
      <c r="I1210" s="1" t="s">
        <v>17</v>
      </c>
      <c r="J1210">
        <v>170</v>
      </c>
    </row>
    <row r="1211" spans="1:10" x14ac:dyDescent="0.25">
      <c r="A1211" s="1" t="s">
        <v>1217</v>
      </c>
      <c r="B1211" s="1" t="s">
        <v>182</v>
      </c>
      <c r="C1211" s="1" t="s">
        <v>27</v>
      </c>
      <c r="D1211">
        <v>1000</v>
      </c>
      <c r="E1211">
        <v>0.5</v>
      </c>
      <c r="F1211" s="2">
        <v>43943</v>
      </c>
      <c r="G1211" s="2" t="str">
        <f>TEXT(LayoffsData[[#This Row],[date]],"yyyy-mm")</f>
        <v>2020-04</v>
      </c>
      <c r="H1211" s="1" t="s">
        <v>16</v>
      </c>
      <c r="I1211" s="1" t="s">
        <v>17</v>
      </c>
      <c r="J1211">
        <v>2600</v>
      </c>
    </row>
    <row r="1212" spans="1:10" x14ac:dyDescent="0.25">
      <c r="A1212" s="1" t="s">
        <v>1218</v>
      </c>
      <c r="B1212" s="1" t="s">
        <v>1219</v>
      </c>
      <c r="C1212" s="1" t="s">
        <v>174</v>
      </c>
      <c r="D1212">
        <v>250</v>
      </c>
      <c r="F1212" s="2">
        <v>43968</v>
      </c>
      <c r="G1212" s="2" t="str">
        <f>TEXT(LayoffsData[[#This Row],[date]],"yyyy-mm")</f>
        <v>2020-05</v>
      </c>
      <c r="H1212" s="1" t="s">
        <v>37</v>
      </c>
      <c r="I1212" s="1" t="s">
        <v>69</v>
      </c>
      <c r="J1212">
        <v>300</v>
      </c>
    </row>
    <row r="1213" spans="1:10" x14ac:dyDescent="0.25">
      <c r="A1213" s="1" t="s">
        <v>1220</v>
      </c>
      <c r="B1213" s="1" t="s">
        <v>26</v>
      </c>
      <c r="C1213" s="1" t="s">
        <v>20</v>
      </c>
      <c r="E1213">
        <v>0.06</v>
      </c>
      <c r="F1213" s="2">
        <v>44945</v>
      </c>
      <c r="G1213" s="2" t="str">
        <f>TEXT(LayoffsData[[#This Row],[date]],"yyyy-mm")</f>
        <v>2023-01</v>
      </c>
      <c r="H1213" s="1" t="s">
        <v>11</v>
      </c>
      <c r="I1213" s="1" t="s">
        <v>17</v>
      </c>
      <c r="J1213">
        <v>400</v>
      </c>
    </row>
    <row r="1214" spans="1:10" x14ac:dyDescent="0.25">
      <c r="A1214" s="1" t="s">
        <v>1221</v>
      </c>
      <c r="B1214" s="1" t="s">
        <v>14</v>
      </c>
      <c r="C1214" s="1" t="s">
        <v>68</v>
      </c>
      <c r="D1214">
        <v>45</v>
      </c>
      <c r="E1214">
        <v>0.3</v>
      </c>
      <c r="F1214" s="2">
        <v>44685</v>
      </c>
      <c r="G1214" s="2" t="str">
        <f>TEXT(LayoffsData[[#This Row],[date]],"yyyy-mm")</f>
        <v>2022-05</v>
      </c>
      <c r="H1214" s="1" t="s">
        <v>21</v>
      </c>
      <c r="I1214" s="1" t="s">
        <v>17</v>
      </c>
      <c r="J1214">
        <v>64</v>
      </c>
    </row>
    <row r="1215" spans="1:10" x14ac:dyDescent="0.25">
      <c r="A1215" s="1" t="s">
        <v>1222</v>
      </c>
      <c r="B1215" s="1" t="s">
        <v>14</v>
      </c>
      <c r="C1215" s="1" t="s">
        <v>41</v>
      </c>
      <c r="F1215" s="2">
        <v>43917</v>
      </c>
      <c r="G1215" s="2" t="str">
        <f>TEXT(LayoffsData[[#This Row],[date]],"yyyy-mm")</f>
        <v>2020-03</v>
      </c>
      <c r="H1215" s="1" t="s">
        <v>37</v>
      </c>
      <c r="I1215" s="1" t="s">
        <v>17</v>
      </c>
    </row>
    <row r="1216" spans="1:10" x14ac:dyDescent="0.25">
      <c r="A1216" s="1" t="s">
        <v>1223</v>
      </c>
      <c r="B1216" s="1" t="s">
        <v>424</v>
      </c>
      <c r="C1216" s="1" t="s">
        <v>84</v>
      </c>
      <c r="D1216">
        <v>350</v>
      </c>
      <c r="E1216">
        <v>0.1</v>
      </c>
      <c r="F1216" s="2">
        <v>43983</v>
      </c>
      <c r="G1216" s="2" t="str">
        <f>TEXT(LayoffsData[[#This Row],[date]],"yyyy-mm")</f>
        <v>2020-06</v>
      </c>
      <c r="H1216" s="1" t="s">
        <v>11</v>
      </c>
      <c r="I1216" s="1" t="s">
        <v>69</v>
      </c>
      <c r="J1216">
        <v>548</v>
      </c>
    </row>
    <row r="1217" spans="1:10" x14ac:dyDescent="0.25">
      <c r="A1217" s="1" t="s">
        <v>1223</v>
      </c>
      <c r="B1217" s="1" t="s">
        <v>370</v>
      </c>
      <c r="C1217" s="1" t="s">
        <v>84</v>
      </c>
      <c r="D1217">
        <v>350</v>
      </c>
      <c r="E1217">
        <v>0.1</v>
      </c>
      <c r="F1217" s="2">
        <v>44074</v>
      </c>
      <c r="G1217" s="2" t="str">
        <f>TEXT(LayoffsData[[#This Row],[date]],"yyyy-mm")</f>
        <v>2020-08</v>
      </c>
      <c r="H1217" s="1" t="s">
        <v>11</v>
      </c>
      <c r="I1217" s="1" t="s">
        <v>69</v>
      </c>
      <c r="J1217">
        <v>548</v>
      </c>
    </row>
    <row r="1218" spans="1:10" x14ac:dyDescent="0.25">
      <c r="A1218" s="1" t="s">
        <v>1224</v>
      </c>
      <c r="B1218" s="1" t="s">
        <v>32</v>
      </c>
      <c r="C1218" s="1" t="s">
        <v>27</v>
      </c>
      <c r="D1218">
        <v>12</v>
      </c>
      <c r="F1218" s="2">
        <v>43984</v>
      </c>
      <c r="G1218" s="2" t="str">
        <f>TEXT(LayoffsData[[#This Row],[date]],"yyyy-mm")</f>
        <v>2020-06</v>
      </c>
      <c r="H1218" s="1" t="s">
        <v>57</v>
      </c>
      <c r="I1218" s="1" t="s">
        <v>17</v>
      </c>
      <c r="J1218">
        <v>10</v>
      </c>
    </row>
    <row r="1219" spans="1:10" x14ac:dyDescent="0.25">
      <c r="A1219" s="1" t="s">
        <v>1225</v>
      </c>
      <c r="B1219" s="1" t="s">
        <v>14</v>
      </c>
      <c r="C1219" s="1" t="s">
        <v>172</v>
      </c>
      <c r="D1219">
        <v>125</v>
      </c>
      <c r="E1219">
        <v>0.14000000000000001</v>
      </c>
      <c r="F1219" s="2">
        <v>44790</v>
      </c>
      <c r="G1219" s="2" t="str">
        <f>TEXT(LayoffsData[[#This Row],[date]],"yyyy-mm")</f>
        <v>2022-08</v>
      </c>
      <c r="H1219" s="1" t="s">
        <v>24</v>
      </c>
      <c r="I1219" s="1" t="s">
        <v>17</v>
      </c>
      <c r="J1219">
        <v>80</v>
      </c>
    </row>
    <row r="1220" spans="1:10" x14ac:dyDescent="0.25">
      <c r="A1220" s="1" t="s">
        <v>1226</v>
      </c>
      <c r="B1220" s="1" t="s">
        <v>40</v>
      </c>
      <c r="C1220" s="1" t="s">
        <v>74</v>
      </c>
      <c r="F1220" s="2">
        <v>43927</v>
      </c>
      <c r="G1220" s="2" t="str">
        <f>TEXT(LayoffsData[[#This Row],[date]],"yyyy-mm")</f>
        <v>2020-04</v>
      </c>
      <c r="H1220" s="1" t="s">
        <v>28</v>
      </c>
      <c r="I1220" s="1" t="s">
        <v>17</v>
      </c>
      <c r="J1220">
        <v>227</v>
      </c>
    </row>
    <row r="1221" spans="1:10" x14ac:dyDescent="0.25">
      <c r="A1221" s="1" t="s">
        <v>1226</v>
      </c>
      <c r="B1221" s="1" t="s">
        <v>40</v>
      </c>
      <c r="C1221" s="1" t="s">
        <v>74</v>
      </c>
      <c r="D1221">
        <v>64</v>
      </c>
      <c r="F1221" s="2">
        <v>44938</v>
      </c>
      <c r="G1221" s="2" t="str">
        <f>TEXT(LayoffsData[[#This Row],[date]],"yyyy-mm")</f>
        <v>2023-01</v>
      </c>
      <c r="H1221" s="1" t="s">
        <v>37</v>
      </c>
      <c r="I1221" s="1" t="s">
        <v>17</v>
      </c>
      <c r="J1221">
        <v>334</v>
      </c>
    </row>
    <row r="1222" spans="1:10" x14ac:dyDescent="0.25">
      <c r="A1222" s="1" t="s">
        <v>1227</v>
      </c>
      <c r="B1222" s="1" t="s">
        <v>79</v>
      </c>
      <c r="C1222" s="1" t="s">
        <v>84</v>
      </c>
      <c r="F1222" s="2">
        <v>44062</v>
      </c>
      <c r="G1222" s="2" t="str">
        <f>TEXT(LayoffsData[[#This Row],[date]],"yyyy-mm")</f>
        <v>2020-08</v>
      </c>
      <c r="H1222" s="1" t="s">
        <v>131</v>
      </c>
      <c r="I1222" s="1" t="s">
        <v>80</v>
      </c>
      <c r="J1222">
        <v>1</v>
      </c>
    </row>
    <row r="1223" spans="1:10" x14ac:dyDescent="0.25">
      <c r="A1223" s="1" t="s">
        <v>1228</v>
      </c>
      <c r="B1223" s="1" t="s">
        <v>123</v>
      </c>
      <c r="C1223" s="1" t="s">
        <v>74</v>
      </c>
      <c r="E1223">
        <v>0.08</v>
      </c>
      <c r="F1223" s="2">
        <v>44958</v>
      </c>
      <c r="G1223" s="2" t="str">
        <f>TEXT(LayoffsData[[#This Row],[date]],"yyyy-mm")</f>
        <v>2023-02</v>
      </c>
      <c r="H1223" s="1" t="s">
        <v>11</v>
      </c>
      <c r="I1223" s="1" t="s">
        <v>125</v>
      </c>
      <c r="J1223">
        <v>245</v>
      </c>
    </row>
    <row r="1224" spans="1:10" x14ac:dyDescent="0.25">
      <c r="A1224" s="1" t="s">
        <v>1229</v>
      </c>
      <c r="B1224" s="1" t="s">
        <v>32</v>
      </c>
      <c r="C1224" s="1" t="s">
        <v>149</v>
      </c>
      <c r="F1224" s="2">
        <v>44735</v>
      </c>
      <c r="G1224" s="2" t="str">
        <f>TEXT(LayoffsData[[#This Row],[date]],"yyyy-mm")</f>
        <v>2022-06</v>
      </c>
      <c r="H1224" s="1" t="s">
        <v>16</v>
      </c>
      <c r="I1224" s="1" t="s">
        <v>17</v>
      </c>
      <c r="J1224">
        <v>229</v>
      </c>
    </row>
    <row r="1225" spans="1:10" x14ac:dyDescent="0.25">
      <c r="A1225" s="1" t="s">
        <v>1230</v>
      </c>
      <c r="B1225" s="1" t="s">
        <v>522</v>
      </c>
      <c r="C1225" s="1" t="s">
        <v>29</v>
      </c>
      <c r="D1225">
        <v>54</v>
      </c>
      <c r="E1225">
        <v>0.09</v>
      </c>
      <c r="F1225" s="2">
        <v>44784</v>
      </c>
      <c r="G1225" s="2" t="str">
        <f>TEXT(LayoffsData[[#This Row],[date]],"yyyy-mm")</f>
        <v>2022-08</v>
      </c>
      <c r="H1225" s="1" t="s">
        <v>21</v>
      </c>
      <c r="I1225" s="1" t="s">
        <v>523</v>
      </c>
      <c r="J1225">
        <v>42</v>
      </c>
    </row>
    <row r="1226" spans="1:10" x14ac:dyDescent="0.25">
      <c r="A1226" s="1" t="s">
        <v>1231</v>
      </c>
      <c r="B1226" s="1" t="s">
        <v>32</v>
      </c>
      <c r="C1226" s="1" t="s">
        <v>29</v>
      </c>
      <c r="E1226">
        <v>1</v>
      </c>
      <c r="F1226" s="2">
        <v>43966</v>
      </c>
      <c r="G1226" s="2" t="str">
        <f>TEXT(LayoffsData[[#This Row],[date]],"yyyy-mm")</f>
        <v>2020-05</v>
      </c>
      <c r="H1226" s="1" t="s">
        <v>131</v>
      </c>
      <c r="I1226" s="1" t="s">
        <v>17</v>
      </c>
      <c r="J1226">
        <v>3</v>
      </c>
    </row>
    <row r="1227" spans="1:10" x14ac:dyDescent="0.25">
      <c r="A1227" s="1" t="s">
        <v>1232</v>
      </c>
      <c r="B1227" s="1" t="s">
        <v>14</v>
      </c>
      <c r="C1227" s="1" t="s">
        <v>41</v>
      </c>
      <c r="D1227">
        <v>79</v>
      </c>
      <c r="F1227" s="2">
        <v>44987</v>
      </c>
      <c r="G1227" s="2" t="str">
        <f>TEXT(LayoffsData[[#This Row],[date]],"yyyy-mm")</f>
        <v>2023-03</v>
      </c>
      <c r="H1227" s="1" t="s">
        <v>16</v>
      </c>
      <c r="I1227" s="1" t="s">
        <v>17</v>
      </c>
      <c r="J1227">
        <v>461</v>
      </c>
    </row>
    <row r="1228" spans="1:10" x14ac:dyDescent="0.25">
      <c r="A1228" s="1" t="s">
        <v>1232</v>
      </c>
      <c r="B1228" s="1" t="s">
        <v>14</v>
      </c>
      <c r="C1228" s="1" t="s">
        <v>41</v>
      </c>
      <c r="D1228">
        <v>120</v>
      </c>
      <c r="E1228">
        <v>0.2</v>
      </c>
      <c r="F1228" s="2">
        <v>44734</v>
      </c>
      <c r="G1228" s="2" t="str">
        <f>TEXT(LayoffsData[[#This Row],[date]],"yyyy-mm")</f>
        <v>2022-06</v>
      </c>
      <c r="H1228" s="1" t="s">
        <v>16</v>
      </c>
      <c r="I1228" s="1" t="s">
        <v>17</v>
      </c>
      <c r="J1228">
        <v>461</v>
      </c>
    </row>
    <row r="1229" spans="1:10" x14ac:dyDescent="0.25">
      <c r="A1229" s="1" t="s">
        <v>1233</v>
      </c>
      <c r="B1229" s="1" t="s">
        <v>32</v>
      </c>
      <c r="C1229" s="1" t="s">
        <v>27</v>
      </c>
      <c r="E1229">
        <v>0.08</v>
      </c>
      <c r="F1229" s="2">
        <v>44958</v>
      </c>
      <c r="G1229" s="2" t="str">
        <f>TEXT(LayoffsData[[#This Row],[date]],"yyyy-mm")</f>
        <v>2023-02</v>
      </c>
      <c r="H1229" s="1" t="s">
        <v>11</v>
      </c>
      <c r="I1229" s="1" t="s">
        <v>17</v>
      </c>
    </row>
    <row r="1230" spans="1:10" x14ac:dyDescent="0.25">
      <c r="A1230" s="1" t="s">
        <v>1234</v>
      </c>
      <c r="B1230" s="1" t="s">
        <v>101</v>
      </c>
      <c r="C1230" s="1" t="s">
        <v>36</v>
      </c>
      <c r="D1230">
        <v>29</v>
      </c>
      <c r="E1230">
        <v>0.1</v>
      </c>
      <c r="F1230" s="2">
        <v>44953</v>
      </c>
      <c r="G1230" s="2" t="str">
        <f>TEXT(LayoffsData[[#This Row],[date]],"yyyy-mm")</f>
        <v>2023-01</v>
      </c>
      <c r="H1230" s="1" t="s">
        <v>28</v>
      </c>
      <c r="I1230" s="1" t="s">
        <v>101</v>
      </c>
      <c r="J1230">
        <v>100</v>
      </c>
    </row>
    <row r="1231" spans="1:10" x14ac:dyDescent="0.25">
      <c r="A1231" s="1" t="s">
        <v>1235</v>
      </c>
      <c r="B1231" s="1" t="s">
        <v>14</v>
      </c>
      <c r="C1231" s="1" t="s">
        <v>74</v>
      </c>
      <c r="D1231">
        <v>90</v>
      </c>
      <c r="E1231">
        <v>0.34</v>
      </c>
      <c r="F1231" s="2">
        <v>43930</v>
      </c>
      <c r="G1231" s="2" t="str">
        <f>TEXT(LayoffsData[[#This Row],[date]],"yyyy-mm")</f>
        <v>2020-04</v>
      </c>
      <c r="H1231" s="1" t="s">
        <v>33</v>
      </c>
      <c r="I1231" s="1" t="s">
        <v>17</v>
      </c>
      <c r="J1231">
        <v>114</v>
      </c>
    </row>
    <row r="1232" spans="1:10" x14ac:dyDescent="0.25">
      <c r="A1232" s="1" t="s">
        <v>1236</v>
      </c>
      <c r="B1232" s="1" t="s">
        <v>55</v>
      </c>
      <c r="C1232" s="1" t="s">
        <v>63</v>
      </c>
      <c r="D1232">
        <v>31</v>
      </c>
      <c r="E1232">
        <v>0.09</v>
      </c>
      <c r="F1232" s="2">
        <v>43920</v>
      </c>
      <c r="G1232" s="2" t="str">
        <f>TEXT(LayoffsData[[#This Row],[date]],"yyyy-mm")</f>
        <v>2020-03</v>
      </c>
      <c r="H1232" s="1" t="s">
        <v>11</v>
      </c>
      <c r="I1232" s="1" t="s">
        <v>17</v>
      </c>
      <c r="J1232">
        <v>77</v>
      </c>
    </row>
    <row r="1233" spans="1:10" x14ac:dyDescent="0.25">
      <c r="A1233" s="1" t="s">
        <v>1237</v>
      </c>
      <c r="B1233" s="1" t="s">
        <v>278</v>
      </c>
      <c r="C1233" s="1" t="s">
        <v>124</v>
      </c>
      <c r="F1233" s="2">
        <v>44944</v>
      </c>
      <c r="G1233" s="2" t="str">
        <f>TEXT(LayoffsData[[#This Row],[date]],"yyyy-mm")</f>
        <v>2023-01</v>
      </c>
      <c r="H1233" s="1" t="s">
        <v>57</v>
      </c>
      <c r="I1233" s="1" t="s">
        <v>17</v>
      </c>
      <c r="J1233">
        <v>854</v>
      </c>
    </row>
    <row r="1234" spans="1:10" x14ac:dyDescent="0.25">
      <c r="A1234" s="1" t="s">
        <v>1238</v>
      </c>
      <c r="B1234" s="1" t="s">
        <v>972</v>
      </c>
      <c r="C1234" s="1" t="s">
        <v>84</v>
      </c>
      <c r="D1234">
        <v>167</v>
      </c>
      <c r="E1234">
        <v>0.42</v>
      </c>
      <c r="F1234" s="2">
        <v>43924</v>
      </c>
      <c r="G1234" s="2" t="str">
        <f>TEXT(LayoffsData[[#This Row],[date]],"yyyy-mm")</f>
        <v>2020-04</v>
      </c>
      <c r="H1234" s="1" t="s">
        <v>37</v>
      </c>
      <c r="I1234" s="1" t="s">
        <v>38</v>
      </c>
    </row>
    <row r="1235" spans="1:10" x14ac:dyDescent="0.25">
      <c r="A1235" s="1" t="s">
        <v>1239</v>
      </c>
      <c r="B1235" s="1" t="s">
        <v>79</v>
      </c>
      <c r="C1235" s="1" t="s">
        <v>174</v>
      </c>
      <c r="D1235">
        <v>90</v>
      </c>
      <c r="F1235" s="2">
        <v>44768</v>
      </c>
      <c r="G1235" s="2" t="str">
        <f>TEXT(LayoffsData[[#This Row],[date]],"yyyy-mm")</f>
        <v>2022-07</v>
      </c>
      <c r="H1235" s="1" t="s">
        <v>37</v>
      </c>
      <c r="I1235" s="1" t="s">
        <v>80</v>
      </c>
      <c r="J1235">
        <v>214</v>
      </c>
    </row>
    <row r="1236" spans="1:10" x14ac:dyDescent="0.25">
      <c r="A1236" s="1" t="s">
        <v>1239</v>
      </c>
      <c r="B1236" s="1" t="s">
        <v>79</v>
      </c>
      <c r="C1236" s="1" t="s">
        <v>174</v>
      </c>
      <c r="D1236">
        <v>100</v>
      </c>
      <c r="F1236" s="2">
        <v>44858</v>
      </c>
      <c r="G1236" s="2" t="str">
        <f>TEXT(LayoffsData[[#This Row],[date]],"yyyy-mm")</f>
        <v>2022-10</v>
      </c>
      <c r="H1236" s="1" t="s">
        <v>37</v>
      </c>
      <c r="I1236" s="1" t="s">
        <v>80</v>
      </c>
      <c r="J1236">
        <v>214</v>
      </c>
    </row>
    <row r="1237" spans="1:10" x14ac:dyDescent="0.25">
      <c r="A1237" s="1" t="s">
        <v>1240</v>
      </c>
      <c r="B1237" s="1" t="s">
        <v>35</v>
      </c>
      <c r="C1237" s="1" t="s">
        <v>68</v>
      </c>
      <c r="D1237">
        <v>60</v>
      </c>
      <c r="E1237">
        <v>0.5</v>
      </c>
      <c r="F1237" s="2">
        <v>44954</v>
      </c>
      <c r="G1237" s="2" t="str">
        <f>TEXT(LayoffsData[[#This Row],[date]],"yyyy-mm")</f>
        <v>2023-01</v>
      </c>
      <c r="H1237" s="1" t="s">
        <v>37</v>
      </c>
      <c r="I1237" s="1" t="s">
        <v>38</v>
      </c>
    </row>
    <row r="1238" spans="1:10" x14ac:dyDescent="0.25">
      <c r="A1238" s="1" t="s">
        <v>1241</v>
      </c>
      <c r="B1238" s="1" t="s">
        <v>14</v>
      </c>
      <c r="C1238" s="1" t="s">
        <v>53</v>
      </c>
      <c r="D1238">
        <v>59</v>
      </c>
      <c r="F1238" s="2">
        <v>44981</v>
      </c>
      <c r="G1238" s="2" t="str">
        <f>TEXT(LayoffsData[[#This Row],[date]],"yyyy-mm")</f>
        <v>2023-02</v>
      </c>
      <c r="H1238" s="1" t="s">
        <v>57</v>
      </c>
      <c r="I1238" s="1" t="s">
        <v>17</v>
      </c>
      <c r="J1238">
        <v>325</v>
      </c>
    </row>
    <row r="1239" spans="1:10" x14ac:dyDescent="0.25">
      <c r="A1239" s="1" t="s">
        <v>1242</v>
      </c>
      <c r="B1239" s="1" t="s">
        <v>32</v>
      </c>
      <c r="C1239" s="1" t="s">
        <v>20</v>
      </c>
      <c r="D1239">
        <v>53</v>
      </c>
      <c r="E1239">
        <v>0.08</v>
      </c>
      <c r="F1239" s="2">
        <v>43928</v>
      </c>
      <c r="G1239" s="2" t="str">
        <f>TEXT(LayoffsData[[#This Row],[date]],"yyyy-mm")</f>
        <v>2020-04</v>
      </c>
      <c r="H1239" s="1" t="s">
        <v>105</v>
      </c>
      <c r="I1239" s="1" t="s">
        <v>17</v>
      </c>
      <c r="J1239">
        <v>607</v>
      </c>
    </row>
    <row r="1240" spans="1:10" x14ac:dyDescent="0.25">
      <c r="A1240" s="1" t="s">
        <v>1243</v>
      </c>
      <c r="B1240" s="1" t="s">
        <v>293</v>
      </c>
      <c r="C1240" s="1" t="s">
        <v>15</v>
      </c>
      <c r="D1240">
        <v>200</v>
      </c>
      <c r="F1240" s="2">
        <v>44946</v>
      </c>
      <c r="G1240" s="2" t="str">
        <f>TEXT(LayoffsData[[#This Row],[date]],"yyyy-mm")</f>
        <v>2023-01</v>
      </c>
      <c r="H1240" s="1" t="s">
        <v>57</v>
      </c>
      <c r="I1240" s="1" t="s">
        <v>69</v>
      </c>
      <c r="J1240">
        <v>192</v>
      </c>
    </row>
    <row r="1241" spans="1:10" x14ac:dyDescent="0.25">
      <c r="A1241" s="1" t="s">
        <v>1244</v>
      </c>
      <c r="B1241" s="1" t="s">
        <v>14</v>
      </c>
      <c r="C1241" s="1" t="s">
        <v>63</v>
      </c>
      <c r="F1241" s="2">
        <v>44279</v>
      </c>
      <c r="G1241" s="2" t="str">
        <f>TEXT(LayoffsData[[#This Row],[date]],"yyyy-mm")</f>
        <v>2021-03</v>
      </c>
      <c r="H1241" s="1" t="s">
        <v>28</v>
      </c>
      <c r="I1241" s="1" t="s">
        <v>17</v>
      </c>
      <c r="J1241">
        <v>132</v>
      </c>
    </row>
    <row r="1242" spans="1:10" x14ac:dyDescent="0.25">
      <c r="A1242" s="1" t="s">
        <v>1244</v>
      </c>
      <c r="B1242" s="1" t="s">
        <v>14</v>
      </c>
      <c r="C1242" s="1" t="s">
        <v>63</v>
      </c>
      <c r="E1242">
        <v>0.25</v>
      </c>
      <c r="F1242" s="2">
        <v>44810</v>
      </c>
      <c r="G1242" s="2" t="str">
        <f>TEXT(LayoffsData[[#This Row],[date]],"yyyy-mm")</f>
        <v>2022-09</v>
      </c>
      <c r="H1242" s="1" t="s">
        <v>37</v>
      </c>
      <c r="I1242" s="1" t="s">
        <v>17</v>
      </c>
      <c r="J1242">
        <v>163</v>
      </c>
    </row>
    <row r="1243" spans="1:10" x14ac:dyDescent="0.25">
      <c r="A1243" s="1" t="s">
        <v>1245</v>
      </c>
      <c r="B1243" s="1" t="s">
        <v>32</v>
      </c>
      <c r="C1243" s="1" t="s">
        <v>15</v>
      </c>
      <c r="E1243">
        <v>0.16</v>
      </c>
      <c r="F1243" s="2">
        <v>44777</v>
      </c>
      <c r="G1243" s="2" t="str">
        <f>TEXT(LayoffsData[[#This Row],[date]],"yyyy-mm")</f>
        <v>2022-08</v>
      </c>
      <c r="H1243" s="1" t="s">
        <v>28</v>
      </c>
      <c r="I1243" s="1" t="s">
        <v>17</v>
      </c>
      <c r="J1243">
        <v>100</v>
      </c>
    </row>
    <row r="1244" spans="1:10" x14ac:dyDescent="0.25">
      <c r="A1244" s="1" t="s">
        <v>1245</v>
      </c>
      <c r="B1244" s="1" t="s">
        <v>32</v>
      </c>
      <c r="C1244" s="1" t="s">
        <v>15</v>
      </c>
      <c r="E1244">
        <v>0.5</v>
      </c>
      <c r="F1244" s="2">
        <v>44811</v>
      </c>
      <c r="G1244" s="2" t="str">
        <f>TEXT(LayoffsData[[#This Row],[date]],"yyyy-mm")</f>
        <v>2022-09</v>
      </c>
      <c r="H1244" s="1" t="s">
        <v>28</v>
      </c>
      <c r="I1244" s="1" t="s">
        <v>17</v>
      </c>
      <c r="J1244">
        <v>100</v>
      </c>
    </row>
    <row r="1245" spans="1:10" x14ac:dyDescent="0.25">
      <c r="A1245" s="1" t="s">
        <v>1245</v>
      </c>
      <c r="B1245" s="1" t="s">
        <v>32</v>
      </c>
      <c r="C1245" s="1" t="s">
        <v>15</v>
      </c>
      <c r="E1245">
        <v>1</v>
      </c>
      <c r="F1245" s="2">
        <v>44965</v>
      </c>
      <c r="G1245" s="2" t="str">
        <f>TEXT(LayoffsData[[#This Row],[date]],"yyyy-mm")</f>
        <v>2023-02</v>
      </c>
      <c r="H1245" s="1" t="s">
        <v>28</v>
      </c>
      <c r="I1245" s="1" t="s">
        <v>17</v>
      </c>
      <c r="J1245">
        <v>100</v>
      </c>
    </row>
    <row r="1246" spans="1:10" x14ac:dyDescent="0.25">
      <c r="A1246" s="1" t="s">
        <v>1246</v>
      </c>
      <c r="B1246" s="1" t="s">
        <v>250</v>
      </c>
      <c r="C1246" s="1" t="s">
        <v>149</v>
      </c>
      <c r="D1246">
        <v>350</v>
      </c>
      <c r="E1246">
        <v>0.5</v>
      </c>
      <c r="F1246" s="2">
        <v>44690</v>
      </c>
      <c r="G1246" s="2" t="str">
        <f>TEXT(LayoffsData[[#This Row],[date]],"yyyy-mm")</f>
        <v>2022-05</v>
      </c>
      <c r="H1246" s="1" t="s">
        <v>28</v>
      </c>
      <c r="I1246" s="1" t="s">
        <v>251</v>
      </c>
      <c r="J1246">
        <v>293</v>
      </c>
    </row>
    <row r="1247" spans="1:10" x14ac:dyDescent="0.25">
      <c r="A1247" s="1" t="s">
        <v>1247</v>
      </c>
      <c r="B1247" s="1" t="s">
        <v>293</v>
      </c>
      <c r="C1247" s="1" t="s">
        <v>29</v>
      </c>
      <c r="D1247">
        <v>150</v>
      </c>
      <c r="F1247" s="2">
        <v>44662</v>
      </c>
      <c r="G1247" s="2" t="str">
        <f>TEXT(LayoffsData[[#This Row],[date]],"yyyy-mm")</f>
        <v>2022-04</v>
      </c>
      <c r="H1247" s="1" t="s">
        <v>86</v>
      </c>
      <c r="I1247" s="1" t="s">
        <v>69</v>
      </c>
      <c r="J1247">
        <v>1100</v>
      </c>
    </row>
    <row r="1248" spans="1:10" x14ac:dyDescent="0.25">
      <c r="A1248" s="1" t="s">
        <v>1247</v>
      </c>
      <c r="B1248" s="1" t="s">
        <v>293</v>
      </c>
      <c r="C1248" s="1" t="s">
        <v>29</v>
      </c>
      <c r="D1248">
        <v>200</v>
      </c>
      <c r="E1248">
        <v>0.28000000000000003</v>
      </c>
      <c r="F1248" s="2">
        <v>43929</v>
      </c>
      <c r="G1248" s="2" t="str">
        <f>TEXT(LayoffsData[[#This Row],[date]],"yyyy-mm")</f>
        <v>2020-04</v>
      </c>
      <c r="H1248" s="1" t="s">
        <v>33</v>
      </c>
      <c r="I1248" s="1" t="s">
        <v>69</v>
      </c>
      <c r="J1248">
        <v>215</v>
      </c>
    </row>
    <row r="1249" spans="1:10" x14ac:dyDescent="0.25">
      <c r="A1249" s="1" t="s">
        <v>1247</v>
      </c>
      <c r="B1249" s="1" t="s">
        <v>293</v>
      </c>
      <c r="C1249" s="1" t="s">
        <v>29</v>
      </c>
      <c r="D1249">
        <v>300</v>
      </c>
      <c r="F1249" s="2">
        <v>44802</v>
      </c>
      <c r="G1249" s="2" t="str">
        <f>TEXT(LayoffsData[[#This Row],[date]],"yyyy-mm")</f>
        <v>2022-08</v>
      </c>
      <c r="H1249" s="1" t="s">
        <v>86</v>
      </c>
      <c r="I1249" s="1" t="s">
        <v>69</v>
      </c>
      <c r="J1249">
        <v>1100</v>
      </c>
    </row>
    <row r="1250" spans="1:10" x14ac:dyDescent="0.25">
      <c r="A1250" s="1" t="s">
        <v>1248</v>
      </c>
      <c r="B1250" s="1" t="s">
        <v>192</v>
      </c>
      <c r="C1250" s="1" t="s">
        <v>124</v>
      </c>
      <c r="F1250" s="2">
        <v>44931</v>
      </c>
      <c r="G1250" s="2" t="str">
        <f>TEXT(LayoffsData[[#This Row],[date]],"yyyy-mm")</f>
        <v>2023-01</v>
      </c>
      <c r="H1250" s="1" t="s">
        <v>11</v>
      </c>
      <c r="I1250" s="1" t="s">
        <v>46</v>
      </c>
      <c r="J1250">
        <v>98</v>
      </c>
    </row>
    <row r="1251" spans="1:10" x14ac:dyDescent="0.25">
      <c r="A1251" s="1" t="s">
        <v>1249</v>
      </c>
      <c r="B1251" s="1" t="s">
        <v>9</v>
      </c>
      <c r="C1251" s="1" t="s">
        <v>29</v>
      </c>
      <c r="D1251">
        <v>36</v>
      </c>
      <c r="E1251">
        <v>0.15</v>
      </c>
      <c r="F1251" s="2">
        <v>43930</v>
      </c>
      <c r="G1251" s="2" t="str">
        <f>TEXT(LayoffsData[[#This Row],[date]],"yyyy-mm")</f>
        <v>2020-04</v>
      </c>
      <c r="H1251" s="1" t="s">
        <v>24</v>
      </c>
      <c r="I1251" s="1" t="s">
        <v>12</v>
      </c>
      <c r="J1251">
        <v>28</v>
      </c>
    </row>
    <row r="1252" spans="1:10" x14ac:dyDescent="0.25">
      <c r="A1252" s="1" t="s">
        <v>1249</v>
      </c>
      <c r="B1252" s="1" t="s">
        <v>9</v>
      </c>
      <c r="C1252" s="1" t="s">
        <v>29</v>
      </c>
      <c r="D1252">
        <v>50</v>
      </c>
      <c r="E1252">
        <v>0.1</v>
      </c>
      <c r="F1252" s="2">
        <v>44778</v>
      </c>
      <c r="G1252" s="2" t="str">
        <f>TEXT(LayoffsData[[#This Row],[date]],"yyyy-mm")</f>
        <v>2022-08</v>
      </c>
      <c r="H1252" s="1" t="s">
        <v>24</v>
      </c>
      <c r="I1252" s="1" t="s">
        <v>12</v>
      </c>
      <c r="J1252">
        <v>28</v>
      </c>
    </row>
    <row r="1253" spans="1:10" x14ac:dyDescent="0.25">
      <c r="A1253" s="1" t="s">
        <v>1250</v>
      </c>
      <c r="B1253" s="1" t="s">
        <v>32</v>
      </c>
      <c r="C1253" s="1" t="s">
        <v>68</v>
      </c>
      <c r="D1253">
        <v>60</v>
      </c>
      <c r="F1253" s="2">
        <v>44782</v>
      </c>
      <c r="G1253" s="2" t="str">
        <f>TEXT(LayoffsData[[#This Row],[date]],"yyyy-mm")</f>
        <v>2022-08</v>
      </c>
      <c r="H1253" s="1" t="s">
        <v>33</v>
      </c>
      <c r="I1253" s="1" t="s">
        <v>17</v>
      </c>
      <c r="J1253">
        <v>504</v>
      </c>
    </row>
    <row r="1254" spans="1:10" x14ac:dyDescent="0.25">
      <c r="A1254" s="1" t="s">
        <v>1251</v>
      </c>
      <c r="B1254" s="1" t="s">
        <v>62</v>
      </c>
      <c r="C1254" s="1" t="s">
        <v>27</v>
      </c>
      <c r="E1254">
        <v>0.4</v>
      </c>
      <c r="F1254" s="2">
        <v>44720</v>
      </c>
      <c r="G1254" s="2" t="str">
        <f>TEXT(LayoffsData[[#This Row],[date]],"yyyy-mm")</f>
        <v>2022-06</v>
      </c>
      <c r="H1254" s="1" t="s">
        <v>37</v>
      </c>
      <c r="I1254" s="1" t="s">
        <v>64</v>
      </c>
      <c r="J1254">
        <v>24</v>
      </c>
    </row>
    <row r="1255" spans="1:10" x14ac:dyDescent="0.25">
      <c r="A1255" s="1" t="s">
        <v>1252</v>
      </c>
      <c r="B1255" s="1" t="s">
        <v>44</v>
      </c>
      <c r="C1255" s="1" t="s">
        <v>51</v>
      </c>
      <c r="F1255" s="2">
        <v>44889</v>
      </c>
      <c r="G1255" s="2" t="str">
        <f>TEXT(LayoffsData[[#This Row],[date]],"yyyy-mm")</f>
        <v>2022-11</v>
      </c>
      <c r="H1255" s="1" t="s">
        <v>57</v>
      </c>
      <c r="I1255" s="1" t="s">
        <v>46</v>
      </c>
    </row>
    <row r="1256" spans="1:10" x14ac:dyDescent="0.25">
      <c r="A1256" s="1" t="s">
        <v>1253</v>
      </c>
      <c r="B1256" s="1" t="s">
        <v>651</v>
      </c>
      <c r="C1256" s="1" t="s">
        <v>63</v>
      </c>
      <c r="D1256">
        <v>201</v>
      </c>
      <c r="F1256" s="2">
        <v>43931</v>
      </c>
      <c r="G1256" s="2" t="str">
        <f>TEXT(LayoffsData[[#This Row],[date]],"yyyy-mm")</f>
        <v>2020-04</v>
      </c>
      <c r="H1256" s="1" t="s">
        <v>37</v>
      </c>
      <c r="I1256" s="1" t="s">
        <v>17</v>
      </c>
      <c r="J1256">
        <v>185</v>
      </c>
    </row>
    <row r="1257" spans="1:10" x14ac:dyDescent="0.25">
      <c r="A1257" s="1" t="s">
        <v>1254</v>
      </c>
      <c r="B1257" s="1" t="s">
        <v>519</v>
      </c>
      <c r="C1257" s="1" t="s">
        <v>15</v>
      </c>
      <c r="D1257">
        <v>200</v>
      </c>
      <c r="E1257">
        <v>0.1</v>
      </c>
      <c r="F1257" s="2">
        <v>44980</v>
      </c>
      <c r="G1257" s="2" t="str">
        <f>TEXT(LayoffsData[[#This Row],[date]],"yyyy-mm")</f>
        <v>2023-02</v>
      </c>
      <c r="H1257" s="1" t="s">
        <v>57</v>
      </c>
      <c r="I1257" s="1" t="s">
        <v>17</v>
      </c>
    </row>
    <row r="1258" spans="1:10" x14ac:dyDescent="0.25">
      <c r="A1258" s="1" t="s">
        <v>1255</v>
      </c>
      <c r="B1258" s="1" t="s">
        <v>569</v>
      </c>
      <c r="C1258" s="1" t="s">
        <v>48</v>
      </c>
      <c r="D1258">
        <v>51</v>
      </c>
      <c r="E1258">
        <v>0.4</v>
      </c>
      <c r="F1258" s="2">
        <v>43964</v>
      </c>
      <c r="G1258" s="2" t="str">
        <f>TEXT(LayoffsData[[#This Row],[date]],"yyyy-mm")</f>
        <v>2020-05</v>
      </c>
      <c r="H1258" s="1" t="s">
        <v>37</v>
      </c>
      <c r="I1258" s="1" t="s">
        <v>38</v>
      </c>
      <c r="J1258">
        <v>2</v>
      </c>
    </row>
    <row r="1259" spans="1:10" x14ac:dyDescent="0.25">
      <c r="A1259" s="1" t="s">
        <v>1256</v>
      </c>
      <c r="B1259" s="1" t="s">
        <v>26</v>
      </c>
      <c r="C1259" s="1" t="s">
        <v>68</v>
      </c>
      <c r="E1259">
        <v>0.09</v>
      </c>
      <c r="F1259" s="2">
        <v>44985</v>
      </c>
      <c r="G1259" s="2" t="str">
        <f>TEXT(LayoffsData[[#This Row],[date]],"yyyy-mm")</f>
        <v>2023-02</v>
      </c>
      <c r="H1259" s="1" t="s">
        <v>11</v>
      </c>
      <c r="I1259" s="1" t="s">
        <v>17</v>
      </c>
      <c r="J1259">
        <v>485</v>
      </c>
    </row>
    <row r="1260" spans="1:10" x14ac:dyDescent="0.25">
      <c r="A1260" s="1" t="s">
        <v>1257</v>
      </c>
      <c r="B1260" s="1" t="s">
        <v>349</v>
      </c>
      <c r="C1260" s="1" t="s">
        <v>149</v>
      </c>
      <c r="E1260">
        <v>0.31</v>
      </c>
      <c r="F1260" s="2">
        <v>44894</v>
      </c>
      <c r="G1260" s="2" t="str">
        <f>TEXT(LayoffsData[[#This Row],[date]],"yyyy-mm")</f>
        <v>2022-11</v>
      </c>
      <c r="H1260" s="1" t="s">
        <v>28</v>
      </c>
      <c r="I1260" s="1" t="s">
        <v>350</v>
      </c>
      <c r="J1260">
        <v>1100</v>
      </c>
    </row>
    <row r="1261" spans="1:10" x14ac:dyDescent="0.25">
      <c r="A1261" s="1" t="s">
        <v>1258</v>
      </c>
      <c r="B1261" s="1" t="s">
        <v>32</v>
      </c>
      <c r="C1261" s="1" t="s">
        <v>36</v>
      </c>
      <c r="E1261">
        <v>0.15</v>
      </c>
      <c r="F1261" s="2">
        <v>44980</v>
      </c>
      <c r="G1261" s="2" t="str">
        <f>TEXT(LayoffsData[[#This Row],[date]],"yyyy-mm")</f>
        <v>2023-02</v>
      </c>
      <c r="H1261" s="1" t="s">
        <v>24</v>
      </c>
      <c r="I1261" s="1" t="s">
        <v>17</v>
      </c>
      <c r="J1261">
        <v>61</v>
      </c>
    </row>
    <row r="1262" spans="1:10" x14ac:dyDescent="0.25">
      <c r="A1262" s="1" t="s">
        <v>1259</v>
      </c>
      <c r="B1262" s="1" t="s">
        <v>14</v>
      </c>
      <c r="C1262" s="1" t="s">
        <v>27</v>
      </c>
      <c r="D1262">
        <v>11000</v>
      </c>
      <c r="E1262">
        <v>0.13</v>
      </c>
      <c r="F1262" s="2">
        <v>44874</v>
      </c>
      <c r="G1262" s="2" t="str">
        <f>TEXT(LayoffsData[[#This Row],[date]],"yyyy-mm")</f>
        <v>2022-11</v>
      </c>
      <c r="H1262" s="1" t="s">
        <v>11</v>
      </c>
      <c r="I1262" s="1" t="s">
        <v>17</v>
      </c>
      <c r="J1262">
        <v>26000</v>
      </c>
    </row>
    <row r="1263" spans="1:10" x14ac:dyDescent="0.25">
      <c r="A1263" s="1" t="s">
        <v>1260</v>
      </c>
      <c r="B1263" s="1" t="s">
        <v>76</v>
      </c>
      <c r="C1263" s="1" t="s">
        <v>36</v>
      </c>
      <c r="F1263" s="2">
        <v>44883</v>
      </c>
      <c r="G1263" s="2" t="str">
        <f>TEXT(LayoffsData[[#This Row],[date]],"yyyy-mm")</f>
        <v>2022-11</v>
      </c>
      <c r="H1263" s="1" t="s">
        <v>37</v>
      </c>
      <c r="I1263" s="1" t="s">
        <v>17</v>
      </c>
    </row>
    <row r="1264" spans="1:10" x14ac:dyDescent="0.25">
      <c r="A1264" s="1" t="s">
        <v>1261</v>
      </c>
      <c r="B1264" s="1" t="s">
        <v>44</v>
      </c>
      <c r="C1264" s="1" t="s">
        <v>20</v>
      </c>
      <c r="D1264">
        <v>75</v>
      </c>
      <c r="E1264">
        <v>1</v>
      </c>
      <c r="F1264" s="2">
        <v>44773</v>
      </c>
      <c r="G1264" s="2" t="str">
        <f>TEXT(LayoffsData[[#This Row],[date]],"yyyy-mm")</f>
        <v>2022-07</v>
      </c>
      <c r="H1264" s="1" t="s">
        <v>24</v>
      </c>
      <c r="I1264" s="1" t="s">
        <v>46</v>
      </c>
      <c r="J1264">
        <v>18</v>
      </c>
    </row>
    <row r="1265" spans="1:10" x14ac:dyDescent="0.25">
      <c r="A1265" s="1" t="s">
        <v>1262</v>
      </c>
      <c r="B1265" s="1" t="s">
        <v>14</v>
      </c>
      <c r="C1265" s="1" t="s">
        <v>68</v>
      </c>
      <c r="D1265">
        <v>60</v>
      </c>
      <c r="E1265">
        <v>0.2</v>
      </c>
      <c r="F1265" s="2">
        <v>44770</v>
      </c>
      <c r="G1265" s="2" t="str">
        <f>TEXT(LayoffsData[[#This Row],[date]],"yyyy-mm")</f>
        <v>2022-07</v>
      </c>
      <c r="H1265" s="1" t="s">
        <v>57</v>
      </c>
      <c r="I1265" s="1" t="s">
        <v>17</v>
      </c>
      <c r="J1265">
        <v>510</v>
      </c>
    </row>
    <row r="1266" spans="1:10" x14ac:dyDescent="0.25">
      <c r="A1266" s="1" t="s">
        <v>1262</v>
      </c>
      <c r="B1266" s="1" t="s">
        <v>14</v>
      </c>
      <c r="C1266" s="1" t="s">
        <v>68</v>
      </c>
      <c r="D1266">
        <v>100</v>
      </c>
      <c r="E1266">
        <v>0.33</v>
      </c>
      <c r="F1266" s="2">
        <v>43927</v>
      </c>
      <c r="G1266" s="2" t="str">
        <f>TEXT(LayoffsData[[#This Row],[date]],"yyyy-mm")</f>
        <v>2020-04</v>
      </c>
      <c r="H1266" s="1" t="s">
        <v>16</v>
      </c>
      <c r="I1266" s="1" t="s">
        <v>17</v>
      </c>
      <c r="J1266">
        <v>293</v>
      </c>
    </row>
    <row r="1267" spans="1:10" x14ac:dyDescent="0.25">
      <c r="A1267" s="1" t="s">
        <v>1263</v>
      </c>
      <c r="B1267" s="1" t="s">
        <v>1264</v>
      </c>
      <c r="C1267" s="1" t="s">
        <v>84</v>
      </c>
      <c r="F1267" s="2">
        <v>43924</v>
      </c>
      <c r="G1267" s="2" t="str">
        <f>TEXT(LayoffsData[[#This Row],[date]],"yyyy-mm")</f>
        <v>2020-04</v>
      </c>
      <c r="H1267" s="1" t="s">
        <v>24</v>
      </c>
      <c r="I1267" s="1" t="s">
        <v>1265</v>
      </c>
      <c r="J1267">
        <v>41</v>
      </c>
    </row>
    <row r="1268" spans="1:10" x14ac:dyDescent="0.25">
      <c r="A1268" s="1" t="s">
        <v>1266</v>
      </c>
      <c r="B1268" s="1" t="s">
        <v>293</v>
      </c>
      <c r="C1268" s="1" t="s">
        <v>15</v>
      </c>
      <c r="D1268">
        <v>600</v>
      </c>
      <c r="E1268">
        <v>0.75</v>
      </c>
      <c r="F1268" s="2">
        <v>44702</v>
      </c>
      <c r="G1268" s="2" t="str">
        <f>TEXT(LayoffsData[[#This Row],[date]],"yyyy-mm")</f>
        <v>2022-05</v>
      </c>
      <c r="H1268" s="1" t="s">
        <v>28</v>
      </c>
      <c r="I1268" s="1" t="s">
        <v>69</v>
      </c>
      <c r="J1268">
        <v>97</v>
      </c>
    </row>
    <row r="1269" spans="1:10" x14ac:dyDescent="0.25">
      <c r="A1269" s="1" t="s">
        <v>1267</v>
      </c>
      <c r="B1269" s="1" t="s">
        <v>55</v>
      </c>
      <c r="C1269" s="1" t="s">
        <v>149</v>
      </c>
      <c r="F1269" s="2">
        <v>44851</v>
      </c>
      <c r="G1269" s="2" t="str">
        <f>TEXT(LayoffsData[[#This Row],[date]],"yyyy-mm")</f>
        <v>2022-10</v>
      </c>
      <c r="H1269" s="1" t="s">
        <v>11</v>
      </c>
      <c r="I1269" s="1" t="s">
        <v>17</v>
      </c>
      <c r="J1269">
        <v>1</v>
      </c>
    </row>
    <row r="1270" spans="1:10" x14ac:dyDescent="0.25">
      <c r="A1270" s="1" t="s">
        <v>1267</v>
      </c>
      <c r="B1270" s="1" t="s">
        <v>55</v>
      </c>
      <c r="C1270" s="1" t="s">
        <v>149</v>
      </c>
      <c r="F1270" s="2">
        <v>44754</v>
      </c>
      <c r="G1270" s="2" t="str">
        <f>TEXT(LayoffsData[[#This Row],[date]],"yyyy-mm")</f>
        <v>2022-07</v>
      </c>
      <c r="H1270" s="1" t="s">
        <v>11</v>
      </c>
      <c r="I1270" s="1" t="s">
        <v>17</v>
      </c>
      <c r="J1270">
        <v>1</v>
      </c>
    </row>
    <row r="1271" spans="1:10" x14ac:dyDescent="0.25">
      <c r="A1271" s="1" t="s">
        <v>1267</v>
      </c>
      <c r="B1271" s="1" t="s">
        <v>55</v>
      </c>
      <c r="C1271" s="1" t="s">
        <v>149</v>
      </c>
      <c r="D1271">
        <v>10000</v>
      </c>
      <c r="E1271">
        <v>0.05</v>
      </c>
      <c r="F1271" s="2">
        <v>44944</v>
      </c>
      <c r="G1271" s="2" t="str">
        <f>TEXT(LayoffsData[[#This Row],[date]],"yyyy-mm")</f>
        <v>2023-01</v>
      </c>
      <c r="H1271" s="1" t="s">
        <v>11</v>
      </c>
      <c r="I1271" s="1" t="s">
        <v>17</v>
      </c>
      <c r="J1271">
        <v>1</v>
      </c>
    </row>
    <row r="1272" spans="1:10" x14ac:dyDescent="0.25">
      <c r="A1272" s="1" t="s">
        <v>1268</v>
      </c>
      <c r="B1272" s="1" t="s">
        <v>14</v>
      </c>
      <c r="C1272" s="1" t="s">
        <v>68</v>
      </c>
      <c r="E1272">
        <v>0.25</v>
      </c>
      <c r="F1272" s="2">
        <v>43949</v>
      </c>
      <c r="G1272" s="2" t="str">
        <f>TEXT(LayoffsData[[#This Row],[date]],"yyyy-mm")</f>
        <v>2020-04</v>
      </c>
      <c r="H1272" s="1" t="s">
        <v>24</v>
      </c>
      <c r="I1272" s="1" t="s">
        <v>17</v>
      </c>
      <c r="J1272">
        <v>37</v>
      </c>
    </row>
    <row r="1273" spans="1:10" x14ac:dyDescent="0.25">
      <c r="A1273" s="1" t="s">
        <v>1269</v>
      </c>
      <c r="B1273" s="1" t="s">
        <v>44</v>
      </c>
      <c r="C1273" s="1" t="s">
        <v>51</v>
      </c>
      <c r="E1273">
        <v>0.2</v>
      </c>
      <c r="F1273" s="2">
        <v>44972</v>
      </c>
      <c r="G1273" s="2" t="str">
        <f>TEXT(LayoffsData[[#This Row],[date]],"yyyy-mm")</f>
        <v>2023-02</v>
      </c>
      <c r="H1273" s="1" t="s">
        <v>21</v>
      </c>
      <c r="I1273" s="1" t="s">
        <v>46</v>
      </c>
      <c r="J1273">
        <v>86</v>
      </c>
    </row>
    <row r="1274" spans="1:10" x14ac:dyDescent="0.25">
      <c r="A1274" s="1" t="s">
        <v>1270</v>
      </c>
      <c r="B1274" s="1" t="s">
        <v>1271</v>
      </c>
      <c r="C1274" s="1" t="s">
        <v>506</v>
      </c>
      <c r="D1274">
        <v>400</v>
      </c>
      <c r="E1274">
        <v>0.15</v>
      </c>
      <c r="F1274" s="2">
        <v>44860</v>
      </c>
      <c r="G1274" s="2" t="str">
        <f>TEXT(LayoffsData[[#This Row],[date]],"yyyy-mm")</f>
        <v>2022-10</v>
      </c>
      <c r="H1274" s="1" t="s">
        <v>11</v>
      </c>
      <c r="I1274" s="1" t="s">
        <v>17</v>
      </c>
      <c r="J1274">
        <v>114</v>
      </c>
    </row>
    <row r="1275" spans="1:10" x14ac:dyDescent="0.25">
      <c r="A1275" s="1" t="s">
        <v>1270</v>
      </c>
      <c r="B1275" s="1" t="s">
        <v>1271</v>
      </c>
      <c r="C1275" s="1" t="s">
        <v>506</v>
      </c>
      <c r="D1275">
        <v>700</v>
      </c>
      <c r="E1275">
        <v>0.35</v>
      </c>
      <c r="F1275" s="2">
        <v>43923</v>
      </c>
      <c r="G1275" s="2" t="str">
        <f>TEXT(LayoffsData[[#This Row],[date]],"yyyy-mm")</f>
        <v>2020-04</v>
      </c>
      <c r="H1275" s="1" t="s">
        <v>11</v>
      </c>
      <c r="I1275" s="1" t="s">
        <v>17</v>
      </c>
      <c r="J1275">
        <v>114</v>
      </c>
    </row>
    <row r="1276" spans="1:10" x14ac:dyDescent="0.25">
      <c r="A1276" s="1" t="s">
        <v>1272</v>
      </c>
      <c r="B1276" s="1" t="s">
        <v>1273</v>
      </c>
      <c r="C1276" s="1" t="s">
        <v>63</v>
      </c>
      <c r="F1276" s="2">
        <v>44734</v>
      </c>
      <c r="G1276" s="2" t="str">
        <f>TEXT(LayoffsData[[#This Row],[date]],"yyyy-mm")</f>
        <v>2022-06</v>
      </c>
      <c r="H1276" s="1" t="s">
        <v>37</v>
      </c>
      <c r="I1276" s="1" t="s">
        <v>1273</v>
      </c>
    </row>
    <row r="1277" spans="1:10" x14ac:dyDescent="0.25">
      <c r="A1277" s="1" t="s">
        <v>1274</v>
      </c>
      <c r="B1277" s="1" t="s">
        <v>14</v>
      </c>
      <c r="C1277" s="1" t="s">
        <v>15</v>
      </c>
      <c r="D1277">
        <v>127</v>
      </c>
      <c r="F1277" s="2">
        <v>44959</v>
      </c>
      <c r="G1277" s="2" t="str">
        <f>TEXT(LayoffsData[[#This Row],[date]],"yyyy-mm")</f>
        <v>2023-02</v>
      </c>
      <c r="H1277" s="1" t="s">
        <v>28</v>
      </c>
      <c r="I1277" s="1" t="s">
        <v>17</v>
      </c>
      <c r="J1277">
        <v>160</v>
      </c>
    </row>
    <row r="1278" spans="1:10" x14ac:dyDescent="0.25">
      <c r="A1278" s="1" t="s">
        <v>1275</v>
      </c>
      <c r="B1278" s="1" t="s">
        <v>14</v>
      </c>
      <c r="C1278" s="1" t="s">
        <v>29</v>
      </c>
      <c r="D1278">
        <v>147</v>
      </c>
      <c r="E1278">
        <v>0.37</v>
      </c>
      <c r="F1278" s="2">
        <v>43924</v>
      </c>
      <c r="G1278" s="2" t="str">
        <f>TEXT(LayoffsData[[#This Row],[date]],"yyyy-mm")</f>
        <v>2020-04</v>
      </c>
      <c r="H1278" s="1" t="s">
        <v>16</v>
      </c>
      <c r="I1278" s="1" t="s">
        <v>17</v>
      </c>
      <c r="J1278">
        <v>297</v>
      </c>
    </row>
    <row r="1279" spans="1:10" x14ac:dyDescent="0.25">
      <c r="A1279" s="1" t="s">
        <v>1276</v>
      </c>
      <c r="B1279" s="1" t="s">
        <v>200</v>
      </c>
      <c r="C1279" s="1" t="s">
        <v>63</v>
      </c>
      <c r="D1279">
        <v>50</v>
      </c>
      <c r="E1279">
        <v>0.1</v>
      </c>
      <c r="F1279" s="2">
        <v>44934</v>
      </c>
      <c r="G1279" s="2" t="str">
        <f>TEXT(LayoffsData[[#This Row],[date]],"yyyy-mm")</f>
        <v>2023-01</v>
      </c>
      <c r="H1279" s="1" t="s">
        <v>904</v>
      </c>
      <c r="I1279" s="1" t="s">
        <v>201</v>
      </c>
      <c r="J1279">
        <v>160</v>
      </c>
    </row>
    <row r="1280" spans="1:10" x14ac:dyDescent="0.25">
      <c r="A1280" s="1" t="s">
        <v>1277</v>
      </c>
      <c r="B1280" s="1" t="s">
        <v>14</v>
      </c>
      <c r="C1280" s="1" t="s">
        <v>149</v>
      </c>
      <c r="D1280">
        <v>119</v>
      </c>
      <c r="E1280">
        <v>7.0000000000000007E-2</v>
      </c>
      <c r="F1280" s="2">
        <v>44959</v>
      </c>
      <c r="G1280" s="2" t="str">
        <f>TEXT(LayoffsData[[#This Row],[date]],"yyyy-mm")</f>
        <v>2023-02</v>
      </c>
      <c r="H1280" s="1" t="s">
        <v>28</v>
      </c>
      <c r="I1280" s="1" t="s">
        <v>17</v>
      </c>
      <c r="J1280">
        <v>476</v>
      </c>
    </row>
    <row r="1281" spans="1:10" x14ac:dyDescent="0.25">
      <c r="A1281" s="1" t="s">
        <v>1278</v>
      </c>
      <c r="B1281" s="1" t="s">
        <v>341</v>
      </c>
      <c r="C1281" s="1" t="s">
        <v>51</v>
      </c>
      <c r="D1281">
        <v>649</v>
      </c>
      <c r="E1281">
        <v>0.33</v>
      </c>
      <c r="F1281" s="2">
        <v>44966</v>
      </c>
      <c r="G1281" s="2" t="str">
        <f>TEXT(LayoffsData[[#This Row],[date]],"yyyy-mm")</f>
        <v>2023-02</v>
      </c>
      <c r="H1281" s="1" t="s">
        <v>28</v>
      </c>
      <c r="I1281" s="1" t="s">
        <v>17</v>
      </c>
      <c r="J1281">
        <v>526</v>
      </c>
    </row>
    <row r="1282" spans="1:10" x14ac:dyDescent="0.25">
      <c r="A1282" s="1" t="s">
        <v>1279</v>
      </c>
      <c r="B1282" s="1" t="s">
        <v>987</v>
      </c>
      <c r="C1282" s="1" t="s">
        <v>51</v>
      </c>
      <c r="F1282" s="2">
        <v>44771</v>
      </c>
      <c r="G1282" s="2" t="str">
        <f>TEXT(LayoffsData[[#This Row],[date]],"yyyy-mm")</f>
        <v>2022-07</v>
      </c>
      <c r="H1282" s="1" t="s">
        <v>11</v>
      </c>
      <c r="I1282" s="1" t="s">
        <v>296</v>
      </c>
      <c r="J1282">
        <v>1700</v>
      </c>
    </row>
    <row r="1283" spans="1:10" x14ac:dyDescent="0.25">
      <c r="A1283" s="1" t="s">
        <v>1280</v>
      </c>
      <c r="B1283" s="1" t="s">
        <v>14</v>
      </c>
      <c r="C1283" s="1" t="s">
        <v>74</v>
      </c>
      <c r="D1283">
        <v>65</v>
      </c>
      <c r="E1283">
        <v>0.19</v>
      </c>
      <c r="F1283" s="2">
        <v>43963</v>
      </c>
      <c r="G1283" s="2" t="str">
        <f>TEXT(LayoffsData[[#This Row],[date]],"yyyy-mm")</f>
        <v>2020-05</v>
      </c>
      <c r="H1283" s="1" t="s">
        <v>24</v>
      </c>
      <c r="I1283" s="1" t="s">
        <v>17</v>
      </c>
      <c r="J1283">
        <v>77</v>
      </c>
    </row>
    <row r="1284" spans="1:10" x14ac:dyDescent="0.25">
      <c r="A1284" s="1" t="s">
        <v>1281</v>
      </c>
      <c r="B1284" s="1" t="s">
        <v>293</v>
      </c>
      <c r="C1284" s="1" t="s">
        <v>27</v>
      </c>
      <c r="D1284">
        <v>100</v>
      </c>
      <c r="E1284">
        <v>0.1</v>
      </c>
      <c r="F1284" s="2">
        <v>44711</v>
      </c>
      <c r="G1284" s="2" t="str">
        <f>TEXT(LayoffsData[[#This Row],[date]],"yyyy-mm")</f>
        <v>2022-05</v>
      </c>
      <c r="H1284" s="1" t="s">
        <v>16</v>
      </c>
      <c r="I1284" s="1" t="s">
        <v>69</v>
      </c>
      <c r="J1284">
        <v>375</v>
      </c>
    </row>
    <row r="1285" spans="1:10" x14ac:dyDescent="0.25">
      <c r="A1285" s="1" t="s">
        <v>1282</v>
      </c>
      <c r="B1285" s="1" t="s">
        <v>14</v>
      </c>
      <c r="C1285" s="1" t="s">
        <v>74</v>
      </c>
      <c r="D1285">
        <v>17</v>
      </c>
      <c r="F1285" s="2">
        <v>43964</v>
      </c>
      <c r="G1285" s="2" t="str">
        <f>TEXT(LayoffsData[[#This Row],[date]],"yyyy-mm")</f>
        <v>2020-05</v>
      </c>
      <c r="H1285" s="1" t="s">
        <v>28</v>
      </c>
      <c r="I1285" s="1" t="s">
        <v>17</v>
      </c>
      <c r="J1285">
        <v>46</v>
      </c>
    </row>
    <row r="1286" spans="1:10" x14ac:dyDescent="0.25">
      <c r="A1286" s="1" t="s">
        <v>1282</v>
      </c>
      <c r="B1286" s="1" t="s">
        <v>14</v>
      </c>
      <c r="C1286" s="1" t="s">
        <v>74</v>
      </c>
      <c r="D1286">
        <v>25</v>
      </c>
      <c r="F1286" s="2">
        <v>44816</v>
      </c>
      <c r="G1286" s="2" t="str">
        <f>TEXT(LayoffsData[[#This Row],[date]],"yyyy-mm")</f>
        <v>2022-09</v>
      </c>
      <c r="H1286" s="1" t="s">
        <v>33</v>
      </c>
      <c r="I1286" s="1" t="s">
        <v>17</v>
      </c>
      <c r="J1286">
        <v>81</v>
      </c>
    </row>
    <row r="1287" spans="1:10" x14ac:dyDescent="0.25">
      <c r="A1287" s="1" t="s">
        <v>1283</v>
      </c>
      <c r="B1287" s="1" t="s">
        <v>200</v>
      </c>
      <c r="C1287" s="1" t="s">
        <v>68</v>
      </c>
      <c r="E1287">
        <v>1</v>
      </c>
      <c r="F1287" s="2">
        <v>44952</v>
      </c>
      <c r="G1287" s="2" t="str">
        <f>TEXT(LayoffsData[[#This Row],[date]],"yyyy-mm")</f>
        <v>2023-01</v>
      </c>
      <c r="H1287" s="1" t="s">
        <v>11</v>
      </c>
      <c r="I1287" s="1" t="s">
        <v>201</v>
      </c>
    </row>
    <row r="1288" spans="1:10" x14ac:dyDescent="0.25">
      <c r="A1288" s="1" t="s">
        <v>1284</v>
      </c>
      <c r="B1288" s="1" t="s">
        <v>14</v>
      </c>
      <c r="C1288" s="1" t="s">
        <v>68</v>
      </c>
      <c r="E1288">
        <v>0.18</v>
      </c>
      <c r="F1288" s="2">
        <v>44911</v>
      </c>
      <c r="G1288" s="2" t="str">
        <f>TEXT(LayoffsData[[#This Row],[date]],"yyyy-mm")</f>
        <v>2022-12</v>
      </c>
      <c r="H1288" s="1" t="s">
        <v>28</v>
      </c>
      <c r="I1288" s="1" t="s">
        <v>17</v>
      </c>
      <c r="J1288">
        <v>183</v>
      </c>
    </row>
    <row r="1289" spans="1:10" x14ac:dyDescent="0.25">
      <c r="A1289" s="1" t="s">
        <v>1285</v>
      </c>
      <c r="B1289" s="1" t="s">
        <v>14</v>
      </c>
      <c r="C1289" s="1" t="s">
        <v>29</v>
      </c>
      <c r="F1289" s="2">
        <v>43923</v>
      </c>
      <c r="G1289" s="2" t="str">
        <f>TEXT(LayoffsData[[#This Row],[date]],"yyyy-mm")</f>
        <v>2020-04</v>
      </c>
      <c r="H1289" s="1" t="s">
        <v>28</v>
      </c>
      <c r="I1289" s="1" t="s">
        <v>17</v>
      </c>
      <c r="J1289">
        <v>70</v>
      </c>
    </row>
    <row r="1290" spans="1:10" x14ac:dyDescent="0.25">
      <c r="A1290" s="1" t="s">
        <v>1285</v>
      </c>
      <c r="B1290" s="1" t="s">
        <v>14</v>
      </c>
      <c r="C1290" s="1" t="s">
        <v>29</v>
      </c>
      <c r="F1290" s="2">
        <v>44741</v>
      </c>
      <c r="G1290" s="2" t="str">
        <f>TEXT(LayoffsData[[#This Row],[date]],"yyyy-mm")</f>
        <v>2022-06</v>
      </c>
      <c r="H1290" s="1" t="s">
        <v>28</v>
      </c>
      <c r="I1290" s="1" t="s">
        <v>17</v>
      </c>
      <c r="J1290">
        <v>72</v>
      </c>
    </row>
    <row r="1291" spans="1:10" x14ac:dyDescent="0.25">
      <c r="A1291" s="1" t="s">
        <v>1286</v>
      </c>
      <c r="B1291" s="1" t="s">
        <v>101</v>
      </c>
      <c r="C1291" s="1" t="s">
        <v>29</v>
      </c>
      <c r="D1291">
        <v>40</v>
      </c>
      <c r="E1291">
        <v>0.02</v>
      </c>
      <c r="F1291" s="2">
        <v>44931</v>
      </c>
      <c r="G1291" s="2" t="str">
        <f>TEXT(LayoffsData[[#This Row],[date]],"yyyy-mm")</f>
        <v>2023-01</v>
      </c>
      <c r="H1291" s="1" t="s">
        <v>86</v>
      </c>
      <c r="I1291" s="1" t="s">
        <v>101</v>
      </c>
      <c r="J1291">
        <v>472</v>
      </c>
    </row>
    <row r="1292" spans="1:10" x14ac:dyDescent="0.25">
      <c r="A1292" s="1" t="s">
        <v>1287</v>
      </c>
      <c r="B1292" s="1" t="s">
        <v>60</v>
      </c>
      <c r="C1292" s="1" t="s">
        <v>68</v>
      </c>
      <c r="D1292">
        <v>78</v>
      </c>
      <c r="E1292">
        <v>0.3</v>
      </c>
      <c r="F1292" s="2">
        <v>43917</v>
      </c>
      <c r="G1292" s="2" t="str">
        <f>TEXT(LayoffsData[[#This Row],[date]],"yyyy-mm")</f>
        <v>2020-03</v>
      </c>
      <c r="H1292" s="1" t="s">
        <v>11</v>
      </c>
      <c r="I1292" s="1" t="s">
        <v>12</v>
      </c>
      <c r="J1292">
        <v>201</v>
      </c>
    </row>
    <row r="1293" spans="1:10" x14ac:dyDescent="0.25">
      <c r="A1293" s="1" t="s">
        <v>1288</v>
      </c>
      <c r="B1293" s="1" t="s">
        <v>14</v>
      </c>
      <c r="C1293" s="1" t="s">
        <v>325</v>
      </c>
      <c r="E1293">
        <v>0.75</v>
      </c>
      <c r="F1293" s="2">
        <v>44932</v>
      </c>
      <c r="G1293" s="2" t="str">
        <f>TEXT(LayoffsData[[#This Row],[date]],"yyyy-mm")</f>
        <v>2023-01</v>
      </c>
      <c r="H1293" s="1" t="s">
        <v>24</v>
      </c>
      <c r="I1293" s="1" t="s">
        <v>17</v>
      </c>
      <c r="J1293">
        <v>204</v>
      </c>
    </row>
    <row r="1294" spans="1:10" x14ac:dyDescent="0.25">
      <c r="A1294" s="1" t="s">
        <v>1289</v>
      </c>
      <c r="B1294" s="1" t="s">
        <v>120</v>
      </c>
      <c r="C1294" s="1" t="s">
        <v>10</v>
      </c>
      <c r="D1294">
        <v>360</v>
      </c>
      <c r="E1294">
        <v>0.11</v>
      </c>
      <c r="F1294" s="2">
        <v>44969</v>
      </c>
      <c r="G1294" s="2" t="str">
        <f>TEXT(LayoffsData[[#This Row],[date]],"yyyy-mm")</f>
        <v>2023-02</v>
      </c>
      <c r="H1294" s="1" t="s">
        <v>24</v>
      </c>
      <c r="I1294" s="1" t="s">
        <v>121</v>
      </c>
      <c r="J1294">
        <v>138</v>
      </c>
    </row>
    <row r="1295" spans="1:10" x14ac:dyDescent="0.25">
      <c r="A1295" s="1" t="s">
        <v>1290</v>
      </c>
      <c r="B1295" s="1" t="s">
        <v>14</v>
      </c>
      <c r="C1295" s="1" t="s">
        <v>20</v>
      </c>
      <c r="E1295">
        <v>0.14000000000000001</v>
      </c>
      <c r="F1295" s="2">
        <v>44972</v>
      </c>
      <c r="G1295" s="2" t="str">
        <f>TEXT(LayoffsData[[#This Row],[date]],"yyyy-mm")</f>
        <v>2023-02</v>
      </c>
      <c r="H1295" s="1" t="s">
        <v>11</v>
      </c>
      <c r="I1295" s="1" t="s">
        <v>17</v>
      </c>
      <c r="J1295">
        <v>1100</v>
      </c>
    </row>
    <row r="1296" spans="1:10" x14ac:dyDescent="0.25">
      <c r="A1296" s="1" t="s">
        <v>1290</v>
      </c>
      <c r="B1296" s="1" t="s">
        <v>14</v>
      </c>
      <c r="C1296" s="1" t="s">
        <v>20</v>
      </c>
      <c r="D1296">
        <v>180</v>
      </c>
      <c r="E1296">
        <v>0.11</v>
      </c>
      <c r="F1296" s="2">
        <v>44844</v>
      </c>
      <c r="G1296" s="2" t="str">
        <f>TEXT(LayoffsData[[#This Row],[date]],"yyyy-mm")</f>
        <v>2022-10</v>
      </c>
      <c r="H1296" s="1" t="s">
        <v>11</v>
      </c>
      <c r="I1296" s="1" t="s">
        <v>17</v>
      </c>
      <c r="J1296">
        <v>1100</v>
      </c>
    </row>
    <row r="1297" spans="1:10" x14ac:dyDescent="0.25">
      <c r="A1297" s="1" t="s">
        <v>1291</v>
      </c>
      <c r="B1297" s="1" t="s">
        <v>1292</v>
      </c>
      <c r="C1297" s="1" t="s">
        <v>68</v>
      </c>
      <c r="D1297">
        <v>35</v>
      </c>
      <c r="F1297" s="2">
        <v>43952</v>
      </c>
      <c r="G1297" s="2" t="str">
        <f>TEXT(LayoffsData[[#This Row],[date]],"yyyy-mm")</f>
        <v>2020-05</v>
      </c>
      <c r="H1297" s="1" t="s">
        <v>37</v>
      </c>
      <c r="I1297" s="1" t="s">
        <v>776</v>
      </c>
      <c r="J1297">
        <v>80</v>
      </c>
    </row>
    <row r="1298" spans="1:10" x14ac:dyDescent="0.25">
      <c r="A1298" s="1" t="s">
        <v>1293</v>
      </c>
      <c r="B1298" s="1" t="s">
        <v>1294</v>
      </c>
      <c r="C1298" s="1" t="s">
        <v>68</v>
      </c>
      <c r="D1298">
        <v>165</v>
      </c>
      <c r="F1298" s="2">
        <v>43930</v>
      </c>
      <c r="G1298" s="2" t="str">
        <f>TEXT(LayoffsData[[#This Row],[date]],"yyyy-mm")</f>
        <v>2020-04</v>
      </c>
      <c r="H1298" s="1" t="s">
        <v>86</v>
      </c>
      <c r="I1298" s="1" t="s">
        <v>17</v>
      </c>
      <c r="J1298">
        <v>324</v>
      </c>
    </row>
    <row r="1299" spans="1:10" x14ac:dyDescent="0.25">
      <c r="A1299" s="1" t="s">
        <v>1293</v>
      </c>
      <c r="B1299" s="1" t="s">
        <v>200</v>
      </c>
      <c r="C1299" s="1" t="s">
        <v>68</v>
      </c>
      <c r="D1299">
        <v>120</v>
      </c>
      <c r="E1299">
        <v>0.08</v>
      </c>
      <c r="F1299" s="2">
        <v>43985</v>
      </c>
      <c r="G1299" s="2" t="str">
        <f>TEXT(LayoffsData[[#This Row],[date]],"yyyy-mm")</f>
        <v>2020-06</v>
      </c>
      <c r="H1299" s="1" t="s">
        <v>86</v>
      </c>
      <c r="I1299" s="1" t="s">
        <v>201</v>
      </c>
      <c r="J1299">
        <v>324</v>
      </c>
    </row>
    <row r="1300" spans="1:10" x14ac:dyDescent="0.25">
      <c r="A1300" s="1" t="s">
        <v>1295</v>
      </c>
      <c r="B1300" s="1" t="s">
        <v>343</v>
      </c>
      <c r="C1300" s="1" t="s">
        <v>10</v>
      </c>
      <c r="F1300" s="2">
        <v>44901</v>
      </c>
      <c r="G1300" s="2" t="str">
        <f>TEXT(LayoffsData[[#This Row],[date]],"yyyy-mm")</f>
        <v>2022-12</v>
      </c>
      <c r="H1300" s="1" t="s">
        <v>37</v>
      </c>
      <c r="I1300" s="1" t="s">
        <v>140</v>
      </c>
      <c r="J1300">
        <v>630</v>
      </c>
    </row>
    <row r="1301" spans="1:10" x14ac:dyDescent="0.25">
      <c r="A1301" s="1" t="s">
        <v>1296</v>
      </c>
      <c r="B1301" s="1" t="s">
        <v>71</v>
      </c>
      <c r="C1301" s="1" t="s">
        <v>10</v>
      </c>
      <c r="D1301">
        <v>28</v>
      </c>
      <c r="E1301">
        <v>0.37</v>
      </c>
      <c r="F1301" s="2">
        <v>43922</v>
      </c>
      <c r="G1301" s="2" t="str">
        <f>TEXT(LayoffsData[[#This Row],[date]],"yyyy-mm")</f>
        <v>2020-04</v>
      </c>
      <c r="H1301" s="1" t="s">
        <v>37</v>
      </c>
      <c r="I1301" s="1" t="s">
        <v>17</v>
      </c>
    </row>
    <row r="1302" spans="1:10" x14ac:dyDescent="0.25">
      <c r="A1302" s="1" t="s">
        <v>1297</v>
      </c>
      <c r="B1302" s="1" t="s">
        <v>32</v>
      </c>
      <c r="C1302" s="1" t="s">
        <v>63</v>
      </c>
      <c r="E1302">
        <v>0.14000000000000001</v>
      </c>
      <c r="F1302" s="2">
        <v>44882</v>
      </c>
      <c r="G1302" s="2" t="str">
        <f>TEXT(LayoffsData[[#This Row],[date]],"yyyy-mm")</f>
        <v>2022-11</v>
      </c>
      <c r="H1302" s="1" t="s">
        <v>57</v>
      </c>
      <c r="I1302" s="1" t="s">
        <v>17</v>
      </c>
    </row>
    <row r="1303" spans="1:10" x14ac:dyDescent="0.25">
      <c r="A1303" s="1" t="s">
        <v>1298</v>
      </c>
      <c r="B1303" s="1" t="s">
        <v>40</v>
      </c>
      <c r="C1303" s="1" t="s">
        <v>74</v>
      </c>
      <c r="F1303" s="2">
        <v>44946</v>
      </c>
      <c r="G1303" s="2" t="str">
        <f>TEXT(LayoffsData[[#This Row],[date]],"yyyy-mm")</f>
        <v>2023-01</v>
      </c>
      <c r="H1303" s="1" t="s">
        <v>24</v>
      </c>
      <c r="I1303" s="1" t="s">
        <v>17</v>
      </c>
      <c r="J1303">
        <v>91</v>
      </c>
    </row>
    <row r="1304" spans="1:10" x14ac:dyDescent="0.25">
      <c r="A1304" s="1" t="s">
        <v>1299</v>
      </c>
      <c r="B1304" s="1" t="s">
        <v>79</v>
      </c>
      <c r="C1304" s="1" t="s">
        <v>513</v>
      </c>
      <c r="D1304">
        <v>70</v>
      </c>
      <c r="E1304">
        <v>0.15</v>
      </c>
      <c r="F1304" s="2">
        <v>44827</v>
      </c>
      <c r="G1304" s="2" t="str">
        <f>TEXT(LayoffsData[[#This Row],[date]],"yyyy-mm")</f>
        <v>2022-09</v>
      </c>
      <c r="H1304" s="1" t="s">
        <v>24</v>
      </c>
      <c r="I1304" s="1" t="s">
        <v>80</v>
      </c>
      <c r="J1304">
        <v>150</v>
      </c>
    </row>
    <row r="1305" spans="1:10" x14ac:dyDescent="0.25">
      <c r="A1305" s="1" t="s">
        <v>1300</v>
      </c>
      <c r="B1305" s="1" t="s">
        <v>73</v>
      </c>
      <c r="C1305" s="1" t="s">
        <v>51</v>
      </c>
      <c r="F1305" s="2">
        <v>44748</v>
      </c>
      <c r="G1305" s="2" t="str">
        <f>TEXT(LayoffsData[[#This Row],[date]],"yyyy-mm")</f>
        <v>2022-07</v>
      </c>
      <c r="H1305" s="1" t="s">
        <v>24</v>
      </c>
      <c r="I1305" s="1" t="s">
        <v>17</v>
      </c>
      <c r="J1305">
        <v>344</v>
      </c>
    </row>
    <row r="1306" spans="1:10" x14ac:dyDescent="0.25">
      <c r="A1306" s="1" t="s">
        <v>1301</v>
      </c>
      <c r="B1306" s="1" t="s">
        <v>14</v>
      </c>
      <c r="C1306" s="1" t="s">
        <v>68</v>
      </c>
      <c r="E1306">
        <v>1</v>
      </c>
      <c r="F1306" s="2">
        <v>43939</v>
      </c>
      <c r="G1306" s="2" t="str">
        <f>TEXT(LayoffsData[[#This Row],[date]],"yyyy-mm")</f>
        <v>2020-04</v>
      </c>
      <c r="H1306" s="1" t="s">
        <v>16</v>
      </c>
      <c r="I1306" s="1" t="s">
        <v>17</v>
      </c>
      <c r="J1306">
        <v>126</v>
      </c>
    </row>
    <row r="1307" spans="1:10" x14ac:dyDescent="0.25">
      <c r="A1307" s="1" t="s">
        <v>1302</v>
      </c>
      <c r="B1307" s="1" t="s">
        <v>73</v>
      </c>
      <c r="C1307" s="1" t="s">
        <v>10</v>
      </c>
      <c r="F1307" s="2">
        <v>44895</v>
      </c>
      <c r="G1307" s="2" t="str">
        <f>TEXT(LayoffsData[[#This Row],[date]],"yyyy-mm")</f>
        <v>2022-11</v>
      </c>
      <c r="H1307" s="1" t="s">
        <v>37</v>
      </c>
      <c r="I1307" s="1" t="s">
        <v>17</v>
      </c>
    </row>
    <row r="1308" spans="1:10" x14ac:dyDescent="0.25">
      <c r="A1308" s="1" t="s">
        <v>1303</v>
      </c>
      <c r="B1308" s="1" t="s">
        <v>14</v>
      </c>
      <c r="C1308" s="1" t="s">
        <v>10</v>
      </c>
      <c r="D1308">
        <v>237</v>
      </c>
      <c r="E1308">
        <v>0.06</v>
      </c>
      <c r="F1308" s="2">
        <v>44902</v>
      </c>
      <c r="G1308" s="2" t="str">
        <f>TEXT(LayoffsData[[#This Row],[date]],"yyyy-mm")</f>
        <v>2022-12</v>
      </c>
      <c r="H1308" s="1" t="s">
        <v>86</v>
      </c>
      <c r="I1308" s="1" t="s">
        <v>17</v>
      </c>
      <c r="J1308">
        <v>567</v>
      </c>
    </row>
    <row r="1309" spans="1:10" x14ac:dyDescent="0.25">
      <c r="A1309" s="1" t="s">
        <v>1304</v>
      </c>
      <c r="B1309" s="1" t="s">
        <v>155</v>
      </c>
      <c r="C1309" s="1" t="s">
        <v>53</v>
      </c>
      <c r="D1309">
        <v>33</v>
      </c>
      <c r="E1309">
        <v>0.25</v>
      </c>
      <c r="F1309" s="2">
        <v>43941</v>
      </c>
      <c r="G1309" s="2" t="str">
        <f>TEXT(LayoffsData[[#This Row],[date]],"yyyy-mm")</f>
        <v>2020-04</v>
      </c>
      <c r="H1309" s="1" t="s">
        <v>131</v>
      </c>
      <c r="I1309" s="1" t="s">
        <v>38</v>
      </c>
      <c r="J1309">
        <v>1</v>
      </c>
    </row>
    <row r="1310" spans="1:10" x14ac:dyDescent="0.25">
      <c r="A1310" s="1" t="s">
        <v>1305</v>
      </c>
      <c r="B1310" s="1" t="s">
        <v>14</v>
      </c>
      <c r="C1310" s="1" t="s">
        <v>27</v>
      </c>
      <c r="D1310">
        <v>250</v>
      </c>
      <c r="E1310">
        <v>0.25</v>
      </c>
      <c r="F1310" s="2">
        <v>44054</v>
      </c>
      <c r="G1310" s="2" t="str">
        <f>TEXT(LayoffsData[[#This Row],[date]],"yyyy-mm")</f>
        <v>2020-08</v>
      </c>
      <c r="H1310" s="1" t="s">
        <v>37</v>
      </c>
      <c r="I1310" s="1" t="s">
        <v>17</v>
      </c>
      <c r="J1310">
        <v>2</v>
      </c>
    </row>
    <row r="1311" spans="1:10" x14ac:dyDescent="0.25">
      <c r="A1311" s="1" t="s">
        <v>1306</v>
      </c>
      <c r="B1311" s="1" t="s">
        <v>259</v>
      </c>
      <c r="C1311" s="1" t="s">
        <v>51</v>
      </c>
      <c r="E1311">
        <v>0.17</v>
      </c>
      <c r="F1311" s="2">
        <v>44795</v>
      </c>
      <c r="G1311" s="2" t="str">
        <f>TEXT(LayoffsData[[#This Row],[date]],"yyyy-mm")</f>
        <v>2022-08</v>
      </c>
      <c r="H1311" s="1" t="s">
        <v>21</v>
      </c>
      <c r="I1311" s="1" t="s">
        <v>17</v>
      </c>
      <c r="J1311">
        <v>73</v>
      </c>
    </row>
    <row r="1312" spans="1:10" x14ac:dyDescent="0.25">
      <c r="A1312" s="1" t="s">
        <v>1307</v>
      </c>
      <c r="B1312" s="1" t="s">
        <v>315</v>
      </c>
      <c r="C1312" s="1" t="s">
        <v>174</v>
      </c>
      <c r="E1312">
        <v>0.7</v>
      </c>
      <c r="F1312" s="2">
        <v>44945</v>
      </c>
      <c r="G1312" s="2" t="str">
        <f>TEXT(LayoffsData[[#This Row],[date]],"yyyy-mm")</f>
        <v>2023-01</v>
      </c>
      <c r="H1312" s="1" t="s">
        <v>21</v>
      </c>
      <c r="I1312" s="1" t="s">
        <v>17</v>
      </c>
      <c r="J1312">
        <v>13</v>
      </c>
    </row>
    <row r="1313" spans="1:10" x14ac:dyDescent="0.25">
      <c r="A1313" s="1" t="s">
        <v>1308</v>
      </c>
      <c r="B1313" s="1" t="s">
        <v>14</v>
      </c>
      <c r="C1313" s="1" t="s">
        <v>113</v>
      </c>
      <c r="F1313" s="2">
        <v>44763</v>
      </c>
      <c r="G1313" s="2" t="str">
        <f>TEXT(LayoffsData[[#This Row],[date]],"yyyy-mm")</f>
        <v>2022-07</v>
      </c>
      <c r="H1313" s="1" t="s">
        <v>28</v>
      </c>
      <c r="I1313" s="1" t="s">
        <v>17</v>
      </c>
      <c r="J1313">
        <v>192</v>
      </c>
    </row>
    <row r="1314" spans="1:10" x14ac:dyDescent="0.25">
      <c r="A1314" s="1" t="s">
        <v>1308</v>
      </c>
      <c r="B1314" s="1" t="s">
        <v>14</v>
      </c>
      <c r="C1314" s="1" t="s">
        <v>113</v>
      </c>
      <c r="D1314">
        <v>90</v>
      </c>
      <c r="E1314">
        <v>0.1</v>
      </c>
      <c r="F1314" s="2">
        <v>44686</v>
      </c>
      <c r="G1314" s="2" t="str">
        <f>TEXT(LayoffsData[[#This Row],[date]],"yyyy-mm")</f>
        <v>2022-05</v>
      </c>
      <c r="H1314" s="1" t="s">
        <v>28</v>
      </c>
      <c r="I1314" s="1" t="s">
        <v>17</v>
      </c>
      <c r="J1314">
        <v>192</v>
      </c>
    </row>
    <row r="1315" spans="1:10" x14ac:dyDescent="0.25">
      <c r="A1315" s="1" t="s">
        <v>1309</v>
      </c>
      <c r="B1315" s="1" t="s">
        <v>14</v>
      </c>
      <c r="C1315" s="1" t="s">
        <v>124</v>
      </c>
      <c r="D1315">
        <v>40</v>
      </c>
      <c r="E1315">
        <v>0.2</v>
      </c>
      <c r="F1315" s="2">
        <v>44833</v>
      </c>
      <c r="G1315" s="2" t="str">
        <f>TEXT(LayoffsData[[#This Row],[date]],"yyyy-mm")</f>
        <v>2022-09</v>
      </c>
      <c r="H1315" s="1" t="s">
        <v>33</v>
      </c>
      <c r="I1315" s="1" t="s">
        <v>17</v>
      </c>
      <c r="J1315">
        <v>173</v>
      </c>
    </row>
    <row r="1316" spans="1:10" x14ac:dyDescent="0.25">
      <c r="A1316" s="1" t="s">
        <v>1310</v>
      </c>
      <c r="B1316" s="1" t="s">
        <v>1311</v>
      </c>
      <c r="C1316" s="1" t="s">
        <v>68</v>
      </c>
      <c r="D1316">
        <v>200</v>
      </c>
      <c r="F1316" s="2">
        <v>44845</v>
      </c>
      <c r="G1316" s="2" t="str">
        <f>TEXT(LayoffsData[[#This Row],[date]],"yyyy-mm")</f>
        <v>2022-10</v>
      </c>
      <c r="H1316" s="1" t="s">
        <v>28</v>
      </c>
      <c r="I1316" s="1" t="s">
        <v>17</v>
      </c>
      <c r="J1316">
        <v>450</v>
      </c>
    </row>
    <row r="1317" spans="1:10" x14ac:dyDescent="0.25">
      <c r="A1317" s="1" t="s">
        <v>1312</v>
      </c>
      <c r="B1317" s="1" t="s">
        <v>293</v>
      </c>
      <c r="C1317" s="1" t="s">
        <v>149</v>
      </c>
      <c r="D1317">
        <v>200</v>
      </c>
      <c r="E1317">
        <v>0.3</v>
      </c>
      <c r="F1317" s="2">
        <v>44977</v>
      </c>
      <c r="G1317" s="2" t="str">
        <f>TEXT(LayoffsData[[#This Row],[date]],"yyyy-mm")</f>
        <v>2023-02</v>
      </c>
      <c r="H1317" s="1" t="s">
        <v>24</v>
      </c>
      <c r="I1317" s="1" t="s">
        <v>69</v>
      </c>
      <c r="J1317">
        <v>79</v>
      </c>
    </row>
    <row r="1318" spans="1:10" x14ac:dyDescent="0.25">
      <c r="A1318" s="1" t="s">
        <v>1313</v>
      </c>
      <c r="B1318" s="1" t="s">
        <v>26</v>
      </c>
      <c r="C1318" s="1" t="s">
        <v>36</v>
      </c>
      <c r="E1318">
        <v>0.1</v>
      </c>
      <c r="F1318" s="2">
        <v>44869</v>
      </c>
      <c r="G1318" s="2" t="str">
        <f>TEXT(LayoffsData[[#This Row],[date]],"yyyy-mm")</f>
        <v>2022-11</v>
      </c>
      <c r="H1318" s="1" t="s">
        <v>28</v>
      </c>
      <c r="I1318" s="1" t="s">
        <v>17</v>
      </c>
      <c r="J1318">
        <v>260</v>
      </c>
    </row>
    <row r="1319" spans="1:10" x14ac:dyDescent="0.25">
      <c r="A1319" s="1" t="s">
        <v>1314</v>
      </c>
      <c r="B1319" s="1" t="s">
        <v>691</v>
      </c>
      <c r="C1319" s="1" t="s">
        <v>149</v>
      </c>
      <c r="F1319" s="2">
        <v>44904</v>
      </c>
      <c r="G1319" s="2" t="str">
        <f>TEXT(LayoffsData[[#This Row],[date]],"yyyy-mm")</f>
        <v>2022-12</v>
      </c>
      <c r="H1319" s="1" t="s">
        <v>11</v>
      </c>
      <c r="I1319" s="1" t="s">
        <v>17</v>
      </c>
      <c r="J1319">
        <v>225</v>
      </c>
    </row>
    <row r="1320" spans="1:10" x14ac:dyDescent="0.25">
      <c r="A1320" s="1" t="s">
        <v>1315</v>
      </c>
      <c r="B1320" s="1" t="s">
        <v>32</v>
      </c>
      <c r="C1320" s="1" t="s">
        <v>68</v>
      </c>
      <c r="D1320">
        <v>9</v>
      </c>
      <c r="E1320">
        <v>0.01</v>
      </c>
      <c r="F1320" s="2">
        <v>43959</v>
      </c>
      <c r="G1320" s="2" t="str">
        <f>TEXT(LayoffsData[[#This Row],[date]],"yyyy-mm")</f>
        <v>2020-05</v>
      </c>
      <c r="H1320" s="1" t="s">
        <v>33</v>
      </c>
      <c r="I1320" s="1" t="s">
        <v>17</v>
      </c>
      <c r="J1320">
        <v>782</v>
      </c>
    </row>
    <row r="1321" spans="1:10" x14ac:dyDescent="0.25">
      <c r="A1321" s="1" t="s">
        <v>1316</v>
      </c>
      <c r="B1321" s="1" t="s">
        <v>32</v>
      </c>
      <c r="C1321" s="1" t="s">
        <v>147</v>
      </c>
      <c r="D1321">
        <v>110</v>
      </c>
      <c r="E1321">
        <v>0.4</v>
      </c>
      <c r="F1321" s="2">
        <v>43952</v>
      </c>
      <c r="G1321" s="2" t="str">
        <f>TEXT(LayoffsData[[#This Row],[date]],"yyyy-mm")</f>
        <v>2020-05</v>
      </c>
      <c r="H1321" s="1" t="s">
        <v>16</v>
      </c>
      <c r="I1321" s="1" t="s">
        <v>17</v>
      </c>
      <c r="J1321">
        <v>217</v>
      </c>
    </row>
    <row r="1322" spans="1:10" x14ac:dyDescent="0.25">
      <c r="A1322" s="1" t="s">
        <v>1317</v>
      </c>
      <c r="B1322" s="1" t="s">
        <v>168</v>
      </c>
      <c r="C1322" s="1" t="s">
        <v>20</v>
      </c>
      <c r="D1322">
        <v>20</v>
      </c>
      <c r="E1322">
        <v>0.15</v>
      </c>
      <c r="F1322" s="2">
        <v>44949</v>
      </c>
      <c r="G1322" s="2" t="str">
        <f>TEXT(LayoffsData[[#This Row],[date]],"yyyy-mm")</f>
        <v>2023-01</v>
      </c>
      <c r="H1322" s="1" t="s">
        <v>28</v>
      </c>
      <c r="I1322" s="1" t="s">
        <v>17</v>
      </c>
      <c r="J1322">
        <v>69</v>
      </c>
    </row>
    <row r="1323" spans="1:10" x14ac:dyDescent="0.25">
      <c r="A1323" s="1" t="s">
        <v>1317</v>
      </c>
      <c r="B1323" s="1" t="s">
        <v>168</v>
      </c>
      <c r="C1323" s="1" t="s">
        <v>20</v>
      </c>
      <c r="D1323">
        <v>25</v>
      </c>
      <c r="E1323">
        <v>0.15</v>
      </c>
      <c r="F1323" s="2">
        <v>44874</v>
      </c>
      <c r="G1323" s="2" t="str">
        <f>TEXT(LayoffsData[[#This Row],[date]],"yyyy-mm")</f>
        <v>2022-11</v>
      </c>
      <c r="H1323" s="1" t="s">
        <v>28</v>
      </c>
      <c r="I1323" s="1" t="s">
        <v>17</v>
      </c>
      <c r="J1323">
        <v>69</v>
      </c>
    </row>
    <row r="1324" spans="1:10" x14ac:dyDescent="0.25">
      <c r="A1324" s="1" t="s">
        <v>1318</v>
      </c>
      <c r="B1324" s="1" t="s">
        <v>55</v>
      </c>
      <c r="C1324" s="1" t="s">
        <v>15</v>
      </c>
      <c r="E1324">
        <v>0.1</v>
      </c>
      <c r="F1324" s="2">
        <v>44873</v>
      </c>
      <c r="G1324" s="2" t="str">
        <f>TEXT(LayoffsData[[#This Row],[date]],"yyyy-mm")</f>
        <v>2022-11</v>
      </c>
      <c r="H1324" s="1" t="s">
        <v>11</v>
      </c>
      <c r="I1324" s="1" t="s">
        <v>17</v>
      </c>
      <c r="J1324">
        <v>731</v>
      </c>
    </row>
    <row r="1325" spans="1:10" x14ac:dyDescent="0.25">
      <c r="A1325" s="1" t="s">
        <v>1319</v>
      </c>
      <c r="B1325" s="1" t="s">
        <v>32</v>
      </c>
      <c r="C1325" s="1" t="s">
        <v>29</v>
      </c>
      <c r="F1325" s="2">
        <v>44953</v>
      </c>
      <c r="G1325" s="2" t="str">
        <f>TEXT(LayoffsData[[#This Row],[date]],"yyyy-mm")</f>
        <v>2023-01</v>
      </c>
      <c r="H1325" s="1" t="s">
        <v>21</v>
      </c>
      <c r="I1325" s="1" t="s">
        <v>17</v>
      </c>
      <c r="J1325">
        <v>47</v>
      </c>
    </row>
    <row r="1326" spans="1:10" x14ac:dyDescent="0.25">
      <c r="A1326" s="1" t="s">
        <v>1319</v>
      </c>
      <c r="B1326" s="1" t="s">
        <v>32</v>
      </c>
      <c r="C1326" s="1" t="s">
        <v>29</v>
      </c>
      <c r="D1326">
        <v>30</v>
      </c>
      <c r="F1326" s="2">
        <v>44803</v>
      </c>
      <c r="G1326" s="2" t="str">
        <f>TEXT(LayoffsData[[#This Row],[date]],"yyyy-mm")</f>
        <v>2022-08</v>
      </c>
      <c r="H1326" s="1" t="s">
        <v>21</v>
      </c>
      <c r="I1326" s="1" t="s">
        <v>17</v>
      </c>
      <c r="J1326">
        <v>47</v>
      </c>
    </row>
    <row r="1327" spans="1:10" x14ac:dyDescent="0.25">
      <c r="A1327" s="1" t="s">
        <v>1319</v>
      </c>
      <c r="B1327" s="1" t="s">
        <v>32</v>
      </c>
      <c r="C1327" s="1" t="s">
        <v>29</v>
      </c>
      <c r="D1327">
        <v>30</v>
      </c>
      <c r="E1327">
        <v>0.2</v>
      </c>
      <c r="F1327" s="2">
        <v>44742</v>
      </c>
      <c r="G1327" s="2" t="str">
        <f>TEXT(LayoffsData[[#This Row],[date]],"yyyy-mm")</f>
        <v>2022-06</v>
      </c>
      <c r="H1327" s="1" t="s">
        <v>21</v>
      </c>
      <c r="I1327" s="1" t="s">
        <v>17</v>
      </c>
      <c r="J1327">
        <v>47</v>
      </c>
    </row>
    <row r="1328" spans="1:10" x14ac:dyDescent="0.25">
      <c r="A1328" s="1" t="s">
        <v>1320</v>
      </c>
      <c r="B1328" s="1" t="s">
        <v>14</v>
      </c>
      <c r="C1328" s="1" t="s">
        <v>15</v>
      </c>
      <c r="F1328" s="2">
        <v>44887</v>
      </c>
      <c r="G1328" s="2" t="str">
        <f>TEXT(LayoffsData[[#This Row],[date]],"yyyy-mm")</f>
        <v>2022-11</v>
      </c>
      <c r="H1328" s="1" t="s">
        <v>11</v>
      </c>
      <c r="I1328" s="1" t="s">
        <v>17</v>
      </c>
      <c r="J1328">
        <v>809</v>
      </c>
    </row>
    <row r="1329" spans="1:10" x14ac:dyDescent="0.25">
      <c r="A1329" s="1" t="s">
        <v>1321</v>
      </c>
      <c r="B1329" s="1" t="s">
        <v>137</v>
      </c>
      <c r="C1329" s="1" t="s">
        <v>325</v>
      </c>
      <c r="E1329">
        <v>0.04</v>
      </c>
      <c r="F1329" s="2">
        <v>44957</v>
      </c>
      <c r="G1329" s="2" t="str">
        <f>TEXT(LayoffsData[[#This Row],[date]],"yyyy-mm")</f>
        <v>2023-01</v>
      </c>
      <c r="H1329" s="1" t="s">
        <v>11</v>
      </c>
      <c r="I1329" s="1" t="s">
        <v>17</v>
      </c>
    </row>
    <row r="1330" spans="1:10" x14ac:dyDescent="0.25">
      <c r="A1330" s="1" t="s">
        <v>1322</v>
      </c>
      <c r="B1330" s="1" t="s">
        <v>26</v>
      </c>
      <c r="C1330" s="1" t="s">
        <v>20</v>
      </c>
      <c r="E1330">
        <v>0.4</v>
      </c>
      <c r="F1330" s="2">
        <v>43916</v>
      </c>
      <c r="G1330" s="2" t="str">
        <f>TEXT(LayoffsData[[#This Row],[date]],"yyyy-mm")</f>
        <v>2020-03</v>
      </c>
      <c r="H1330" s="1" t="s">
        <v>24</v>
      </c>
      <c r="I1330" s="1" t="s">
        <v>17</v>
      </c>
      <c r="J1330">
        <v>35</v>
      </c>
    </row>
    <row r="1331" spans="1:10" x14ac:dyDescent="0.25">
      <c r="A1331" s="1" t="s">
        <v>1323</v>
      </c>
      <c r="B1331" s="1" t="s">
        <v>92</v>
      </c>
      <c r="C1331" s="1" t="s">
        <v>68</v>
      </c>
      <c r="D1331">
        <v>30</v>
      </c>
      <c r="F1331" s="2">
        <v>43928</v>
      </c>
      <c r="G1331" s="2" t="str">
        <f>TEXT(LayoffsData[[#This Row],[date]],"yyyy-mm")</f>
        <v>2020-04</v>
      </c>
      <c r="H1331" s="1" t="s">
        <v>28</v>
      </c>
      <c r="I1331" s="1" t="s">
        <v>17</v>
      </c>
      <c r="J1331">
        <v>99</v>
      </c>
    </row>
    <row r="1332" spans="1:10" x14ac:dyDescent="0.25">
      <c r="A1332" s="1" t="s">
        <v>1324</v>
      </c>
      <c r="B1332" s="1" t="s">
        <v>293</v>
      </c>
      <c r="C1332" s="1" t="s">
        <v>68</v>
      </c>
      <c r="D1332">
        <v>40</v>
      </c>
      <c r="E1332">
        <v>0.25</v>
      </c>
      <c r="F1332" s="2">
        <v>43999</v>
      </c>
      <c r="G1332" s="2" t="str">
        <f>TEXT(LayoffsData[[#This Row],[date]],"yyyy-mm")</f>
        <v>2020-06</v>
      </c>
      <c r="H1332" s="1" t="s">
        <v>105</v>
      </c>
      <c r="I1332" s="1" t="s">
        <v>69</v>
      </c>
      <c r="J1332">
        <v>582</v>
      </c>
    </row>
    <row r="1333" spans="1:10" x14ac:dyDescent="0.25">
      <c r="A1333" s="1" t="s">
        <v>1325</v>
      </c>
      <c r="B1333" s="1" t="s">
        <v>1326</v>
      </c>
      <c r="C1333" s="1" t="s">
        <v>172</v>
      </c>
      <c r="D1333">
        <v>125</v>
      </c>
      <c r="E1333">
        <v>7.0000000000000007E-2</v>
      </c>
      <c r="F1333" s="2">
        <v>44959</v>
      </c>
      <c r="G1333" s="2" t="str">
        <f>TEXT(LayoffsData[[#This Row],[date]],"yyyy-mm")</f>
        <v>2023-02</v>
      </c>
      <c r="H1333" s="1" t="s">
        <v>11</v>
      </c>
      <c r="I1333" s="1" t="s">
        <v>201</v>
      </c>
    </row>
    <row r="1334" spans="1:10" x14ac:dyDescent="0.25">
      <c r="A1334" s="1" t="s">
        <v>1327</v>
      </c>
      <c r="B1334" s="1" t="s">
        <v>1328</v>
      </c>
      <c r="C1334" s="1" t="s">
        <v>68</v>
      </c>
      <c r="D1334">
        <v>100</v>
      </c>
      <c r="E1334">
        <v>7.0000000000000007E-2</v>
      </c>
      <c r="F1334" s="2">
        <v>44944</v>
      </c>
      <c r="G1334" s="2" t="str">
        <f>TEXT(LayoffsData[[#This Row],[date]],"yyyy-mm")</f>
        <v>2023-01</v>
      </c>
      <c r="H1334" s="1" t="s">
        <v>11</v>
      </c>
      <c r="I1334" s="1" t="s">
        <v>17</v>
      </c>
      <c r="J1334">
        <v>1100</v>
      </c>
    </row>
    <row r="1335" spans="1:10" x14ac:dyDescent="0.25">
      <c r="A1335" s="1" t="s">
        <v>1329</v>
      </c>
      <c r="B1335" s="1" t="s">
        <v>912</v>
      </c>
      <c r="C1335" s="1" t="s">
        <v>27</v>
      </c>
      <c r="E1335">
        <v>0.2</v>
      </c>
      <c r="F1335" s="2">
        <v>44959</v>
      </c>
      <c r="G1335" s="2" t="str">
        <f>TEXT(LayoffsData[[#This Row],[date]],"yyyy-mm")</f>
        <v>2023-02</v>
      </c>
      <c r="H1335" s="1" t="s">
        <v>11</v>
      </c>
      <c r="I1335" s="1" t="s">
        <v>913</v>
      </c>
      <c r="J1335">
        <v>240</v>
      </c>
    </row>
    <row r="1336" spans="1:10" x14ac:dyDescent="0.25">
      <c r="A1336" s="1" t="s">
        <v>1330</v>
      </c>
      <c r="B1336" s="1" t="s">
        <v>14</v>
      </c>
      <c r="C1336" s="1" t="s">
        <v>45</v>
      </c>
      <c r="E1336">
        <v>0.4</v>
      </c>
      <c r="F1336" s="2">
        <v>44893</v>
      </c>
      <c r="G1336" s="2" t="str">
        <f>TEXT(LayoffsData[[#This Row],[date]],"yyyy-mm")</f>
        <v>2022-11</v>
      </c>
      <c r="H1336" s="1" t="s">
        <v>24</v>
      </c>
      <c r="I1336" s="1" t="s">
        <v>17</v>
      </c>
      <c r="J1336">
        <v>78</v>
      </c>
    </row>
    <row r="1337" spans="1:10" x14ac:dyDescent="0.25">
      <c r="A1337" s="1" t="s">
        <v>1331</v>
      </c>
      <c r="B1337" s="1" t="s">
        <v>44</v>
      </c>
      <c r="C1337" s="1" t="s">
        <v>376</v>
      </c>
      <c r="E1337">
        <v>0.1</v>
      </c>
      <c r="F1337" s="2">
        <v>43943</v>
      </c>
      <c r="G1337" s="2" t="str">
        <f>TEXT(LayoffsData[[#This Row],[date]],"yyyy-mm")</f>
        <v>2020-04</v>
      </c>
      <c r="H1337" s="1" t="s">
        <v>11</v>
      </c>
      <c r="I1337" s="1" t="s">
        <v>46</v>
      </c>
      <c r="J1337">
        <v>15</v>
      </c>
    </row>
    <row r="1338" spans="1:10" x14ac:dyDescent="0.25">
      <c r="A1338" s="1" t="s">
        <v>1331</v>
      </c>
      <c r="B1338" s="1" t="s">
        <v>44</v>
      </c>
      <c r="C1338" s="1" t="s">
        <v>376</v>
      </c>
      <c r="E1338">
        <v>0.2</v>
      </c>
      <c r="F1338" s="2">
        <v>44965</v>
      </c>
      <c r="G1338" s="2" t="str">
        <f>TEXT(LayoffsData[[#This Row],[date]],"yyyy-mm")</f>
        <v>2023-02</v>
      </c>
      <c r="H1338" s="1" t="s">
        <v>57</v>
      </c>
      <c r="I1338" s="1" t="s">
        <v>46</v>
      </c>
      <c r="J1338">
        <v>15</v>
      </c>
    </row>
    <row r="1339" spans="1:10" x14ac:dyDescent="0.25">
      <c r="A1339" s="1" t="s">
        <v>1332</v>
      </c>
      <c r="B1339" s="1" t="s">
        <v>35</v>
      </c>
      <c r="C1339" s="1" t="s">
        <v>68</v>
      </c>
      <c r="D1339">
        <v>70</v>
      </c>
      <c r="E1339">
        <v>0.1</v>
      </c>
      <c r="F1339" s="2">
        <v>43934</v>
      </c>
      <c r="G1339" s="2" t="str">
        <f>TEXT(LayoffsData[[#This Row],[date]],"yyyy-mm")</f>
        <v>2020-04</v>
      </c>
      <c r="H1339" s="1" t="s">
        <v>24</v>
      </c>
      <c r="I1339" s="1" t="s">
        <v>38</v>
      </c>
      <c r="J1339">
        <v>120</v>
      </c>
    </row>
    <row r="1340" spans="1:10" x14ac:dyDescent="0.25">
      <c r="A1340" s="1" t="s">
        <v>1332</v>
      </c>
      <c r="B1340" s="1" t="s">
        <v>35</v>
      </c>
      <c r="C1340" s="1" t="s">
        <v>68</v>
      </c>
      <c r="D1340">
        <v>210</v>
      </c>
      <c r="E1340">
        <v>0.09</v>
      </c>
      <c r="F1340" s="2">
        <v>44972</v>
      </c>
      <c r="G1340" s="2" t="str">
        <f>TEXT(LayoffsData[[#This Row],[date]],"yyyy-mm")</f>
        <v>2023-02</v>
      </c>
      <c r="H1340" s="1" t="s">
        <v>33</v>
      </c>
      <c r="I1340" s="1" t="s">
        <v>38</v>
      </c>
      <c r="J1340">
        <v>720</v>
      </c>
    </row>
    <row r="1341" spans="1:10" x14ac:dyDescent="0.25">
      <c r="A1341" s="1" t="s">
        <v>1333</v>
      </c>
      <c r="B1341" s="1" t="s">
        <v>157</v>
      </c>
      <c r="C1341" s="1" t="s">
        <v>41</v>
      </c>
      <c r="E1341">
        <v>0.17</v>
      </c>
      <c r="F1341" s="2">
        <v>44903</v>
      </c>
      <c r="G1341" s="2" t="str">
        <f>TEXT(LayoffsData[[#This Row],[date]],"yyyy-mm")</f>
        <v>2022-12</v>
      </c>
      <c r="H1341" s="1" t="s">
        <v>11</v>
      </c>
      <c r="I1341" s="1" t="s">
        <v>17</v>
      </c>
      <c r="J1341">
        <v>150</v>
      </c>
    </row>
    <row r="1342" spans="1:10" x14ac:dyDescent="0.25">
      <c r="A1342" s="1" t="s">
        <v>1334</v>
      </c>
      <c r="B1342" s="1" t="s">
        <v>343</v>
      </c>
      <c r="C1342" s="1" t="s">
        <v>36</v>
      </c>
      <c r="D1342">
        <v>30</v>
      </c>
      <c r="F1342" s="2">
        <v>44879</v>
      </c>
      <c r="G1342" s="2" t="str">
        <f>TEXT(LayoffsData[[#This Row],[date]],"yyyy-mm")</f>
        <v>2022-11</v>
      </c>
      <c r="H1342" s="1" t="s">
        <v>131</v>
      </c>
      <c r="I1342" s="1" t="s">
        <v>140</v>
      </c>
      <c r="J1342">
        <v>6</v>
      </c>
    </row>
    <row r="1343" spans="1:10" x14ac:dyDescent="0.25">
      <c r="A1343" s="1" t="s">
        <v>1335</v>
      </c>
      <c r="B1343" s="1" t="s">
        <v>14</v>
      </c>
      <c r="C1343" s="1" t="s">
        <v>74</v>
      </c>
      <c r="D1343">
        <v>960</v>
      </c>
      <c r="E1343">
        <v>0.08</v>
      </c>
      <c r="F1343" s="2">
        <v>44957</v>
      </c>
      <c r="G1343" s="2" t="str">
        <f>TEXT(LayoffsData[[#This Row],[date]],"yyyy-mm")</f>
        <v>2023-01</v>
      </c>
      <c r="H1343" s="1" t="s">
        <v>11</v>
      </c>
      <c r="I1343" s="1" t="s">
        <v>17</v>
      </c>
    </row>
    <row r="1344" spans="1:10" x14ac:dyDescent="0.25">
      <c r="A1344" s="1" t="s">
        <v>1336</v>
      </c>
      <c r="B1344" s="1" t="s">
        <v>14</v>
      </c>
      <c r="C1344" s="1" t="s">
        <v>63</v>
      </c>
      <c r="D1344">
        <v>25</v>
      </c>
      <c r="F1344" s="2">
        <v>44679</v>
      </c>
      <c r="G1344" s="2" t="str">
        <f>TEXT(LayoffsData[[#This Row],[date]],"yyyy-mm")</f>
        <v>2022-04</v>
      </c>
      <c r="H1344" s="1" t="s">
        <v>11</v>
      </c>
      <c r="I1344" s="1" t="s">
        <v>17</v>
      </c>
      <c r="J1344">
        <v>121900</v>
      </c>
    </row>
    <row r="1345" spans="1:10" x14ac:dyDescent="0.25">
      <c r="A1345" s="1" t="s">
        <v>1336</v>
      </c>
      <c r="B1345" s="1" t="s">
        <v>14</v>
      </c>
      <c r="C1345" s="1" t="s">
        <v>63</v>
      </c>
      <c r="D1345">
        <v>30</v>
      </c>
      <c r="F1345" s="2">
        <v>44818</v>
      </c>
      <c r="G1345" s="2" t="str">
        <f>TEXT(LayoffsData[[#This Row],[date]],"yyyy-mm")</f>
        <v>2022-09</v>
      </c>
      <c r="H1345" s="1" t="s">
        <v>11</v>
      </c>
      <c r="I1345" s="1" t="s">
        <v>17</v>
      </c>
      <c r="J1345">
        <v>121900</v>
      </c>
    </row>
    <row r="1346" spans="1:10" x14ac:dyDescent="0.25">
      <c r="A1346" s="1" t="s">
        <v>1336</v>
      </c>
      <c r="B1346" s="1" t="s">
        <v>14</v>
      </c>
      <c r="C1346" s="1" t="s">
        <v>63</v>
      </c>
      <c r="D1346">
        <v>150</v>
      </c>
      <c r="E1346">
        <v>0.01</v>
      </c>
      <c r="F1346" s="2">
        <v>44698</v>
      </c>
      <c r="G1346" s="2" t="str">
        <f>TEXT(LayoffsData[[#This Row],[date]],"yyyy-mm")</f>
        <v>2022-05</v>
      </c>
      <c r="H1346" s="1" t="s">
        <v>11</v>
      </c>
      <c r="I1346" s="1" t="s">
        <v>17</v>
      </c>
      <c r="J1346">
        <v>121900</v>
      </c>
    </row>
    <row r="1347" spans="1:10" x14ac:dyDescent="0.25">
      <c r="A1347" s="1" t="s">
        <v>1336</v>
      </c>
      <c r="B1347" s="1" t="s">
        <v>14</v>
      </c>
      <c r="C1347" s="1" t="s">
        <v>63</v>
      </c>
      <c r="D1347">
        <v>300</v>
      </c>
      <c r="E1347">
        <v>0.03</v>
      </c>
      <c r="F1347" s="2">
        <v>44735</v>
      </c>
      <c r="G1347" s="2" t="str">
        <f>TEXT(LayoffsData[[#This Row],[date]],"yyyy-mm")</f>
        <v>2022-06</v>
      </c>
      <c r="H1347" s="1" t="s">
        <v>11</v>
      </c>
      <c r="I1347" s="1" t="s">
        <v>17</v>
      </c>
      <c r="J1347">
        <v>121900</v>
      </c>
    </row>
    <row r="1348" spans="1:10" x14ac:dyDescent="0.25">
      <c r="A1348" s="1" t="s">
        <v>1337</v>
      </c>
      <c r="B1348" s="1" t="s">
        <v>14</v>
      </c>
      <c r="C1348" s="1" t="s">
        <v>113</v>
      </c>
      <c r="D1348">
        <v>48</v>
      </c>
      <c r="E1348">
        <v>0.16</v>
      </c>
      <c r="F1348" s="2">
        <v>44896</v>
      </c>
      <c r="G1348" s="2" t="str">
        <f>TEXT(LayoffsData[[#This Row],[date]],"yyyy-mm")</f>
        <v>2022-12</v>
      </c>
      <c r="H1348" s="1" t="s">
        <v>33</v>
      </c>
      <c r="I1348" s="1" t="s">
        <v>17</v>
      </c>
      <c r="J1348">
        <v>212</v>
      </c>
    </row>
    <row r="1349" spans="1:10" x14ac:dyDescent="0.25">
      <c r="A1349" s="1" t="s">
        <v>1338</v>
      </c>
      <c r="B1349" s="1" t="s">
        <v>71</v>
      </c>
      <c r="C1349" s="1" t="s">
        <v>124</v>
      </c>
      <c r="D1349">
        <v>20</v>
      </c>
      <c r="F1349" s="2">
        <v>44011</v>
      </c>
      <c r="G1349" s="2" t="str">
        <f>TEXT(LayoffsData[[#This Row],[date]],"yyyy-mm")</f>
        <v>2020-06</v>
      </c>
      <c r="H1349" s="1" t="s">
        <v>11</v>
      </c>
      <c r="I1349" s="1" t="s">
        <v>17</v>
      </c>
      <c r="J1349">
        <v>215</v>
      </c>
    </row>
    <row r="1350" spans="1:10" x14ac:dyDescent="0.25">
      <c r="A1350" s="1" t="s">
        <v>1338</v>
      </c>
      <c r="B1350" s="1" t="s">
        <v>14</v>
      </c>
      <c r="C1350" s="1" t="s">
        <v>124</v>
      </c>
      <c r="D1350">
        <v>110</v>
      </c>
      <c r="E1350">
        <v>0.05</v>
      </c>
      <c r="F1350" s="2">
        <v>44791</v>
      </c>
      <c r="G1350" s="2" t="str">
        <f>TEXT(LayoffsData[[#This Row],[date]],"yyyy-mm")</f>
        <v>2022-08</v>
      </c>
      <c r="H1350" s="1" t="s">
        <v>11</v>
      </c>
      <c r="I1350" s="1" t="s">
        <v>17</v>
      </c>
      <c r="J1350">
        <v>214</v>
      </c>
    </row>
    <row r="1351" spans="1:10" x14ac:dyDescent="0.25">
      <c r="A1351" s="1" t="s">
        <v>1338</v>
      </c>
      <c r="B1351" s="1" t="s">
        <v>14</v>
      </c>
      <c r="C1351" s="1" t="s">
        <v>124</v>
      </c>
      <c r="D1351">
        <v>160</v>
      </c>
      <c r="E1351">
        <v>7.0000000000000007E-2</v>
      </c>
      <c r="F1351" s="2">
        <v>44292</v>
      </c>
      <c r="G1351" s="2" t="str">
        <f>TEXT(LayoffsData[[#This Row],[date]],"yyyy-mm")</f>
        <v>2021-04</v>
      </c>
      <c r="H1351" s="1" t="s">
        <v>11</v>
      </c>
      <c r="I1351" s="1" t="s">
        <v>17</v>
      </c>
      <c r="J1351">
        <v>215</v>
      </c>
    </row>
    <row r="1352" spans="1:10" x14ac:dyDescent="0.25">
      <c r="A1352" s="1" t="s">
        <v>1339</v>
      </c>
      <c r="B1352" s="1" t="s">
        <v>14</v>
      </c>
      <c r="C1352" s="1" t="s">
        <v>68</v>
      </c>
      <c r="D1352">
        <v>94</v>
      </c>
      <c r="F1352" s="2">
        <v>43928</v>
      </c>
      <c r="G1352" s="2" t="str">
        <f>TEXT(LayoffsData[[#This Row],[date]],"yyyy-mm")</f>
        <v>2020-04</v>
      </c>
      <c r="H1352" s="1" t="s">
        <v>37</v>
      </c>
      <c r="I1352" s="1" t="s">
        <v>17</v>
      </c>
    </row>
    <row r="1353" spans="1:10" x14ac:dyDescent="0.25">
      <c r="A1353" s="1" t="s">
        <v>1340</v>
      </c>
      <c r="B1353" s="1" t="s">
        <v>14</v>
      </c>
      <c r="C1353" s="1" t="s">
        <v>68</v>
      </c>
      <c r="D1353">
        <v>150</v>
      </c>
      <c r="E1353">
        <v>0.17</v>
      </c>
      <c r="F1353" s="2">
        <v>44749</v>
      </c>
      <c r="G1353" s="2" t="str">
        <f>TEXT(LayoffsData[[#This Row],[date]],"yyyy-mm")</f>
        <v>2022-07</v>
      </c>
      <c r="H1353" s="1" t="s">
        <v>16</v>
      </c>
      <c r="I1353" s="1" t="s">
        <v>17</v>
      </c>
      <c r="J1353">
        <v>881</v>
      </c>
    </row>
    <row r="1354" spans="1:10" x14ac:dyDescent="0.25">
      <c r="A1354" s="1" t="s">
        <v>1341</v>
      </c>
      <c r="B1354" s="1" t="s">
        <v>128</v>
      </c>
      <c r="C1354" s="1" t="s">
        <v>51</v>
      </c>
      <c r="F1354" s="2">
        <v>44751</v>
      </c>
      <c r="G1354" s="2" t="str">
        <f>TEXT(LayoffsData[[#This Row],[date]],"yyyy-mm")</f>
        <v>2022-07</v>
      </c>
      <c r="H1354" s="1" t="s">
        <v>28</v>
      </c>
      <c r="I1354" s="1" t="s">
        <v>17</v>
      </c>
      <c r="J1354">
        <v>150</v>
      </c>
    </row>
    <row r="1355" spans="1:10" x14ac:dyDescent="0.25">
      <c r="A1355" s="1" t="s">
        <v>1342</v>
      </c>
      <c r="B1355" s="1" t="s">
        <v>238</v>
      </c>
      <c r="C1355" s="1" t="s">
        <v>149</v>
      </c>
      <c r="E1355">
        <v>0.17</v>
      </c>
      <c r="F1355" s="2">
        <v>44901</v>
      </c>
      <c r="G1355" s="2" t="str">
        <f>TEXT(LayoffsData[[#This Row],[date]],"yyyy-mm")</f>
        <v>2022-12</v>
      </c>
      <c r="H1355" s="1" t="s">
        <v>105</v>
      </c>
      <c r="I1355" s="1" t="s">
        <v>17</v>
      </c>
      <c r="J1355">
        <v>200</v>
      </c>
    </row>
    <row r="1356" spans="1:10" x14ac:dyDescent="0.25">
      <c r="A1356" s="1" t="s">
        <v>1343</v>
      </c>
      <c r="B1356" s="1" t="s">
        <v>14</v>
      </c>
      <c r="C1356" s="1" t="s">
        <v>20</v>
      </c>
      <c r="E1356">
        <v>0.03</v>
      </c>
      <c r="F1356" s="2">
        <v>44750</v>
      </c>
      <c r="G1356" s="2" t="str">
        <f>TEXT(LayoffsData[[#This Row],[date]],"yyyy-mm")</f>
        <v>2022-07</v>
      </c>
      <c r="H1356" s="1" t="s">
        <v>37</v>
      </c>
      <c r="I1356" s="1" t="s">
        <v>17</v>
      </c>
      <c r="J1356">
        <v>108</v>
      </c>
    </row>
    <row r="1357" spans="1:10" x14ac:dyDescent="0.25">
      <c r="A1357" s="1" t="s">
        <v>1343</v>
      </c>
      <c r="B1357" s="1" t="s">
        <v>14</v>
      </c>
      <c r="C1357" s="1" t="s">
        <v>20</v>
      </c>
      <c r="E1357">
        <v>7.0000000000000007E-2</v>
      </c>
      <c r="F1357" s="2">
        <v>44819</v>
      </c>
      <c r="G1357" s="2" t="str">
        <f>TEXT(LayoffsData[[#This Row],[date]],"yyyy-mm")</f>
        <v>2022-09</v>
      </c>
      <c r="H1357" s="1" t="s">
        <v>37</v>
      </c>
      <c r="I1357" s="1" t="s">
        <v>17</v>
      </c>
      <c r="J1357">
        <v>108</v>
      </c>
    </row>
    <row r="1358" spans="1:10" x14ac:dyDescent="0.25">
      <c r="A1358" s="1" t="s">
        <v>1344</v>
      </c>
      <c r="B1358" s="1" t="s">
        <v>14</v>
      </c>
      <c r="C1358" s="1" t="s">
        <v>27</v>
      </c>
      <c r="D1358">
        <v>85</v>
      </c>
      <c r="E1358">
        <v>0.08</v>
      </c>
      <c r="F1358" s="2">
        <v>44741</v>
      </c>
      <c r="G1358" s="2" t="str">
        <f>TEXT(LayoffsData[[#This Row],[date]],"yyyy-mm")</f>
        <v>2022-06</v>
      </c>
      <c r="H1358" s="1" t="s">
        <v>33</v>
      </c>
      <c r="I1358" s="1" t="s">
        <v>17</v>
      </c>
      <c r="J1358">
        <v>770</v>
      </c>
    </row>
    <row r="1359" spans="1:10" x14ac:dyDescent="0.25">
      <c r="A1359" s="1" t="s">
        <v>1345</v>
      </c>
      <c r="B1359" s="1" t="s">
        <v>293</v>
      </c>
      <c r="C1359" s="1" t="s">
        <v>51</v>
      </c>
      <c r="D1359">
        <v>200</v>
      </c>
      <c r="F1359" s="2">
        <v>44250</v>
      </c>
      <c r="G1359" s="2" t="str">
        <f>TEXT(LayoffsData[[#This Row],[date]],"yyyy-mm")</f>
        <v>2021-02</v>
      </c>
      <c r="H1359" s="1" t="s">
        <v>37</v>
      </c>
      <c r="I1359" s="1" t="s">
        <v>69</v>
      </c>
      <c r="J1359">
        <v>194</v>
      </c>
    </row>
    <row r="1360" spans="1:10" x14ac:dyDescent="0.25">
      <c r="A1360" s="1" t="s">
        <v>1346</v>
      </c>
      <c r="B1360" s="1" t="s">
        <v>182</v>
      </c>
      <c r="C1360" s="1" t="s">
        <v>68</v>
      </c>
      <c r="E1360">
        <v>1</v>
      </c>
      <c r="F1360" s="2">
        <v>44880</v>
      </c>
      <c r="G1360" s="2" t="str">
        <f>TEXT(LayoffsData[[#This Row],[date]],"yyyy-mm")</f>
        <v>2022-11</v>
      </c>
      <c r="H1360" s="1" t="s">
        <v>37</v>
      </c>
      <c r="I1360" s="1" t="s">
        <v>17</v>
      </c>
    </row>
    <row r="1361" spans="1:10" x14ac:dyDescent="0.25">
      <c r="A1361" s="1" t="s">
        <v>1347</v>
      </c>
      <c r="B1361" s="1" t="s">
        <v>35</v>
      </c>
      <c r="C1361" s="1" t="s">
        <v>68</v>
      </c>
      <c r="E1361">
        <v>0.2</v>
      </c>
      <c r="F1361" s="2">
        <v>44777</v>
      </c>
      <c r="G1361" s="2" t="str">
        <f>TEXT(LayoffsData[[#This Row],[date]],"yyyy-mm")</f>
        <v>2022-08</v>
      </c>
      <c r="H1361" s="1" t="s">
        <v>24</v>
      </c>
      <c r="I1361" s="1" t="s">
        <v>38</v>
      </c>
      <c r="J1361">
        <v>290</v>
      </c>
    </row>
    <row r="1362" spans="1:10" x14ac:dyDescent="0.25">
      <c r="A1362" s="1" t="s">
        <v>1348</v>
      </c>
      <c r="B1362" s="1" t="s">
        <v>32</v>
      </c>
      <c r="C1362" s="1" t="s">
        <v>15</v>
      </c>
      <c r="D1362">
        <v>119</v>
      </c>
      <c r="E1362">
        <v>0.17</v>
      </c>
      <c r="F1362" s="2">
        <v>44966</v>
      </c>
      <c r="G1362" s="2" t="str">
        <f>TEXT(LayoffsData[[#This Row],[date]],"yyyy-mm")</f>
        <v>2023-02</v>
      </c>
      <c r="H1362" s="1" t="s">
        <v>37</v>
      </c>
      <c r="I1362" s="1" t="s">
        <v>17</v>
      </c>
      <c r="J1362">
        <v>218</v>
      </c>
    </row>
    <row r="1363" spans="1:10" x14ac:dyDescent="0.25">
      <c r="A1363" s="1" t="s">
        <v>1349</v>
      </c>
      <c r="B1363" s="1" t="s">
        <v>32</v>
      </c>
      <c r="C1363" s="1" t="s">
        <v>506</v>
      </c>
      <c r="F1363" s="2">
        <v>44951</v>
      </c>
      <c r="G1363" s="2" t="str">
        <f>TEXT(LayoffsData[[#This Row],[date]],"yyyy-mm")</f>
        <v>2023-01</v>
      </c>
      <c r="H1363" s="1" t="s">
        <v>86</v>
      </c>
      <c r="I1363" s="1" t="s">
        <v>17</v>
      </c>
      <c r="J1363">
        <v>657</v>
      </c>
    </row>
    <row r="1364" spans="1:10" x14ac:dyDescent="0.25">
      <c r="A1364" s="1" t="s">
        <v>1349</v>
      </c>
      <c r="B1364" s="1" t="s">
        <v>32</v>
      </c>
      <c r="C1364" s="1" t="s">
        <v>15</v>
      </c>
      <c r="D1364">
        <v>495</v>
      </c>
      <c r="F1364" s="2">
        <v>44680</v>
      </c>
      <c r="G1364" s="2" t="str">
        <f>TEXT(LayoffsData[[#This Row],[date]],"yyyy-mm")</f>
        <v>2022-04</v>
      </c>
      <c r="H1364" s="1" t="s">
        <v>86</v>
      </c>
      <c r="I1364" s="1" t="s">
        <v>17</v>
      </c>
      <c r="J1364">
        <v>657</v>
      </c>
    </row>
    <row r="1365" spans="1:10" x14ac:dyDescent="0.25">
      <c r="A1365" s="1" t="s">
        <v>1349</v>
      </c>
      <c r="B1365" s="1" t="s">
        <v>32</v>
      </c>
      <c r="C1365" s="1" t="s">
        <v>15</v>
      </c>
      <c r="D1365">
        <v>500</v>
      </c>
      <c r="E1365">
        <v>0.1</v>
      </c>
      <c r="F1365" s="2">
        <v>44845</v>
      </c>
      <c r="G1365" s="2" t="str">
        <f>TEXT(LayoffsData[[#This Row],[date]],"yyyy-mm")</f>
        <v>2022-10</v>
      </c>
      <c r="H1365" s="1" t="s">
        <v>86</v>
      </c>
      <c r="I1365" s="1" t="s">
        <v>17</v>
      </c>
      <c r="J1365">
        <v>657</v>
      </c>
    </row>
    <row r="1366" spans="1:10" x14ac:dyDescent="0.25">
      <c r="A1366" s="1" t="s">
        <v>1350</v>
      </c>
      <c r="B1366" s="1" t="s">
        <v>73</v>
      </c>
      <c r="C1366" s="1" t="s">
        <v>598</v>
      </c>
      <c r="D1366">
        <v>60</v>
      </c>
      <c r="F1366" s="2">
        <v>44865</v>
      </c>
      <c r="G1366" s="2" t="str">
        <f>TEXT(LayoffsData[[#This Row],[date]],"yyyy-mm")</f>
        <v>2022-10</v>
      </c>
      <c r="H1366" s="1" t="s">
        <v>33</v>
      </c>
      <c r="I1366" s="1" t="s">
        <v>17</v>
      </c>
      <c r="J1366">
        <v>213</v>
      </c>
    </row>
    <row r="1367" spans="1:10" x14ac:dyDescent="0.25">
      <c r="A1367" s="1" t="s">
        <v>1350</v>
      </c>
      <c r="B1367" s="1" t="s">
        <v>73</v>
      </c>
      <c r="C1367" s="1" t="s">
        <v>598</v>
      </c>
      <c r="D1367">
        <v>110</v>
      </c>
      <c r="E1367">
        <v>0.25</v>
      </c>
      <c r="F1367" s="2">
        <v>44727</v>
      </c>
      <c r="G1367" s="2" t="str">
        <f>TEXT(LayoffsData[[#This Row],[date]],"yyyy-mm")</f>
        <v>2022-06</v>
      </c>
      <c r="H1367" s="1" t="s">
        <v>33</v>
      </c>
      <c r="I1367" s="1" t="s">
        <v>17</v>
      </c>
      <c r="J1367">
        <v>213</v>
      </c>
    </row>
    <row r="1368" spans="1:10" x14ac:dyDescent="0.25">
      <c r="A1368" s="1" t="s">
        <v>1351</v>
      </c>
      <c r="B1368" s="1" t="s">
        <v>293</v>
      </c>
      <c r="C1368" s="1" t="s">
        <v>15</v>
      </c>
      <c r="E1368">
        <v>0.3</v>
      </c>
      <c r="F1368" s="2">
        <v>44740</v>
      </c>
      <c r="G1368" s="2" t="str">
        <f>TEXT(LayoffsData[[#This Row],[date]],"yyyy-mm")</f>
        <v>2022-06</v>
      </c>
      <c r="H1368" s="1" t="s">
        <v>24</v>
      </c>
      <c r="I1368" s="1" t="s">
        <v>69</v>
      </c>
      <c r="J1368">
        <v>41</v>
      </c>
    </row>
    <row r="1369" spans="1:10" x14ac:dyDescent="0.25">
      <c r="A1369" s="1" t="s">
        <v>1352</v>
      </c>
      <c r="B1369" s="1" t="s">
        <v>1294</v>
      </c>
      <c r="C1369" s="1" t="s">
        <v>74</v>
      </c>
      <c r="D1369">
        <v>240</v>
      </c>
      <c r="E1369">
        <v>0.95</v>
      </c>
      <c r="F1369" s="2">
        <v>44085</v>
      </c>
      <c r="G1369" s="2" t="str">
        <f>TEXT(LayoffsData[[#This Row],[date]],"yyyy-mm")</f>
        <v>2020-09</v>
      </c>
      <c r="H1369" s="1" t="s">
        <v>21</v>
      </c>
      <c r="I1369" s="1" t="s">
        <v>17</v>
      </c>
      <c r="J1369">
        <v>158</v>
      </c>
    </row>
    <row r="1370" spans="1:10" x14ac:dyDescent="0.25">
      <c r="A1370" s="1" t="s">
        <v>1353</v>
      </c>
      <c r="B1370" s="1" t="s">
        <v>168</v>
      </c>
      <c r="C1370" s="1" t="s">
        <v>172</v>
      </c>
      <c r="D1370">
        <v>100</v>
      </c>
      <c r="E1370">
        <v>0.14000000000000001</v>
      </c>
      <c r="F1370" s="2">
        <v>44794</v>
      </c>
      <c r="G1370" s="2" t="str">
        <f>TEXT(LayoffsData[[#This Row],[date]],"yyyy-mm")</f>
        <v>2022-08</v>
      </c>
      <c r="H1370" s="1" t="s">
        <v>131</v>
      </c>
      <c r="I1370" s="1" t="s">
        <v>170</v>
      </c>
      <c r="J1370">
        <v>1</v>
      </c>
    </row>
    <row r="1371" spans="1:10" x14ac:dyDescent="0.25">
      <c r="A1371" s="1" t="s">
        <v>1354</v>
      </c>
      <c r="B1371" s="1" t="s">
        <v>1355</v>
      </c>
      <c r="C1371" s="1" t="s">
        <v>68</v>
      </c>
      <c r="D1371">
        <v>62</v>
      </c>
      <c r="E1371">
        <v>0.5</v>
      </c>
      <c r="F1371" s="2">
        <v>43958</v>
      </c>
      <c r="G1371" s="2" t="str">
        <f>TEXT(LayoffsData[[#This Row],[date]],"yyyy-mm")</f>
        <v>2020-05</v>
      </c>
      <c r="H1371" s="1" t="s">
        <v>24</v>
      </c>
      <c r="I1371" s="1" t="s">
        <v>1356</v>
      </c>
      <c r="J1371">
        <v>78</v>
      </c>
    </row>
    <row r="1372" spans="1:10" x14ac:dyDescent="0.25">
      <c r="A1372" s="1" t="s">
        <v>1357</v>
      </c>
      <c r="B1372" s="1" t="s">
        <v>73</v>
      </c>
      <c r="C1372" s="1" t="s">
        <v>74</v>
      </c>
      <c r="D1372">
        <v>20</v>
      </c>
      <c r="E1372">
        <v>0.28999999999999998</v>
      </c>
      <c r="F1372" s="2">
        <v>43931</v>
      </c>
      <c r="G1372" s="2" t="str">
        <f>TEXT(LayoffsData[[#This Row],[date]],"yyyy-mm")</f>
        <v>2020-04</v>
      </c>
      <c r="H1372" s="1" t="s">
        <v>37</v>
      </c>
      <c r="I1372" s="1" t="s">
        <v>17</v>
      </c>
      <c r="J1372">
        <v>85</v>
      </c>
    </row>
    <row r="1373" spans="1:10" x14ac:dyDescent="0.25">
      <c r="A1373" s="1" t="s">
        <v>1358</v>
      </c>
      <c r="B1373" s="1" t="s">
        <v>79</v>
      </c>
      <c r="C1373" s="1" t="s">
        <v>36</v>
      </c>
      <c r="E1373">
        <v>1</v>
      </c>
      <c r="F1373" s="2">
        <v>44851</v>
      </c>
      <c r="G1373" s="2" t="str">
        <f>TEXT(LayoffsData[[#This Row],[date]],"yyyy-mm")</f>
        <v>2022-10</v>
      </c>
      <c r="H1373" s="1" t="s">
        <v>24</v>
      </c>
      <c r="I1373" s="1" t="s">
        <v>80</v>
      </c>
      <c r="J1373">
        <v>42</v>
      </c>
    </row>
    <row r="1374" spans="1:10" x14ac:dyDescent="0.25">
      <c r="A1374" s="1" t="s">
        <v>1358</v>
      </c>
      <c r="B1374" s="1" t="s">
        <v>79</v>
      </c>
      <c r="C1374" s="1" t="s">
        <v>68</v>
      </c>
      <c r="D1374">
        <v>45</v>
      </c>
      <c r="E1374">
        <v>0.2</v>
      </c>
      <c r="F1374" s="2">
        <v>44706</v>
      </c>
      <c r="G1374" s="2" t="str">
        <f>TEXT(LayoffsData[[#This Row],[date]],"yyyy-mm")</f>
        <v>2022-05</v>
      </c>
      <c r="H1374" s="1" t="s">
        <v>24</v>
      </c>
      <c r="I1374" s="1" t="s">
        <v>80</v>
      </c>
      <c r="J1374">
        <v>42</v>
      </c>
    </row>
    <row r="1375" spans="1:10" x14ac:dyDescent="0.25">
      <c r="A1375" s="1" t="s">
        <v>1359</v>
      </c>
      <c r="B1375" s="1" t="s">
        <v>14</v>
      </c>
      <c r="C1375" s="1" t="s">
        <v>10</v>
      </c>
      <c r="D1375">
        <v>7</v>
      </c>
      <c r="F1375" s="2">
        <v>44755</v>
      </c>
      <c r="G1375" s="2" t="str">
        <f>TEXT(LayoffsData[[#This Row],[date]],"yyyy-mm")</f>
        <v>2022-07</v>
      </c>
      <c r="H1375" s="1" t="s">
        <v>33</v>
      </c>
      <c r="I1375" s="1" t="s">
        <v>17</v>
      </c>
      <c r="J1375">
        <v>2100</v>
      </c>
    </row>
    <row r="1376" spans="1:10" x14ac:dyDescent="0.25">
      <c r="A1376" s="1" t="s">
        <v>1359</v>
      </c>
      <c r="B1376" s="1" t="s">
        <v>14</v>
      </c>
      <c r="C1376" s="1" t="s">
        <v>10</v>
      </c>
      <c r="D1376">
        <v>300</v>
      </c>
      <c r="E1376">
        <v>0.2</v>
      </c>
      <c r="F1376" s="2">
        <v>44883</v>
      </c>
      <c r="G1376" s="2" t="str">
        <f>TEXT(LayoffsData[[#This Row],[date]],"yyyy-mm")</f>
        <v>2022-11</v>
      </c>
      <c r="H1376" s="1" t="s">
        <v>33</v>
      </c>
      <c r="I1376" s="1" t="s">
        <v>17</v>
      </c>
      <c r="J1376">
        <v>2100</v>
      </c>
    </row>
    <row r="1377" spans="1:10" x14ac:dyDescent="0.25">
      <c r="A1377" s="1" t="s">
        <v>1360</v>
      </c>
      <c r="B1377" s="1" t="s">
        <v>14</v>
      </c>
      <c r="C1377" s="1" t="s">
        <v>124</v>
      </c>
      <c r="D1377">
        <v>270</v>
      </c>
      <c r="E1377">
        <v>0.04</v>
      </c>
      <c r="F1377" s="2">
        <v>44782</v>
      </c>
      <c r="G1377" s="2" t="str">
        <f>TEXT(LayoffsData[[#This Row],[date]],"yyyy-mm")</f>
        <v>2022-08</v>
      </c>
      <c r="H1377" s="1" t="s">
        <v>11</v>
      </c>
      <c r="I1377" s="1" t="s">
        <v>17</v>
      </c>
      <c r="J1377">
        <v>1100</v>
      </c>
    </row>
    <row r="1378" spans="1:10" x14ac:dyDescent="0.25">
      <c r="A1378" s="1" t="s">
        <v>1361</v>
      </c>
      <c r="B1378" s="1" t="s">
        <v>32</v>
      </c>
      <c r="C1378" s="1" t="s">
        <v>36</v>
      </c>
      <c r="D1378">
        <v>110</v>
      </c>
      <c r="E1378">
        <v>0.33</v>
      </c>
      <c r="F1378" s="2">
        <v>44826</v>
      </c>
      <c r="G1378" s="2" t="str">
        <f>TEXT(LayoffsData[[#This Row],[date]],"yyyy-mm")</f>
        <v>2022-09</v>
      </c>
      <c r="H1378" s="1" t="s">
        <v>105</v>
      </c>
      <c r="I1378" s="1" t="s">
        <v>17</v>
      </c>
      <c r="J1378">
        <v>1400</v>
      </c>
    </row>
    <row r="1379" spans="1:10" x14ac:dyDescent="0.25">
      <c r="A1379" s="1" t="s">
        <v>1362</v>
      </c>
      <c r="B1379" s="1" t="s">
        <v>14</v>
      </c>
      <c r="C1379" s="1" t="s">
        <v>113</v>
      </c>
      <c r="D1379">
        <v>80</v>
      </c>
      <c r="E1379">
        <v>0.25</v>
      </c>
      <c r="F1379" s="2">
        <v>44775</v>
      </c>
      <c r="G1379" s="2" t="str">
        <f>TEXT(LayoffsData[[#This Row],[date]],"yyyy-mm")</f>
        <v>2022-08</v>
      </c>
      <c r="H1379" s="1" t="s">
        <v>28</v>
      </c>
      <c r="I1379" s="1" t="s">
        <v>17</v>
      </c>
      <c r="J1379">
        <v>175</v>
      </c>
    </row>
    <row r="1380" spans="1:10" x14ac:dyDescent="0.25">
      <c r="A1380" s="1" t="s">
        <v>1363</v>
      </c>
      <c r="B1380" s="1" t="s">
        <v>137</v>
      </c>
      <c r="C1380" s="1" t="s">
        <v>124</v>
      </c>
      <c r="E1380">
        <v>0.33</v>
      </c>
      <c r="F1380" s="2">
        <v>44844</v>
      </c>
      <c r="G1380" s="2" t="str">
        <f>TEXT(LayoffsData[[#This Row],[date]],"yyyy-mm")</f>
        <v>2022-10</v>
      </c>
      <c r="H1380" s="1" t="s">
        <v>37</v>
      </c>
      <c r="I1380" s="1" t="s">
        <v>17</v>
      </c>
      <c r="J1380">
        <v>58</v>
      </c>
    </row>
    <row r="1381" spans="1:10" x14ac:dyDescent="0.25">
      <c r="A1381" s="1" t="s">
        <v>1364</v>
      </c>
      <c r="B1381" s="1" t="s">
        <v>14</v>
      </c>
      <c r="C1381" s="1" t="s">
        <v>63</v>
      </c>
      <c r="D1381">
        <v>75</v>
      </c>
      <c r="E1381">
        <v>0.15</v>
      </c>
      <c r="F1381" s="2">
        <v>43915</v>
      </c>
      <c r="G1381" s="2" t="str">
        <f>TEXT(LayoffsData[[#This Row],[date]],"yyyy-mm")</f>
        <v>2020-03</v>
      </c>
      <c r="H1381" s="1" t="s">
        <v>37</v>
      </c>
      <c r="I1381" s="1" t="s">
        <v>17</v>
      </c>
    </row>
    <row r="1382" spans="1:10" x14ac:dyDescent="0.25">
      <c r="A1382" s="1" t="s">
        <v>1365</v>
      </c>
      <c r="B1382" s="1" t="s">
        <v>1366</v>
      </c>
      <c r="C1382" s="1" t="s">
        <v>51</v>
      </c>
      <c r="F1382" s="2">
        <v>44880</v>
      </c>
      <c r="G1382" s="2" t="str">
        <f>TEXT(LayoffsData[[#This Row],[date]],"yyyy-mm")</f>
        <v>2022-11</v>
      </c>
      <c r="H1382" s="1" t="s">
        <v>11</v>
      </c>
      <c r="I1382" s="1" t="s">
        <v>64</v>
      </c>
      <c r="J1382">
        <v>441</v>
      </c>
    </row>
    <row r="1383" spans="1:10" x14ac:dyDescent="0.25">
      <c r="A1383" s="1" t="s">
        <v>1367</v>
      </c>
      <c r="B1383" s="1" t="s">
        <v>14</v>
      </c>
      <c r="C1383" s="1" t="s">
        <v>53</v>
      </c>
      <c r="F1383" s="2">
        <v>44972</v>
      </c>
      <c r="G1383" s="2" t="str">
        <f>TEXT(LayoffsData[[#This Row],[date]],"yyyy-mm")</f>
        <v>2023-02</v>
      </c>
      <c r="H1383" s="1" t="s">
        <v>28</v>
      </c>
      <c r="I1383" s="1" t="s">
        <v>17</v>
      </c>
      <c r="J1383">
        <v>214</v>
      </c>
    </row>
    <row r="1384" spans="1:10" x14ac:dyDescent="0.25">
      <c r="A1384" s="1" t="s">
        <v>1368</v>
      </c>
      <c r="B1384" s="1" t="s">
        <v>1311</v>
      </c>
      <c r="C1384" s="1" t="s">
        <v>36</v>
      </c>
      <c r="D1384">
        <v>20</v>
      </c>
      <c r="E1384">
        <v>0.48</v>
      </c>
      <c r="F1384" s="2">
        <v>44875</v>
      </c>
      <c r="G1384" s="2" t="str">
        <f>TEXT(LayoffsData[[#This Row],[date]],"yyyy-mm")</f>
        <v>2022-11</v>
      </c>
      <c r="H1384" s="1" t="s">
        <v>21</v>
      </c>
      <c r="I1384" s="1" t="s">
        <v>17</v>
      </c>
      <c r="J1384">
        <v>11</v>
      </c>
    </row>
    <row r="1385" spans="1:10" x14ac:dyDescent="0.25">
      <c r="A1385" s="1" t="s">
        <v>1369</v>
      </c>
      <c r="B1385" s="1" t="s">
        <v>1370</v>
      </c>
      <c r="C1385" s="1" t="s">
        <v>36</v>
      </c>
      <c r="E1385">
        <v>0.4</v>
      </c>
      <c r="F1385" s="2">
        <v>44922</v>
      </c>
      <c r="G1385" s="2" t="str">
        <f>TEXT(LayoffsData[[#This Row],[date]],"yyyy-mm")</f>
        <v>2022-12</v>
      </c>
      <c r="H1385" s="1" t="s">
        <v>21</v>
      </c>
      <c r="I1385" s="1" t="s">
        <v>305</v>
      </c>
      <c r="J1385">
        <v>8</v>
      </c>
    </row>
    <row r="1386" spans="1:10" x14ac:dyDescent="0.25">
      <c r="A1386" s="1" t="s">
        <v>1371</v>
      </c>
      <c r="B1386" s="1" t="s">
        <v>1372</v>
      </c>
      <c r="C1386" s="1" t="s">
        <v>51</v>
      </c>
      <c r="D1386">
        <v>70</v>
      </c>
      <c r="E1386">
        <v>0.06</v>
      </c>
      <c r="F1386" s="2">
        <v>44866</v>
      </c>
      <c r="G1386" s="2" t="str">
        <f>TEXT(LayoffsData[[#This Row],[date]],"yyyy-mm")</f>
        <v>2022-11</v>
      </c>
      <c r="H1386" s="1" t="s">
        <v>37</v>
      </c>
      <c r="I1386" s="1" t="s">
        <v>1373</v>
      </c>
      <c r="J1386">
        <v>479</v>
      </c>
    </row>
    <row r="1387" spans="1:10" x14ac:dyDescent="0.25">
      <c r="A1387" s="1" t="s">
        <v>1371</v>
      </c>
      <c r="B1387" s="1" t="s">
        <v>1372</v>
      </c>
      <c r="C1387" s="1" t="s">
        <v>51</v>
      </c>
      <c r="D1387">
        <v>70</v>
      </c>
      <c r="E1387">
        <v>0.18</v>
      </c>
      <c r="F1387" s="2">
        <v>44866</v>
      </c>
      <c r="G1387" s="2" t="str">
        <f>TEXT(LayoffsData[[#This Row],[date]],"yyyy-mm")</f>
        <v>2022-11</v>
      </c>
      <c r="H1387" s="1" t="s">
        <v>37</v>
      </c>
      <c r="I1387" s="1" t="s">
        <v>1373</v>
      </c>
      <c r="J1387">
        <v>477</v>
      </c>
    </row>
    <row r="1388" spans="1:10" x14ac:dyDescent="0.25">
      <c r="A1388" s="1" t="s">
        <v>1371</v>
      </c>
      <c r="B1388" s="1" t="s">
        <v>1372</v>
      </c>
      <c r="C1388" s="1" t="s">
        <v>51</v>
      </c>
      <c r="D1388">
        <v>70</v>
      </c>
      <c r="E1388">
        <v>0.18</v>
      </c>
      <c r="F1388" s="2">
        <v>44866</v>
      </c>
      <c r="G1388" s="2" t="str">
        <f>TEXT(LayoffsData[[#This Row],[date]],"yyyy-mm")</f>
        <v>2022-11</v>
      </c>
      <c r="H1388" s="1" t="s">
        <v>37</v>
      </c>
      <c r="I1388" s="1" t="s">
        <v>64</v>
      </c>
      <c r="J1388">
        <v>377</v>
      </c>
    </row>
    <row r="1389" spans="1:10" x14ac:dyDescent="0.25">
      <c r="A1389" s="1" t="s">
        <v>1374</v>
      </c>
      <c r="B1389" s="1" t="s">
        <v>238</v>
      </c>
      <c r="C1389" s="1" t="s">
        <v>174</v>
      </c>
      <c r="E1389">
        <v>7.0000000000000007E-2</v>
      </c>
      <c r="F1389" s="2">
        <v>44876</v>
      </c>
      <c r="G1389" s="2" t="str">
        <f>TEXT(LayoffsData[[#This Row],[date]],"yyyy-mm")</f>
        <v>2022-11</v>
      </c>
      <c r="H1389" s="1" t="s">
        <v>11</v>
      </c>
      <c r="I1389" s="1" t="s">
        <v>17</v>
      </c>
      <c r="J1389">
        <v>355</v>
      </c>
    </row>
    <row r="1390" spans="1:10" x14ac:dyDescent="0.25">
      <c r="A1390" s="1" t="s">
        <v>1375</v>
      </c>
      <c r="B1390" s="1" t="s">
        <v>55</v>
      </c>
      <c r="C1390" s="1" t="s">
        <v>29</v>
      </c>
      <c r="E1390">
        <v>0.19</v>
      </c>
      <c r="F1390" s="2">
        <v>44880</v>
      </c>
      <c r="G1390" s="2" t="str">
        <f>TEXT(LayoffsData[[#This Row],[date]],"yyyy-mm")</f>
        <v>2022-11</v>
      </c>
      <c r="H1390" s="1" t="s">
        <v>37</v>
      </c>
      <c r="I1390" s="1" t="s">
        <v>17</v>
      </c>
      <c r="J1390">
        <v>381</v>
      </c>
    </row>
    <row r="1391" spans="1:10" x14ac:dyDescent="0.25">
      <c r="A1391" s="1" t="s">
        <v>1376</v>
      </c>
      <c r="B1391" s="1" t="s">
        <v>241</v>
      </c>
      <c r="C1391" s="1" t="s">
        <v>15</v>
      </c>
      <c r="D1391">
        <v>16</v>
      </c>
      <c r="F1391" s="2">
        <v>44950</v>
      </c>
      <c r="G1391" s="2" t="str">
        <f>TEXT(LayoffsData[[#This Row],[date]],"yyyy-mm")</f>
        <v>2023-01</v>
      </c>
      <c r="H1391" s="1" t="s">
        <v>21</v>
      </c>
      <c r="I1391" s="1" t="s">
        <v>17</v>
      </c>
      <c r="J1391">
        <v>14</v>
      </c>
    </row>
    <row r="1392" spans="1:10" x14ac:dyDescent="0.25">
      <c r="A1392" s="1" t="s">
        <v>1377</v>
      </c>
      <c r="B1392" s="1" t="s">
        <v>14</v>
      </c>
      <c r="C1392" s="1" t="s">
        <v>51</v>
      </c>
      <c r="D1392">
        <v>40</v>
      </c>
      <c r="F1392" s="2">
        <v>43917</v>
      </c>
      <c r="G1392" s="2" t="str">
        <f>TEXT(LayoffsData[[#This Row],[date]],"yyyy-mm")</f>
        <v>2020-03</v>
      </c>
      <c r="H1392" s="1" t="s">
        <v>131</v>
      </c>
      <c r="I1392" s="1" t="s">
        <v>17</v>
      </c>
      <c r="J1392">
        <v>20</v>
      </c>
    </row>
    <row r="1393" spans="1:10" x14ac:dyDescent="0.25">
      <c r="A1393" s="1" t="s">
        <v>1378</v>
      </c>
      <c r="B1393" s="1" t="s">
        <v>370</v>
      </c>
      <c r="C1393" s="1" t="s">
        <v>68</v>
      </c>
      <c r="D1393">
        <v>30</v>
      </c>
      <c r="F1393" s="2">
        <v>44616</v>
      </c>
      <c r="G1393" s="2" t="str">
        <f>TEXT(LayoffsData[[#This Row],[date]],"yyyy-mm")</f>
        <v>2022-02</v>
      </c>
      <c r="H1393" s="1" t="s">
        <v>24</v>
      </c>
      <c r="I1393" s="1" t="s">
        <v>69</v>
      </c>
      <c r="J1393">
        <v>85</v>
      </c>
    </row>
    <row r="1394" spans="1:10" x14ac:dyDescent="0.25">
      <c r="A1394" s="1" t="s">
        <v>1379</v>
      </c>
      <c r="B1394" s="1" t="s">
        <v>14</v>
      </c>
      <c r="C1394" s="1" t="s">
        <v>172</v>
      </c>
      <c r="D1394">
        <v>24</v>
      </c>
      <c r="F1394" s="2">
        <v>44799</v>
      </c>
      <c r="G1394" s="2" t="str">
        <f>TEXT(LayoffsData[[#This Row],[date]],"yyyy-mm")</f>
        <v>2022-08</v>
      </c>
      <c r="H1394" s="1" t="s">
        <v>11</v>
      </c>
      <c r="I1394" s="1" t="s">
        <v>17</v>
      </c>
      <c r="J1394">
        <v>1200</v>
      </c>
    </row>
    <row r="1395" spans="1:10" x14ac:dyDescent="0.25">
      <c r="A1395" s="1" t="s">
        <v>1379</v>
      </c>
      <c r="B1395" s="1" t="s">
        <v>14</v>
      </c>
      <c r="C1395" s="1" t="s">
        <v>172</v>
      </c>
      <c r="D1395">
        <v>300</v>
      </c>
      <c r="E1395">
        <v>0.05</v>
      </c>
      <c r="F1395" s="2">
        <v>44959</v>
      </c>
      <c r="G1395" s="2" t="str">
        <f>TEXT(LayoffsData[[#This Row],[date]],"yyyy-mm")</f>
        <v>2023-02</v>
      </c>
      <c r="H1395" s="1" t="s">
        <v>11</v>
      </c>
      <c r="I1395" s="1" t="s">
        <v>17</v>
      </c>
      <c r="J1395">
        <v>1200</v>
      </c>
    </row>
    <row r="1396" spans="1:10" x14ac:dyDescent="0.25">
      <c r="A1396" s="1" t="s">
        <v>1380</v>
      </c>
      <c r="B1396" s="1" t="s">
        <v>293</v>
      </c>
      <c r="C1396" s="1" t="s">
        <v>10</v>
      </c>
      <c r="D1396">
        <v>200</v>
      </c>
      <c r="F1396" s="2">
        <v>44939</v>
      </c>
      <c r="G1396" s="2" t="str">
        <f>TEXT(LayoffsData[[#This Row],[date]],"yyyy-mm")</f>
        <v>2023-01</v>
      </c>
      <c r="H1396" s="1" t="s">
        <v>1381</v>
      </c>
      <c r="I1396" s="1" t="s">
        <v>69</v>
      </c>
      <c r="J1396">
        <v>5000</v>
      </c>
    </row>
    <row r="1397" spans="1:10" x14ac:dyDescent="0.25">
      <c r="A1397" s="1" t="s">
        <v>1380</v>
      </c>
      <c r="B1397" s="1" t="s">
        <v>293</v>
      </c>
      <c r="C1397" s="1" t="s">
        <v>10</v>
      </c>
      <c r="D1397">
        <v>200</v>
      </c>
      <c r="F1397" s="2">
        <v>44823</v>
      </c>
      <c r="G1397" s="2" t="str">
        <f>TEXT(LayoffsData[[#This Row],[date]],"yyyy-mm")</f>
        <v>2022-09</v>
      </c>
      <c r="H1397" s="1" t="s">
        <v>1381</v>
      </c>
      <c r="I1397" s="1" t="s">
        <v>69</v>
      </c>
      <c r="J1397">
        <v>5000</v>
      </c>
    </row>
    <row r="1398" spans="1:10" x14ac:dyDescent="0.25">
      <c r="A1398" s="1" t="s">
        <v>1380</v>
      </c>
      <c r="B1398" s="1" t="s">
        <v>293</v>
      </c>
      <c r="C1398" s="1" t="s">
        <v>10</v>
      </c>
      <c r="D1398">
        <v>1000</v>
      </c>
      <c r="F1398" s="2">
        <v>44771</v>
      </c>
      <c r="G1398" s="2" t="str">
        <f>TEXT(LayoffsData[[#This Row],[date]],"yyyy-mm")</f>
        <v>2022-07</v>
      </c>
      <c r="H1398" s="1" t="s">
        <v>1381</v>
      </c>
      <c r="I1398" s="1" t="s">
        <v>69</v>
      </c>
      <c r="J1398">
        <v>5000</v>
      </c>
    </row>
    <row r="1399" spans="1:10" x14ac:dyDescent="0.25">
      <c r="A1399" s="1" t="s">
        <v>1380</v>
      </c>
      <c r="B1399" s="1" t="s">
        <v>293</v>
      </c>
      <c r="C1399" s="1" t="s">
        <v>10</v>
      </c>
      <c r="D1399">
        <v>1400</v>
      </c>
      <c r="E1399">
        <v>0.35</v>
      </c>
      <c r="F1399" s="2">
        <v>43971</v>
      </c>
      <c r="G1399" s="2" t="str">
        <f>TEXT(LayoffsData[[#This Row],[date]],"yyyy-mm")</f>
        <v>2020-05</v>
      </c>
      <c r="H1399" s="1" t="s">
        <v>1381</v>
      </c>
      <c r="I1399" s="1" t="s">
        <v>69</v>
      </c>
      <c r="J1399">
        <v>3800</v>
      </c>
    </row>
    <row r="1400" spans="1:10" x14ac:dyDescent="0.25">
      <c r="A1400" s="1" t="s">
        <v>1382</v>
      </c>
      <c r="B1400" s="1" t="s">
        <v>264</v>
      </c>
      <c r="C1400" s="1" t="s">
        <v>29</v>
      </c>
      <c r="F1400" s="2">
        <v>44956</v>
      </c>
      <c r="G1400" s="2" t="str">
        <f>TEXT(LayoffsData[[#This Row],[date]],"yyyy-mm")</f>
        <v>2023-01</v>
      </c>
      <c r="H1400" s="1" t="s">
        <v>16</v>
      </c>
      <c r="I1400" s="1" t="s">
        <v>38</v>
      </c>
      <c r="J1400">
        <v>322</v>
      </c>
    </row>
    <row r="1401" spans="1:10" x14ac:dyDescent="0.25">
      <c r="A1401" s="1" t="s">
        <v>1382</v>
      </c>
      <c r="B1401" s="1" t="s">
        <v>264</v>
      </c>
      <c r="C1401" s="1" t="s">
        <v>29</v>
      </c>
      <c r="F1401" s="2">
        <v>44704</v>
      </c>
      <c r="G1401" s="2" t="str">
        <f>TEXT(LayoffsData[[#This Row],[date]],"yyyy-mm")</f>
        <v>2022-05</v>
      </c>
      <c r="H1401" s="1" t="s">
        <v>16</v>
      </c>
      <c r="I1401" s="1" t="s">
        <v>38</v>
      </c>
      <c r="J1401">
        <v>322</v>
      </c>
    </row>
    <row r="1402" spans="1:10" x14ac:dyDescent="0.25">
      <c r="A1402" s="1" t="s">
        <v>1383</v>
      </c>
      <c r="B1402" s="1" t="s">
        <v>241</v>
      </c>
      <c r="C1402" s="1" t="s">
        <v>15</v>
      </c>
      <c r="D1402">
        <v>450</v>
      </c>
      <c r="E1402">
        <v>0.31</v>
      </c>
      <c r="F1402" s="2">
        <v>44761</v>
      </c>
      <c r="G1402" s="2" t="str">
        <f>TEXT(LayoffsData[[#This Row],[date]],"yyyy-mm")</f>
        <v>2022-07</v>
      </c>
      <c r="H1402" s="1" t="s">
        <v>414</v>
      </c>
      <c r="I1402" s="1" t="s">
        <v>17</v>
      </c>
      <c r="J1402">
        <v>856</v>
      </c>
    </row>
    <row r="1403" spans="1:10" x14ac:dyDescent="0.25">
      <c r="A1403" s="1" t="s">
        <v>1384</v>
      </c>
      <c r="B1403" s="1" t="s">
        <v>241</v>
      </c>
      <c r="C1403" s="1" t="s">
        <v>15</v>
      </c>
      <c r="D1403">
        <v>215</v>
      </c>
      <c r="E1403">
        <v>0.35</v>
      </c>
      <c r="F1403" s="2">
        <v>44966</v>
      </c>
      <c r="G1403" s="2" t="str">
        <f>TEXT(LayoffsData[[#This Row],[date]],"yyyy-mm")</f>
        <v>2023-02</v>
      </c>
      <c r="H1403" s="1" t="s">
        <v>414</v>
      </c>
      <c r="I1403" s="1" t="s">
        <v>17</v>
      </c>
      <c r="J1403">
        <v>856</v>
      </c>
    </row>
    <row r="1404" spans="1:10" x14ac:dyDescent="0.25">
      <c r="A1404" s="1" t="s">
        <v>1385</v>
      </c>
      <c r="B1404" s="1" t="s">
        <v>349</v>
      </c>
      <c r="C1404" s="1" t="s">
        <v>20</v>
      </c>
      <c r="D1404">
        <v>1500</v>
      </c>
      <c r="E1404">
        <v>0.15</v>
      </c>
      <c r="F1404" s="2">
        <v>44956</v>
      </c>
      <c r="G1404" s="2" t="str">
        <f>TEXT(LayoffsData[[#This Row],[date]],"yyyy-mm")</f>
        <v>2023-01</v>
      </c>
      <c r="H1404" s="1" t="s">
        <v>57</v>
      </c>
      <c r="I1404" s="1" t="s">
        <v>350</v>
      </c>
    </row>
    <row r="1405" spans="1:10" x14ac:dyDescent="0.25">
      <c r="A1405" s="1" t="s">
        <v>1386</v>
      </c>
      <c r="B1405" s="1" t="s">
        <v>370</v>
      </c>
      <c r="C1405" s="1" t="s">
        <v>20</v>
      </c>
      <c r="D1405">
        <v>250</v>
      </c>
      <c r="F1405" s="2">
        <v>44114</v>
      </c>
      <c r="G1405" s="2" t="str">
        <f>TEXT(LayoffsData[[#This Row],[date]],"yyyy-mm")</f>
        <v>2020-10</v>
      </c>
      <c r="H1405" s="1" t="s">
        <v>57</v>
      </c>
      <c r="I1405" s="1" t="s">
        <v>69</v>
      </c>
      <c r="J1405">
        <v>28</v>
      </c>
    </row>
    <row r="1406" spans="1:10" x14ac:dyDescent="0.25">
      <c r="A1406" s="1" t="s">
        <v>1387</v>
      </c>
      <c r="B1406" s="1" t="s">
        <v>35</v>
      </c>
      <c r="C1406" s="1" t="s">
        <v>68</v>
      </c>
      <c r="D1406">
        <v>136</v>
      </c>
      <c r="E1406">
        <v>0.31</v>
      </c>
      <c r="F1406" s="2">
        <v>43930</v>
      </c>
      <c r="G1406" s="2" t="str">
        <f>TEXT(LayoffsData[[#This Row],[date]],"yyyy-mm")</f>
        <v>2020-04</v>
      </c>
      <c r="H1406" s="1" t="s">
        <v>24</v>
      </c>
      <c r="I1406" s="1" t="s">
        <v>38</v>
      </c>
      <c r="J1406">
        <v>26</v>
      </c>
    </row>
    <row r="1407" spans="1:10" x14ac:dyDescent="0.25">
      <c r="A1407" s="1" t="s">
        <v>1388</v>
      </c>
      <c r="B1407" s="1" t="s">
        <v>200</v>
      </c>
      <c r="C1407" s="1" t="s">
        <v>147</v>
      </c>
      <c r="F1407" s="2">
        <v>44958</v>
      </c>
      <c r="G1407" s="2" t="str">
        <f>TEXT(LayoffsData[[#This Row],[date]],"yyyy-mm")</f>
        <v>2023-02</v>
      </c>
      <c r="H1407" s="1" t="s">
        <v>24</v>
      </c>
      <c r="I1407" s="1" t="s">
        <v>17</v>
      </c>
      <c r="J1407">
        <v>137</v>
      </c>
    </row>
    <row r="1408" spans="1:10" x14ac:dyDescent="0.25">
      <c r="A1408" s="1" t="s">
        <v>1389</v>
      </c>
      <c r="B1408" s="1" t="s">
        <v>14</v>
      </c>
      <c r="C1408" s="1" t="s">
        <v>41</v>
      </c>
      <c r="D1408">
        <v>72</v>
      </c>
      <c r="E1408">
        <v>0.25</v>
      </c>
      <c r="F1408" s="2">
        <v>44686</v>
      </c>
      <c r="G1408" s="2" t="str">
        <f>TEXT(LayoffsData[[#This Row],[date]],"yyyy-mm")</f>
        <v>2022-05</v>
      </c>
      <c r="H1408" s="1" t="s">
        <v>21</v>
      </c>
      <c r="I1408" s="1" t="s">
        <v>17</v>
      </c>
      <c r="J1408">
        <v>20</v>
      </c>
    </row>
    <row r="1409" spans="1:10" x14ac:dyDescent="0.25">
      <c r="A1409" s="1" t="s">
        <v>1389</v>
      </c>
      <c r="B1409" s="1" t="s">
        <v>14</v>
      </c>
      <c r="C1409" s="1" t="s">
        <v>41</v>
      </c>
      <c r="D1409">
        <v>73</v>
      </c>
      <c r="E1409">
        <v>0.33</v>
      </c>
      <c r="F1409" s="2">
        <v>44777</v>
      </c>
      <c r="G1409" s="2" t="str">
        <f>TEXT(LayoffsData[[#This Row],[date]],"yyyy-mm")</f>
        <v>2022-08</v>
      </c>
      <c r="H1409" s="1" t="s">
        <v>21</v>
      </c>
      <c r="I1409" s="1" t="s">
        <v>17</v>
      </c>
      <c r="J1409">
        <v>20</v>
      </c>
    </row>
    <row r="1410" spans="1:10" x14ac:dyDescent="0.25">
      <c r="A1410" s="1" t="s">
        <v>1390</v>
      </c>
      <c r="B1410" s="1" t="s">
        <v>32</v>
      </c>
      <c r="C1410" s="1" t="s">
        <v>68</v>
      </c>
      <c r="F1410" s="2">
        <v>44020</v>
      </c>
      <c r="G1410" s="2" t="str">
        <f>TEXT(LayoffsData[[#This Row],[date]],"yyyy-mm")</f>
        <v>2020-07</v>
      </c>
      <c r="H1410" s="1" t="s">
        <v>11</v>
      </c>
      <c r="I1410" s="1" t="s">
        <v>17</v>
      </c>
      <c r="J1410">
        <v>1200</v>
      </c>
    </row>
    <row r="1411" spans="1:10" x14ac:dyDescent="0.25">
      <c r="A1411" s="1" t="s">
        <v>1391</v>
      </c>
      <c r="B1411" s="1" t="s">
        <v>79</v>
      </c>
      <c r="C1411" s="1" t="s">
        <v>20</v>
      </c>
      <c r="D1411">
        <v>62</v>
      </c>
      <c r="E1411">
        <v>0.115</v>
      </c>
      <c r="F1411" s="2">
        <v>44904</v>
      </c>
      <c r="G1411" s="2" t="str">
        <f>TEXT(LayoffsData[[#This Row],[date]],"yyyy-mm")</f>
        <v>2022-12</v>
      </c>
      <c r="H1411" s="1" t="s">
        <v>33</v>
      </c>
      <c r="I1411" s="1" t="s">
        <v>80</v>
      </c>
      <c r="J1411">
        <v>442</v>
      </c>
    </row>
    <row r="1412" spans="1:10" x14ac:dyDescent="0.25">
      <c r="A1412" s="1" t="s">
        <v>1391</v>
      </c>
      <c r="B1412" s="1" t="s">
        <v>79</v>
      </c>
      <c r="C1412" s="1" t="s">
        <v>20</v>
      </c>
      <c r="D1412">
        <v>150</v>
      </c>
      <c r="E1412">
        <v>0.32</v>
      </c>
      <c r="F1412" s="2">
        <v>44980</v>
      </c>
      <c r="G1412" s="2" t="str">
        <f>TEXT(LayoffsData[[#This Row],[date]],"yyyy-mm")</f>
        <v>2023-02</v>
      </c>
      <c r="H1412" s="1" t="s">
        <v>33</v>
      </c>
      <c r="I1412" s="1" t="s">
        <v>80</v>
      </c>
      <c r="J1412">
        <v>442</v>
      </c>
    </row>
    <row r="1413" spans="1:10" x14ac:dyDescent="0.25">
      <c r="A1413" s="1" t="s">
        <v>1392</v>
      </c>
      <c r="B1413" s="1" t="s">
        <v>73</v>
      </c>
      <c r="C1413" s="1" t="s">
        <v>15</v>
      </c>
      <c r="E1413">
        <v>0.25</v>
      </c>
      <c r="F1413" s="2">
        <v>44901</v>
      </c>
      <c r="G1413" s="2" t="str">
        <f>TEXT(LayoffsData[[#This Row],[date]],"yyyy-mm")</f>
        <v>2022-12</v>
      </c>
      <c r="H1413" s="1" t="s">
        <v>33</v>
      </c>
      <c r="I1413" s="1" t="s">
        <v>17</v>
      </c>
      <c r="J1413">
        <v>479</v>
      </c>
    </row>
    <row r="1414" spans="1:10" x14ac:dyDescent="0.25">
      <c r="A1414" s="1" t="s">
        <v>1393</v>
      </c>
      <c r="B1414" s="1" t="s">
        <v>213</v>
      </c>
      <c r="C1414" s="1" t="s">
        <v>598</v>
      </c>
      <c r="D1414">
        <v>150</v>
      </c>
      <c r="E1414">
        <v>0.1</v>
      </c>
      <c r="F1414" s="2">
        <v>43930</v>
      </c>
      <c r="G1414" s="2" t="str">
        <f>TEXT(LayoffsData[[#This Row],[date]],"yyyy-mm")</f>
        <v>2020-04</v>
      </c>
      <c r="H1414" s="1" t="s">
        <v>24</v>
      </c>
      <c r="I1414" s="1" t="s">
        <v>17</v>
      </c>
      <c r="J1414">
        <v>410</v>
      </c>
    </row>
    <row r="1415" spans="1:10" x14ac:dyDescent="0.25">
      <c r="A1415" s="1" t="s">
        <v>1393</v>
      </c>
      <c r="B1415" s="1" t="s">
        <v>213</v>
      </c>
      <c r="C1415" s="1" t="s">
        <v>172</v>
      </c>
      <c r="D1415">
        <v>950</v>
      </c>
      <c r="E1415">
        <v>0.25</v>
      </c>
      <c r="F1415" s="2">
        <v>44721</v>
      </c>
      <c r="G1415" s="2" t="str">
        <f>TEXT(LayoffsData[[#This Row],[date]],"yyyy-mm")</f>
        <v>2022-06</v>
      </c>
      <c r="H1415" s="1" t="s">
        <v>28</v>
      </c>
      <c r="I1415" s="1" t="s">
        <v>17</v>
      </c>
      <c r="J1415">
        <v>926</v>
      </c>
    </row>
    <row r="1416" spans="1:10" x14ac:dyDescent="0.25">
      <c r="A1416" s="1" t="s">
        <v>1394</v>
      </c>
      <c r="B1416" s="1" t="s">
        <v>200</v>
      </c>
      <c r="C1416" s="1" t="s">
        <v>111</v>
      </c>
      <c r="D1416">
        <v>451</v>
      </c>
      <c r="E1416">
        <v>0.85</v>
      </c>
      <c r="F1416" s="2">
        <v>43917</v>
      </c>
      <c r="G1416" s="2" t="str">
        <f>TEXT(LayoffsData[[#This Row],[date]],"yyyy-mm")</f>
        <v>2020-03</v>
      </c>
      <c r="H1416" s="1" t="s">
        <v>37</v>
      </c>
      <c r="I1416" s="1" t="s">
        <v>201</v>
      </c>
      <c r="J1416">
        <v>3000</v>
      </c>
    </row>
    <row r="1417" spans="1:10" x14ac:dyDescent="0.25">
      <c r="A1417" s="1" t="s">
        <v>1395</v>
      </c>
      <c r="B1417" s="1" t="s">
        <v>200</v>
      </c>
      <c r="C1417" s="1" t="s">
        <v>63</v>
      </c>
      <c r="F1417" s="2">
        <v>44774</v>
      </c>
      <c r="G1417" s="2" t="str">
        <f>TEXT(LayoffsData[[#This Row],[date]],"yyyy-mm")</f>
        <v>2022-08</v>
      </c>
      <c r="H1417" s="1" t="s">
        <v>37</v>
      </c>
      <c r="I1417" s="1" t="s">
        <v>201</v>
      </c>
    </row>
    <row r="1418" spans="1:10" x14ac:dyDescent="0.25">
      <c r="A1418" s="1" t="s">
        <v>1396</v>
      </c>
      <c r="B1418" s="1" t="s">
        <v>71</v>
      </c>
      <c r="C1418" s="1" t="s">
        <v>20</v>
      </c>
      <c r="D1418">
        <v>20</v>
      </c>
      <c r="F1418" s="2">
        <v>43917</v>
      </c>
      <c r="G1418" s="2" t="str">
        <f>TEXT(LayoffsData[[#This Row],[date]],"yyyy-mm")</f>
        <v>2020-03</v>
      </c>
      <c r="H1418" s="1" t="s">
        <v>24</v>
      </c>
      <c r="I1418" s="1" t="s">
        <v>17</v>
      </c>
      <c r="J1418">
        <v>25</v>
      </c>
    </row>
    <row r="1419" spans="1:10" x14ac:dyDescent="0.25">
      <c r="A1419" s="1" t="s">
        <v>1397</v>
      </c>
      <c r="B1419" s="1" t="s">
        <v>343</v>
      </c>
      <c r="C1419" s="1" t="s">
        <v>68</v>
      </c>
      <c r="E1419">
        <v>0.7</v>
      </c>
      <c r="F1419" s="2">
        <v>43957</v>
      </c>
      <c r="G1419" s="2" t="str">
        <f>TEXT(LayoffsData[[#This Row],[date]],"yyyy-mm")</f>
        <v>2020-05</v>
      </c>
      <c r="H1419" s="1" t="s">
        <v>24</v>
      </c>
      <c r="I1419" s="1" t="s">
        <v>140</v>
      </c>
      <c r="J1419">
        <v>170</v>
      </c>
    </row>
    <row r="1420" spans="1:10" x14ac:dyDescent="0.25">
      <c r="A1420" s="1" t="s">
        <v>1398</v>
      </c>
      <c r="B1420" s="1" t="s">
        <v>35</v>
      </c>
      <c r="C1420" s="1" t="s">
        <v>68</v>
      </c>
      <c r="F1420" s="2">
        <v>44967</v>
      </c>
      <c r="G1420" s="2" t="str">
        <f>TEXT(LayoffsData[[#This Row],[date]],"yyyy-mm")</f>
        <v>2023-02</v>
      </c>
      <c r="H1420" s="1" t="s">
        <v>33</v>
      </c>
      <c r="I1420" s="1" t="s">
        <v>38</v>
      </c>
      <c r="J1420">
        <v>140</v>
      </c>
    </row>
    <row r="1421" spans="1:10" x14ac:dyDescent="0.25">
      <c r="A1421" s="1" t="s">
        <v>1399</v>
      </c>
      <c r="B1421" s="1" t="s">
        <v>9</v>
      </c>
      <c r="C1421" s="1" t="s">
        <v>15</v>
      </c>
      <c r="D1421">
        <v>18</v>
      </c>
      <c r="E1421">
        <v>0.25</v>
      </c>
      <c r="F1421" s="2">
        <v>43924</v>
      </c>
      <c r="G1421" s="2" t="str">
        <f>TEXT(LayoffsData[[#This Row],[date]],"yyyy-mm")</f>
        <v>2020-04</v>
      </c>
      <c r="H1421" s="1" t="s">
        <v>21</v>
      </c>
      <c r="I1421" s="1" t="s">
        <v>12</v>
      </c>
      <c r="J1421">
        <v>24</v>
      </c>
    </row>
    <row r="1422" spans="1:10" x14ac:dyDescent="0.25">
      <c r="A1422" s="1" t="s">
        <v>1400</v>
      </c>
      <c r="B1422" s="1" t="s">
        <v>14</v>
      </c>
      <c r="C1422" s="1" t="s">
        <v>174</v>
      </c>
      <c r="D1422">
        <v>550</v>
      </c>
      <c r="E1422">
        <v>0.18</v>
      </c>
      <c r="F1422" s="2">
        <v>44867</v>
      </c>
      <c r="G1422" s="2" t="str">
        <f>TEXT(LayoffsData[[#This Row],[date]],"yyyy-mm")</f>
        <v>2022-11</v>
      </c>
      <c r="H1422" s="1" t="s">
        <v>11</v>
      </c>
      <c r="I1422" s="1" t="s">
        <v>17</v>
      </c>
      <c r="J1422">
        <v>1900</v>
      </c>
    </row>
    <row r="1423" spans="1:10" x14ac:dyDescent="0.25">
      <c r="A1423" s="1" t="s">
        <v>1400</v>
      </c>
      <c r="B1423" s="1" t="s">
        <v>14</v>
      </c>
      <c r="C1423" s="1" t="s">
        <v>174</v>
      </c>
      <c r="D1423">
        <v>600</v>
      </c>
      <c r="E1423">
        <v>0.35</v>
      </c>
      <c r="F1423" s="2">
        <v>43936</v>
      </c>
      <c r="G1423" s="2" t="str">
        <f>TEXT(LayoffsData[[#This Row],[date]],"yyyy-mm")</f>
        <v>2020-04</v>
      </c>
      <c r="H1423" s="1" t="s">
        <v>16</v>
      </c>
      <c r="I1423" s="1" t="s">
        <v>17</v>
      </c>
      <c r="J1423">
        <v>1500</v>
      </c>
    </row>
    <row r="1424" spans="1:10" x14ac:dyDescent="0.25">
      <c r="A1424" s="1" t="s">
        <v>1401</v>
      </c>
      <c r="B1424" s="1" t="s">
        <v>259</v>
      </c>
      <c r="C1424" s="1" t="s">
        <v>68</v>
      </c>
      <c r="D1424">
        <v>83</v>
      </c>
      <c r="E1424">
        <v>1</v>
      </c>
      <c r="F1424" s="2">
        <v>44964</v>
      </c>
      <c r="G1424" s="2" t="str">
        <f>TEXT(LayoffsData[[#This Row],[date]],"yyyy-mm")</f>
        <v>2023-02</v>
      </c>
      <c r="H1424" s="1" t="s">
        <v>11</v>
      </c>
      <c r="I1424" s="1" t="s">
        <v>46</v>
      </c>
      <c r="J1424">
        <v>299</v>
      </c>
    </row>
    <row r="1425" spans="1:10" x14ac:dyDescent="0.25">
      <c r="A1425" s="1" t="s">
        <v>1402</v>
      </c>
      <c r="B1425" s="1" t="s">
        <v>32</v>
      </c>
      <c r="C1425" s="1" t="s">
        <v>36</v>
      </c>
      <c r="E1425">
        <v>0.2</v>
      </c>
      <c r="F1425" s="2">
        <v>44756</v>
      </c>
      <c r="G1425" s="2" t="str">
        <f>TEXT(LayoffsData[[#This Row],[date]],"yyyy-mm")</f>
        <v>2022-07</v>
      </c>
      <c r="H1425" s="1" t="s">
        <v>28</v>
      </c>
      <c r="I1425" s="1" t="s">
        <v>17</v>
      </c>
      <c r="J1425">
        <v>427</v>
      </c>
    </row>
    <row r="1426" spans="1:10" x14ac:dyDescent="0.25">
      <c r="A1426" s="1" t="s">
        <v>1403</v>
      </c>
      <c r="B1426" s="1" t="s">
        <v>186</v>
      </c>
      <c r="C1426" s="1" t="s">
        <v>74</v>
      </c>
      <c r="E1426">
        <v>0.08</v>
      </c>
      <c r="F1426" s="2">
        <v>44957</v>
      </c>
      <c r="G1426" s="2" t="str">
        <f>TEXT(LayoffsData[[#This Row],[date]],"yyyy-mm")</f>
        <v>2023-01</v>
      </c>
      <c r="H1426" s="1" t="s">
        <v>11</v>
      </c>
      <c r="I1426" s="1" t="s">
        <v>12</v>
      </c>
      <c r="J1426">
        <v>1100</v>
      </c>
    </row>
    <row r="1427" spans="1:10" x14ac:dyDescent="0.25">
      <c r="A1427" s="1" t="s">
        <v>1404</v>
      </c>
      <c r="B1427" s="1" t="s">
        <v>168</v>
      </c>
      <c r="C1427" s="1" t="s">
        <v>63</v>
      </c>
      <c r="D1427">
        <v>14</v>
      </c>
      <c r="E1427">
        <v>0.05</v>
      </c>
      <c r="F1427" s="2">
        <v>44727</v>
      </c>
      <c r="G1427" s="2" t="str">
        <f>TEXT(LayoffsData[[#This Row],[date]],"yyyy-mm")</f>
        <v>2022-06</v>
      </c>
      <c r="H1427" s="1" t="s">
        <v>16</v>
      </c>
      <c r="I1427" s="1" t="s">
        <v>170</v>
      </c>
      <c r="J1427">
        <v>223</v>
      </c>
    </row>
    <row r="1428" spans="1:10" x14ac:dyDescent="0.25">
      <c r="A1428" s="1" t="s">
        <v>1405</v>
      </c>
      <c r="B1428" s="1" t="s">
        <v>26</v>
      </c>
      <c r="C1428" s="1" t="s">
        <v>20</v>
      </c>
      <c r="D1428">
        <v>35</v>
      </c>
      <c r="E1428">
        <v>0.15</v>
      </c>
      <c r="F1428" s="2">
        <v>43949</v>
      </c>
      <c r="G1428" s="2" t="str">
        <f>TEXT(LayoffsData[[#This Row],[date]],"yyyy-mm")</f>
        <v>2020-04</v>
      </c>
      <c r="H1428" s="1" t="s">
        <v>37</v>
      </c>
      <c r="I1428" s="1" t="s">
        <v>17</v>
      </c>
      <c r="J1428">
        <v>70</v>
      </c>
    </row>
    <row r="1429" spans="1:10" x14ac:dyDescent="0.25">
      <c r="A1429" s="1" t="s">
        <v>1406</v>
      </c>
      <c r="B1429" s="1" t="s">
        <v>14</v>
      </c>
      <c r="C1429" s="1" t="s">
        <v>68</v>
      </c>
      <c r="D1429">
        <v>155</v>
      </c>
      <c r="E1429">
        <v>0.1</v>
      </c>
      <c r="F1429" s="2">
        <v>44966</v>
      </c>
      <c r="G1429" s="2" t="str">
        <f>TEXT(LayoffsData[[#This Row],[date]],"yyyy-mm")</f>
        <v>2023-02</v>
      </c>
      <c r="H1429" s="1" t="s">
        <v>11</v>
      </c>
      <c r="I1429" s="1" t="s">
        <v>17</v>
      </c>
      <c r="J1429">
        <v>566</v>
      </c>
    </row>
    <row r="1430" spans="1:10" x14ac:dyDescent="0.25">
      <c r="A1430" s="1" t="s">
        <v>1407</v>
      </c>
      <c r="B1430" s="1" t="s">
        <v>14</v>
      </c>
      <c r="C1430" s="1" t="s">
        <v>20</v>
      </c>
      <c r="D1430">
        <v>60</v>
      </c>
      <c r="E1430">
        <v>0.15</v>
      </c>
      <c r="F1430" s="2">
        <v>44027</v>
      </c>
      <c r="G1430" s="2" t="str">
        <f>TEXT(LayoffsData[[#This Row],[date]],"yyyy-mm")</f>
        <v>2020-07</v>
      </c>
      <c r="H1430" s="1" t="s">
        <v>33</v>
      </c>
      <c r="I1430" s="1" t="s">
        <v>17</v>
      </c>
      <c r="J1430">
        <v>251</v>
      </c>
    </row>
    <row r="1431" spans="1:10" x14ac:dyDescent="0.25">
      <c r="A1431" s="1" t="s">
        <v>1408</v>
      </c>
      <c r="B1431" s="1" t="s">
        <v>14</v>
      </c>
      <c r="C1431" s="1" t="s">
        <v>149</v>
      </c>
      <c r="F1431" s="2">
        <v>44943</v>
      </c>
      <c r="G1431" s="2" t="str">
        <f>TEXT(LayoffsData[[#This Row],[date]],"yyyy-mm")</f>
        <v>2023-01</v>
      </c>
      <c r="H1431" s="1" t="s">
        <v>11</v>
      </c>
      <c r="I1431" s="1" t="s">
        <v>17</v>
      </c>
    </row>
    <row r="1432" spans="1:10" x14ac:dyDescent="0.25">
      <c r="A1432" s="1" t="s">
        <v>1408</v>
      </c>
      <c r="B1432" s="1" t="s">
        <v>14</v>
      </c>
      <c r="C1432" s="1" t="s">
        <v>149</v>
      </c>
      <c r="F1432" s="2">
        <v>44774</v>
      </c>
      <c r="G1432" s="2" t="str">
        <f>TEXT(LayoffsData[[#This Row],[date]],"yyyy-mm")</f>
        <v>2022-08</v>
      </c>
      <c r="H1432" s="1" t="s">
        <v>11</v>
      </c>
      <c r="I1432" s="1" t="s">
        <v>17</v>
      </c>
    </row>
    <row r="1433" spans="1:10" x14ac:dyDescent="0.25">
      <c r="A1433" s="1" t="s">
        <v>1408</v>
      </c>
      <c r="B1433" s="1" t="s">
        <v>14</v>
      </c>
      <c r="C1433" s="1" t="s">
        <v>149</v>
      </c>
      <c r="D1433">
        <v>200</v>
      </c>
      <c r="F1433" s="2">
        <v>44866</v>
      </c>
      <c r="G1433" s="2" t="str">
        <f>TEXT(LayoffsData[[#This Row],[date]],"yyyy-mm")</f>
        <v>2022-11</v>
      </c>
      <c r="H1433" s="1" t="s">
        <v>11</v>
      </c>
      <c r="I1433" s="1" t="s">
        <v>17</v>
      </c>
    </row>
    <row r="1434" spans="1:10" x14ac:dyDescent="0.25">
      <c r="A1434" s="1" t="s">
        <v>1409</v>
      </c>
      <c r="B1434" s="1" t="s">
        <v>14</v>
      </c>
      <c r="C1434" s="1" t="s">
        <v>149</v>
      </c>
      <c r="F1434" s="2">
        <v>44785</v>
      </c>
      <c r="G1434" s="2" t="str">
        <f>TEXT(LayoffsData[[#This Row],[date]],"yyyy-mm")</f>
        <v>2022-08</v>
      </c>
      <c r="H1434" s="1" t="s">
        <v>21</v>
      </c>
      <c r="I1434" s="1" t="s">
        <v>17</v>
      </c>
      <c r="J1434">
        <v>20</v>
      </c>
    </row>
    <row r="1435" spans="1:10" x14ac:dyDescent="0.25">
      <c r="A1435" s="1" t="s">
        <v>1410</v>
      </c>
      <c r="B1435" s="1" t="s">
        <v>1168</v>
      </c>
      <c r="C1435" s="1" t="s">
        <v>15</v>
      </c>
      <c r="D1435">
        <v>62</v>
      </c>
      <c r="E1435">
        <v>0.16</v>
      </c>
      <c r="F1435" s="2">
        <v>44857</v>
      </c>
      <c r="G1435" s="2" t="str">
        <f>TEXT(LayoffsData[[#This Row],[date]],"yyyy-mm")</f>
        <v>2022-10</v>
      </c>
      <c r="H1435" s="1" t="s">
        <v>37</v>
      </c>
      <c r="I1435" s="1" t="s">
        <v>170</v>
      </c>
      <c r="J1435">
        <v>86</v>
      </c>
    </row>
    <row r="1436" spans="1:10" x14ac:dyDescent="0.25">
      <c r="A1436" s="1" t="s">
        <v>1411</v>
      </c>
      <c r="B1436" s="1" t="s">
        <v>32</v>
      </c>
      <c r="C1436" s="1" t="s">
        <v>174</v>
      </c>
      <c r="E1436">
        <v>0.1</v>
      </c>
      <c r="F1436" s="2">
        <v>44735</v>
      </c>
      <c r="G1436" s="2" t="str">
        <f>TEXT(LayoffsData[[#This Row],[date]],"yyyy-mm")</f>
        <v>2022-06</v>
      </c>
      <c r="H1436" s="1" t="s">
        <v>33</v>
      </c>
      <c r="I1436" s="1" t="s">
        <v>17</v>
      </c>
      <c r="J1436">
        <v>472</v>
      </c>
    </row>
    <row r="1437" spans="1:10" x14ac:dyDescent="0.25">
      <c r="A1437" s="1" t="s">
        <v>1411</v>
      </c>
      <c r="B1437" s="1" t="s">
        <v>32</v>
      </c>
      <c r="C1437" s="1" t="s">
        <v>174</v>
      </c>
      <c r="D1437">
        <v>180</v>
      </c>
      <c r="F1437" s="2">
        <v>44882</v>
      </c>
      <c r="G1437" s="2" t="str">
        <f>TEXT(LayoffsData[[#This Row],[date]],"yyyy-mm")</f>
        <v>2022-11</v>
      </c>
      <c r="H1437" s="1" t="s">
        <v>33</v>
      </c>
      <c r="I1437" s="1" t="s">
        <v>17</v>
      </c>
      <c r="J1437">
        <v>472</v>
      </c>
    </row>
    <row r="1438" spans="1:10" x14ac:dyDescent="0.25">
      <c r="A1438" s="1" t="s">
        <v>1412</v>
      </c>
      <c r="B1438" s="1" t="s">
        <v>153</v>
      </c>
      <c r="C1438" s="1" t="s">
        <v>68</v>
      </c>
      <c r="D1438">
        <v>400</v>
      </c>
      <c r="E1438">
        <v>0.2</v>
      </c>
      <c r="F1438" s="2">
        <v>43955</v>
      </c>
      <c r="G1438" s="2" t="str">
        <f>TEXT(LayoffsData[[#This Row],[date]],"yyyy-mm")</f>
        <v>2020-05</v>
      </c>
      <c r="H1438" s="1" t="s">
        <v>24</v>
      </c>
      <c r="I1438" s="1" t="s">
        <v>153</v>
      </c>
      <c r="J1438">
        <v>175</v>
      </c>
    </row>
    <row r="1439" spans="1:10" x14ac:dyDescent="0.25">
      <c r="A1439" s="1" t="s">
        <v>1413</v>
      </c>
      <c r="B1439" s="1" t="s">
        <v>32</v>
      </c>
      <c r="C1439" s="1" t="s">
        <v>15</v>
      </c>
      <c r="D1439">
        <v>70</v>
      </c>
      <c r="E1439">
        <v>0.05</v>
      </c>
      <c r="F1439" s="2">
        <v>43944</v>
      </c>
      <c r="G1439" s="2" t="str">
        <f>TEXT(LayoffsData[[#This Row],[date]],"yyyy-mm")</f>
        <v>2020-04</v>
      </c>
      <c r="H1439" s="1" t="s">
        <v>37</v>
      </c>
      <c r="I1439" s="1" t="s">
        <v>17</v>
      </c>
      <c r="J1439">
        <v>1300</v>
      </c>
    </row>
    <row r="1440" spans="1:10" x14ac:dyDescent="0.25">
      <c r="A1440" s="1" t="s">
        <v>1414</v>
      </c>
      <c r="B1440" s="1" t="s">
        <v>168</v>
      </c>
      <c r="C1440" s="1" t="s">
        <v>10</v>
      </c>
      <c r="F1440" s="2">
        <v>44801</v>
      </c>
      <c r="G1440" s="2" t="str">
        <f>TEXT(LayoffsData[[#This Row],[date]],"yyyy-mm")</f>
        <v>2022-08</v>
      </c>
      <c r="H1440" s="1" t="s">
        <v>11</v>
      </c>
      <c r="I1440" s="1" t="s">
        <v>170</v>
      </c>
      <c r="J1440">
        <v>231</v>
      </c>
    </row>
    <row r="1441" spans="1:10" x14ac:dyDescent="0.25">
      <c r="A1441" s="1" t="s">
        <v>1414</v>
      </c>
      <c r="B1441" s="1" t="s">
        <v>168</v>
      </c>
      <c r="C1441" s="1" t="s">
        <v>10</v>
      </c>
      <c r="D1441">
        <v>80</v>
      </c>
      <c r="E1441">
        <v>0.5</v>
      </c>
      <c r="F1441" s="2">
        <v>44903</v>
      </c>
      <c r="G1441" s="2" t="str">
        <f>TEXT(LayoffsData[[#This Row],[date]],"yyyy-mm")</f>
        <v>2022-12</v>
      </c>
      <c r="H1441" s="1" t="s">
        <v>11</v>
      </c>
      <c r="I1441" s="1" t="s">
        <v>170</v>
      </c>
      <c r="J1441">
        <v>231</v>
      </c>
    </row>
    <row r="1442" spans="1:10" x14ac:dyDescent="0.25">
      <c r="A1442" s="1" t="s">
        <v>1415</v>
      </c>
      <c r="B1442" s="1" t="s">
        <v>14</v>
      </c>
      <c r="C1442" s="1" t="s">
        <v>10</v>
      </c>
      <c r="E1442">
        <v>0.1</v>
      </c>
      <c r="F1442" s="2">
        <v>44824</v>
      </c>
      <c r="G1442" s="2" t="str">
        <f>TEXT(LayoffsData[[#This Row],[date]],"yyyy-mm")</f>
        <v>2022-09</v>
      </c>
      <c r="H1442" s="1" t="s">
        <v>11</v>
      </c>
      <c r="I1442" s="1" t="s">
        <v>17</v>
      </c>
      <c r="J1442">
        <v>282</v>
      </c>
    </row>
    <row r="1443" spans="1:10" x14ac:dyDescent="0.25">
      <c r="A1443" s="1" t="s">
        <v>1415</v>
      </c>
      <c r="B1443" s="1" t="s">
        <v>14</v>
      </c>
      <c r="C1443" s="1" t="s">
        <v>10</v>
      </c>
      <c r="E1443">
        <v>0.1</v>
      </c>
      <c r="F1443" s="2">
        <v>44082</v>
      </c>
      <c r="G1443" s="2" t="str">
        <f>TEXT(LayoffsData[[#This Row],[date]],"yyyy-mm")</f>
        <v>2020-09</v>
      </c>
      <c r="H1443" s="1" t="s">
        <v>24</v>
      </c>
      <c r="I1443" s="1" t="s">
        <v>17</v>
      </c>
      <c r="J1443">
        <v>132</v>
      </c>
    </row>
    <row r="1444" spans="1:10" x14ac:dyDescent="0.25">
      <c r="A1444" s="1" t="s">
        <v>1416</v>
      </c>
      <c r="B1444" s="1" t="s">
        <v>137</v>
      </c>
      <c r="C1444" s="1" t="s">
        <v>20</v>
      </c>
      <c r="D1444">
        <v>52</v>
      </c>
      <c r="E1444">
        <v>0.28000000000000003</v>
      </c>
      <c r="F1444" s="2">
        <v>43915</v>
      </c>
      <c r="G1444" s="2" t="str">
        <f>TEXT(LayoffsData[[#This Row],[date]],"yyyy-mm")</f>
        <v>2020-03</v>
      </c>
      <c r="H1444" s="1" t="s">
        <v>28</v>
      </c>
      <c r="I1444" s="1" t="s">
        <v>17</v>
      </c>
      <c r="J1444">
        <v>48</v>
      </c>
    </row>
    <row r="1445" spans="1:10" x14ac:dyDescent="0.25">
      <c r="A1445" s="1" t="s">
        <v>1417</v>
      </c>
      <c r="B1445" s="1" t="s">
        <v>32</v>
      </c>
      <c r="C1445" s="1" t="s">
        <v>20</v>
      </c>
      <c r="D1445">
        <v>38</v>
      </c>
      <c r="E1445">
        <v>0.03</v>
      </c>
      <c r="F1445" s="2">
        <v>44768</v>
      </c>
      <c r="G1445" s="2" t="str">
        <f>TEXT(LayoffsData[[#This Row],[date]],"yyyy-mm")</f>
        <v>2022-07</v>
      </c>
      <c r="H1445" s="1" t="s">
        <v>11</v>
      </c>
      <c r="I1445" s="1" t="s">
        <v>17</v>
      </c>
      <c r="J1445">
        <v>394</v>
      </c>
    </row>
    <row r="1446" spans="1:10" x14ac:dyDescent="0.25">
      <c r="A1446" s="1" t="s">
        <v>1418</v>
      </c>
      <c r="B1446" s="1" t="s">
        <v>14</v>
      </c>
      <c r="C1446" s="1" t="s">
        <v>10</v>
      </c>
      <c r="F1446" s="2">
        <v>43986</v>
      </c>
      <c r="G1446" s="2" t="str">
        <f>TEXT(LayoffsData[[#This Row],[date]],"yyyy-mm")</f>
        <v>2020-06</v>
      </c>
      <c r="H1446" s="1" t="s">
        <v>28</v>
      </c>
      <c r="I1446" s="1" t="s">
        <v>17</v>
      </c>
      <c r="J1446">
        <v>75</v>
      </c>
    </row>
    <row r="1447" spans="1:10" x14ac:dyDescent="0.25">
      <c r="A1447" s="1" t="s">
        <v>1419</v>
      </c>
      <c r="B1447" s="1" t="s">
        <v>55</v>
      </c>
      <c r="C1447" s="1" t="s">
        <v>48</v>
      </c>
      <c r="D1447">
        <v>60</v>
      </c>
      <c r="E1447">
        <v>0.05</v>
      </c>
      <c r="F1447" s="2">
        <v>44775</v>
      </c>
      <c r="G1447" s="2" t="str">
        <f>TEXT(LayoffsData[[#This Row],[date]],"yyyy-mm")</f>
        <v>2022-08</v>
      </c>
      <c r="H1447" s="1" t="s">
        <v>450</v>
      </c>
      <c r="I1447" s="1" t="s">
        <v>17</v>
      </c>
      <c r="J1447">
        <v>489</v>
      </c>
    </row>
    <row r="1448" spans="1:10" x14ac:dyDescent="0.25">
      <c r="A1448" s="1" t="s">
        <v>1419</v>
      </c>
      <c r="B1448" s="1" t="s">
        <v>55</v>
      </c>
      <c r="C1448" s="1" t="s">
        <v>48</v>
      </c>
      <c r="D1448">
        <v>70</v>
      </c>
      <c r="E1448">
        <v>7.0000000000000007E-2</v>
      </c>
      <c r="F1448" s="2">
        <v>44984</v>
      </c>
      <c r="G1448" s="2" t="str">
        <f>TEXT(LayoffsData[[#This Row],[date]],"yyyy-mm")</f>
        <v>2023-02</v>
      </c>
      <c r="H1448" s="1" t="s">
        <v>450</v>
      </c>
      <c r="I1448" s="1" t="s">
        <v>17</v>
      </c>
      <c r="J1448">
        <v>489</v>
      </c>
    </row>
    <row r="1449" spans="1:10" x14ac:dyDescent="0.25">
      <c r="A1449" s="1" t="s">
        <v>1420</v>
      </c>
      <c r="B1449" s="1" t="s">
        <v>14</v>
      </c>
      <c r="C1449" s="1" t="s">
        <v>41</v>
      </c>
      <c r="D1449">
        <v>31</v>
      </c>
      <c r="E1449">
        <v>0.18</v>
      </c>
      <c r="F1449" s="2">
        <v>44747</v>
      </c>
      <c r="G1449" s="2" t="str">
        <f>TEXT(LayoffsData[[#This Row],[date]],"yyyy-mm")</f>
        <v>2022-07</v>
      </c>
      <c r="H1449" s="1" t="s">
        <v>33</v>
      </c>
      <c r="I1449" s="1" t="s">
        <v>17</v>
      </c>
      <c r="J1449">
        <v>240</v>
      </c>
    </row>
    <row r="1450" spans="1:10" x14ac:dyDescent="0.25">
      <c r="A1450" s="1" t="s">
        <v>1420</v>
      </c>
      <c r="B1450" s="1" t="s">
        <v>14</v>
      </c>
      <c r="C1450" s="1" t="s">
        <v>41</v>
      </c>
      <c r="D1450">
        <v>43</v>
      </c>
      <c r="E1450">
        <v>0.25</v>
      </c>
      <c r="F1450" s="2">
        <v>44905</v>
      </c>
      <c r="G1450" s="2" t="str">
        <f>TEXT(LayoffsData[[#This Row],[date]],"yyyy-mm")</f>
        <v>2022-12</v>
      </c>
      <c r="H1450" s="1" t="s">
        <v>33</v>
      </c>
      <c r="I1450" s="1" t="s">
        <v>17</v>
      </c>
      <c r="J1450">
        <v>240</v>
      </c>
    </row>
    <row r="1451" spans="1:10" x14ac:dyDescent="0.25">
      <c r="A1451" s="1" t="s">
        <v>1421</v>
      </c>
      <c r="B1451" s="1" t="s">
        <v>232</v>
      </c>
      <c r="C1451" s="1" t="s">
        <v>63</v>
      </c>
      <c r="E1451">
        <v>0.12</v>
      </c>
      <c r="F1451" s="2">
        <v>44880</v>
      </c>
      <c r="G1451" s="2" t="str">
        <f>TEXT(LayoffsData[[#This Row],[date]],"yyyy-mm")</f>
        <v>2022-11</v>
      </c>
      <c r="H1451" s="1" t="s">
        <v>24</v>
      </c>
      <c r="I1451" s="1" t="s">
        <v>17</v>
      </c>
      <c r="J1451">
        <v>174</v>
      </c>
    </row>
    <row r="1452" spans="1:10" x14ac:dyDescent="0.25">
      <c r="A1452" s="1" t="s">
        <v>1421</v>
      </c>
      <c r="B1452" s="1" t="s">
        <v>232</v>
      </c>
      <c r="C1452" s="1" t="s">
        <v>63</v>
      </c>
      <c r="D1452">
        <v>87</v>
      </c>
      <c r="E1452">
        <v>0.15</v>
      </c>
      <c r="F1452" s="2">
        <v>44701</v>
      </c>
      <c r="G1452" s="2" t="str">
        <f>TEXT(LayoffsData[[#This Row],[date]],"yyyy-mm")</f>
        <v>2022-05</v>
      </c>
      <c r="H1452" s="1" t="s">
        <v>24</v>
      </c>
      <c r="I1452" s="1" t="s">
        <v>17</v>
      </c>
      <c r="J1452">
        <v>174</v>
      </c>
    </row>
    <row r="1453" spans="1:10" x14ac:dyDescent="0.25">
      <c r="A1453" s="1" t="s">
        <v>1422</v>
      </c>
      <c r="B1453" s="1" t="s">
        <v>32</v>
      </c>
      <c r="C1453" s="1" t="s">
        <v>63</v>
      </c>
      <c r="D1453">
        <v>30</v>
      </c>
      <c r="E1453">
        <v>0.23</v>
      </c>
      <c r="F1453" s="2">
        <v>43915</v>
      </c>
      <c r="G1453" s="2" t="str">
        <f>TEXT(LayoffsData[[#This Row],[date]],"yyyy-mm")</f>
        <v>2020-03</v>
      </c>
      <c r="H1453" s="1" t="s">
        <v>24</v>
      </c>
      <c r="I1453" s="1" t="s">
        <v>17</v>
      </c>
      <c r="J1453">
        <v>35</v>
      </c>
    </row>
    <row r="1454" spans="1:10" x14ac:dyDescent="0.25">
      <c r="A1454" s="1" t="s">
        <v>1423</v>
      </c>
      <c r="B1454" s="1" t="s">
        <v>1311</v>
      </c>
      <c r="C1454" s="1" t="s">
        <v>15</v>
      </c>
      <c r="F1454" s="2">
        <v>44764</v>
      </c>
      <c r="G1454" s="2" t="str">
        <f>TEXT(LayoffsData[[#This Row],[date]],"yyyy-mm")</f>
        <v>2022-07</v>
      </c>
      <c r="H1454" s="1" t="s">
        <v>11</v>
      </c>
      <c r="I1454" s="1" t="s">
        <v>17</v>
      </c>
      <c r="J1454">
        <v>178</v>
      </c>
    </row>
    <row r="1455" spans="1:10" x14ac:dyDescent="0.25">
      <c r="A1455" s="1" t="s">
        <v>1424</v>
      </c>
      <c r="B1455" s="1" t="s">
        <v>32</v>
      </c>
      <c r="C1455" s="1" t="s">
        <v>172</v>
      </c>
      <c r="D1455">
        <v>170</v>
      </c>
      <c r="E1455">
        <v>0.17</v>
      </c>
      <c r="F1455" s="2">
        <v>44880</v>
      </c>
      <c r="G1455" s="2" t="str">
        <f>TEXT(LayoffsData[[#This Row],[date]],"yyyy-mm")</f>
        <v>2022-11</v>
      </c>
      <c r="H1455" s="1" t="s">
        <v>16</v>
      </c>
      <c r="I1455" s="1" t="s">
        <v>17</v>
      </c>
      <c r="J1455">
        <v>507</v>
      </c>
    </row>
    <row r="1456" spans="1:10" x14ac:dyDescent="0.25">
      <c r="A1456" s="1" t="s">
        <v>1425</v>
      </c>
      <c r="B1456" s="1" t="s">
        <v>370</v>
      </c>
      <c r="C1456" s="1" t="s">
        <v>10</v>
      </c>
      <c r="D1456">
        <v>40</v>
      </c>
      <c r="E1456">
        <v>0.2</v>
      </c>
      <c r="F1456" s="2">
        <v>44741</v>
      </c>
      <c r="G1456" s="2" t="str">
        <f>TEXT(LayoffsData[[#This Row],[date]],"yyyy-mm")</f>
        <v>2022-06</v>
      </c>
      <c r="H1456" s="1" t="s">
        <v>37</v>
      </c>
      <c r="I1456" s="1" t="s">
        <v>69</v>
      </c>
      <c r="J1456">
        <v>13</v>
      </c>
    </row>
    <row r="1457" spans="1:10" x14ac:dyDescent="0.25">
      <c r="A1457" s="1" t="s">
        <v>1426</v>
      </c>
      <c r="B1457" s="1" t="s">
        <v>278</v>
      </c>
      <c r="C1457" s="1" t="s">
        <v>84</v>
      </c>
      <c r="F1457" s="2">
        <v>44006</v>
      </c>
      <c r="G1457" s="2" t="str">
        <f>TEXT(LayoffsData[[#This Row],[date]],"yyyy-mm")</f>
        <v>2020-06</v>
      </c>
      <c r="H1457" s="1" t="s">
        <v>86</v>
      </c>
      <c r="I1457" s="1" t="s">
        <v>17</v>
      </c>
      <c r="J1457">
        <v>3200</v>
      </c>
    </row>
    <row r="1458" spans="1:10" x14ac:dyDescent="0.25">
      <c r="A1458" s="1" t="s">
        <v>1426</v>
      </c>
      <c r="B1458" s="1" t="s">
        <v>424</v>
      </c>
      <c r="C1458" s="1" t="s">
        <v>84</v>
      </c>
      <c r="D1458">
        <v>600</v>
      </c>
      <c r="F1458" s="2">
        <v>44898</v>
      </c>
      <c r="G1458" s="2" t="str">
        <f>TEXT(LayoffsData[[#This Row],[date]],"yyyy-mm")</f>
        <v>2022-12</v>
      </c>
      <c r="H1458" s="1" t="s">
        <v>86</v>
      </c>
      <c r="I1458" s="1" t="s">
        <v>69</v>
      </c>
      <c r="J1458">
        <v>4000</v>
      </c>
    </row>
    <row r="1459" spans="1:10" x14ac:dyDescent="0.25">
      <c r="A1459" s="1" t="s">
        <v>1426</v>
      </c>
      <c r="B1459" s="1" t="s">
        <v>424</v>
      </c>
      <c r="C1459" s="1" t="s">
        <v>84</v>
      </c>
      <c r="D1459">
        <v>600</v>
      </c>
      <c r="F1459" s="2">
        <v>44173</v>
      </c>
      <c r="G1459" s="2" t="str">
        <f>TEXT(LayoffsData[[#This Row],[date]],"yyyy-mm")</f>
        <v>2020-12</v>
      </c>
      <c r="H1459" s="1" t="s">
        <v>86</v>
      </c>
      <c r="I1459" s="1" t="s">
        <v>69</v>
      </c>
      <c r="J1459">
        <v>3200</v>
      </c>
    </row>
    <row r="1460" spans="1:10" x14ac:dyDescent="0.25">
      <c r="A1460" s="1" t="s">
        <v>1426</v>
      </c>
      <c r="B1460" s="1" t="s">
        <v>200</v>
      </c>
      <c r="C1460" s="1" t="s">
        <v>84</v>
      </c>
      <c r="D1460">
        <v>150</v>
      </c>
      <c r="F1460" s="2">
        <v>43952</v>
      </c>
      <c r="G1460" s="2" t="str">
        <f>TEXT(LayoffsData[[#This Row],[date]],"yyyy-mm")</f>
        <v>2020-05</v>
      </c>
      <c r="H1460" s="1" t="s">
        <v>86</v>
      </c>
      <c r="I1460" s="1" t="s">
        <v>201</v>
      </c>
      <c r="J1460">
        <v>2400</v>
      </c>
    </row>
    <row r="1461" spans="1:10" x14ac:dyDescent="0.25">
      <c r="A1461" s="1" t="s">
        <v>1426</v>
      </c>
      <c r="B1461" s="1" t="s">
        <v>35</v>
      </c>
      <c r="C1461" s="1" t="s">
        <v>84</v>
      </c>
      <c r="D1461">
        <v>500</v>
      </c>
      <c r="F1461" s="2">
        <v>43946</v>
      </c>
      <c r="G1461" s="2" t="str">
        <f>TEXT(LayoffsData[[#This Row],[date]],"yyyy-mm")</f>
        <v>2020-04</v>
      </c>
      <c r="H1461" s="1" t="s">
        <v>86</v>
      </c>
      <c r="I1461" s="1" t="s">
        <v>38</v>
      </c>
      <c r="J1461">
        <v>2400</v>
      </c>
    </row>
    <row r="1462" spans="1:10" x14ac:dyDescent="0.25">
      <c r="A1462" s="1" t="s">
        <v>1427</v>
      </c>
      <c r="B1462" s="1" t="s">
        <v>1152</v>
      </c>
      <c r="C1462" s="1" t="s">
        <v>147</v>
      </c>
      <c r="F1462" s="2">
        <v>44937</v>
      </c>
      <c r="G1462" s="2" t="str">
        <f>TEXT(LayoffsData[[#This Row],[date]],"yyyy-mm")</f>
        <v>2023-01</v>
      </c>
      <c r="H1462" s="1" t="s">
        <v>28</v>
      </c>
      <c r="I1462" s="1" t="s">
        <v>17</v>
      </c>
      <c r="J1462">
        <v>224</v>
      </c>
    </row>
    <row r="1463" spans="1:10" x14ac:dyDescent="0.25">
      <c r="A1463" s="1" t="s">
        <v>1427</v>
      </c>
      <c r="B1463" s="1" t="s">
        <v>1152</v>
      </c>
      <c r="C1463" s="1" t="s">
        <v>147</v>
      </c>
      <c r="F1463" s="2">
        <v>44956</v>
      </c>
      <c r="G1463" s="2" t="str">
        <f>TEXT(LayoffsData[[#This Row],[date]],"yyyy-mm")</f>
        <v>2023-01</v>
      </c>
      <c r="H1463" s="1" t="s">
        <v>28</v>
      </c>
      <c r="I1463" s="1" t="s">
        <v>17</v>
      </c>
      <c r="J1463">
        <v>224</v>
      </c>
    </row>
    <row r="1464" spans="1:10" x14ac:dyDescent="0.25">
      <c r="A1464" s="1" t="s">
        <v>1428</v>
      </c>
      <c r="B1464" s="1" t="s">
        <v>14</v>
      </c>
      <c r="C1464" s="1" t="s">
        <v>63</v>
      </c>
      <c r="E1464">
        <v>1</v>
      </c>
      <c r="F1464" s="2">
        <v>44470</v>
      </c>
      <c r="G1464" s="2" t="str">
        <f>TEXT(LayoffsData[[#This Row],[date]],"yyyy-mm")</f>
        <v>2021-10</v>
      </c>
      <c r="H1464" s="1" t="s">
        <v>28</v>
      </c>
      <c r="I1464" s="1" t="s">
        <v>17</v>
      </c>
      <c r="J1464">
        <v>70</v>
      </c>
    </row>
    <row r="1465" spans="1:10" x14ac:dyDescent="0.25">
      <c r="A1465" s="1" t="s">
        <v>1429</v>
      </c>
      <c r="B1465" s="1" t="s">
        <v>14</v>
      </c>
      <c r="C1465" s="1" t="s">
        <v>174</v>
      </c>
      <c r="D1465">
        <v>100</v>
      </c>
      <c r="E1465">
        <v>0.3</v>
      </c>
      <c r="F1465" s="2">
        <v>44845</v>
      </c>
      <c r="G1465" s="2" t="str">
        <f>TEXT(LayoffsData[[#This Row],[date]],"yyyy-mm")</f>
        <v>2022-10</v>
      </c>
      <c r="H1465" s="1" t="s">
        <v>28</v>
      </c>
      <c r="I1465" s="1" t="s">
        <v>17</v>
      </c>
      <c r="J1465">
        <v>217</v>
      </c>
    </row>
    <row r="1466" spans="1:10" x14ac:dyDescent="0.25">
      <c r="A1466" s="1" t="s">
        <v>1430</v>
      </c>
      <c r="B1466" s="1" t="s">
        <v>32</v>
      </c>
      <c r="C1466" s="1" t="s">
        <v>29</v>
      </c>
      <c r="D1466">
        <v>138</v>
      </c>
      <c r="E1466">
        <v>0.2</v>
      </c>
      <c r="F1466" s="2">
        <v>44796</v>
      </c>
      <c r="G1466" s="2" t="str">
        <f>TEXT(LayoffsData[[#This Row],[date]],"yyyy-mm")</f>
        <v>2022-08</v>
      </c>
      <c r="H1466" s="1" t="s">
        <v>37</v>
      </c>
      <c r="I1466" s="1" t="s">
        <v>17</v>
      </c>
      <c r="J1466">
        <v>472</v>
      </c>
    </row>
    <row r="1467" spans="1:10" x14ac:dyDescent="0.25">
      <c r="A1467" s="1" t="s">
        <v>1431</v>
      </c>
      <c r="B1467" s="1" t="s">
        <v>14</v>
      </c>
      <c r="C1467" s="1" t="s">
        <v>15</v>
      </c>
      <c r="D1467">
        <v>94</v>
      </c>
      <c r="F1467" s="2">
        <v>44760</v>
      </c>
      <c r="G1467" s="2" t="str">
        <f>TEXT(LayoffsData[[#This Row],[date]],"yyyy-mm")</f>
        <v>2022-07</v>
      </c>
      <c r="H1467" s="1" t="s">
        <v>28</v>
      </c>
      <c r="I1467" s="1" t="s">
        <v>17</v>
      </c>
      <c r="J1467">
        <v>200</v>
      </c>
    </row>
    <row r="1468" spans="1:10" x14ac:dyDescent="0.25">
      <c r="A1468" s="1" t="s">
        <v>1432</v>
      </c>
      <c r="B1468" s="1" t="s">
        <v>200</v>
      </c>
      <c r="C1468" s="1" t="s">
        <v>68</v>
      </c>
      <c r="E1468">
        <v>0.08</v>
      </c>
      <c r="F1468" s="2">
        <v>44937</v>
      </c>
      <c r="G1468" s="2" t="str">
        <f>TEXT(LayoffsData[[#This Row],[date]],"yyyy-mm")</f>
        <v>2023-01</v>
      </c>
      <c r="H1468" s="1" t="s">
        <v>33</v>
      </c>
      <c r="I1468" s="1" t="s">
        <v>201</v>
      </c>
      <c r="J1468">
        <v>293</v>
      </c>
    </row>
    <row r="1469" spans="1:10" x14ac:dyDescent="0.25">
      <c r="A1469" s="1" t="s">
        <v>1433</v>
      </c>
      <c r="B1469" s="1" t="s">
        <v>293</v>
      </c>
      <c r="C1469" s="1" t="s">
        <v>147</v>
      </c>
      <c r="D1469">
        <v>80</v>
      </c>
      <c r="F1469" s="2">
        <v>44403</v>
      </c>
      <c r="G1469" s="2" t="str">
        <f>TEXT(LayoffsData[[#This Row],[date]],"yyyy-mm")</f>
        <v>2021-07</v>
      </c>
      <c r="H1469" s="1" t="s">
        <v>21</v>
      </c>
      <c r="I1469" s="1" t="s">
        <v>69</v>
      </c>
      <c r="J1469">
        <v>17</v>
      </c>
    </row>
    <row r="1470" spans="1:10" x14ac:dyDescent="0.25">
      <c r="A1470" s="1" t="s">
        <v>1434</v>
      </c>
      <c r="B1470" s="1" t="s">
        <v>32</v>
      </c>
      <c r="C1470" s="1" t="s">
        <v>68</v>
      </c>
      <c r="D1470">
        <v>140</v>
      </c>
      <c r="E1470">
        <v>0.2</v>
      </c>
      <c r="F1470" s="2">
        <v>44944</v>
      </c>
      <c r="G1470" s="2" t="str">
        <f>TEXT(LayoffsData[[#This Row],[date]],"yyyy-mm")</f>
        <v>2023-01</v>
      </c>
      <c r="H1470" s="1" t="s">
        <v>11</v>
      </c>
      <c r="I1470" s="1" t="s">
        <v>17</v>
      </c>
      <c r="J1470">
        <v>571</v>
      </c>
    </row>
    <row r="1471" spans="1:10" x14ac:dyDescent="0.25">
      <c r="A1471" s="1" t="s">
        <v>1435</v>
      </c>
      <c r="B1471" s="1" t="s">
        <v>35</v>
      </c>
      <c r="C1471" s="1" t="s">
        <v>68</v>
      </c>
      <c r="D1471">
        <v>500</v>
      </c>
      <c r="E1471">
        <v>7.0000000000000007E-2</v>
      </c>
      <c r="F1471" s="2">
        <v>44942</v>
      </c>
      <c r="G1471" s="2" t="str">
        <f>TEXT(LayoffsData[[#This Row],[date]],"yyyy-mm")</f>
        <v>2023-01</v>
      </c>
      <c r="H1471" s="1" t="s">
        <v>11</v>
      </c>
      <c r="I1471" s="1" t="s">
        <v>38</v>
      </c>
    </row>
    <row r="1472" spans="1:10" x14ac:dyDescent="0.25">
      <c r="A1472" s="1" t="s">
        <v>1436</v>
      </c>
      <c r="B1472" s="1" t="s">
        <v>14</v>
      </c>
      <c r="C1472" s="1" t="s">
        <v>113</v>
      </c>
      <c r="E1472">
        <v>7.0000000000000007E-2</v>
      </c>
      <c r="F1472" s="2">
        <v>44950</v>
      </c>
      <c r="G1472" s="2" t="str">
        <f>TEXT(LayoffsData[[#This Row],[date]],"yyyy-mm")</f>
        <v>2023-01</v>
      </c>
      <c r="H1472" s="1" t="s">
        <v>11</v>
      </c>
      <c r="I1472" s="1" t="s">
        <v>17</v>
      </c>
      <c r="J1472">
        <v>173</v>
      </c>
    </row>
    <row r="1473" spans="1:10" x14ac:dyDescent="0.25">
      <c r="A1473" s="1" t="s">
        <v>1437</v>
      </c>
      <c r="B1473" s="1" t="s">
        <v>35</v>
      </c>
      <c r="C1473" s="1" t="s">
        <v>68</v>
      </c>
      <c r="E1473">
        <v>7.0000000000000007E-2</v>
      </c>
      <c r="F1473" s="2">
        <v>44951</v>
      </c>
      <c r="G1473" s="2" t="str">
        <f>TEXT(LayoffsData[[#This Row],[date]],"yyyy-mm")</f>
        <v>2023-01</v>
      </c>
      <c r="H1473" s="1" t="s">
        <v>11</v>
      </c>
      <c r="I1473" s="1" t="s">
        <v>38</v>
      </c>
    </row>
    <row r="1474" spans="1:10" x14ac:dyDescent="0.25">
      <c r="A1474" s="1" t="s">
        <v>1438</v>
      </c>
      <c r="B1474" s="1" t="s">
        <v>424</v>
      </c>
      <c r="C1474" s="1" t="s">
        <v>68</v>
      </c>
      <c r="D1474">
        <v>1500</v>
      </c>
      <c r="E1474">
        <v>0.5</v>
      </c>
      <c r="F1474" s="2">
        <v>43998</v>
      </c>
      <c r="G1474" s="2" t="str">
        <f>TEXT(LayoffsData[[#This Row],[date]],"yyyy-mm")</f>
        <v>2020-06</v>
      </c>
      <c r="H1474" s="1" t="s">
        <v>450</v>
      </c>
      <c r="I1474" s="1" t="s">
        <v>69</v>
      </c>
      <c r="J1474">
        <v>496</v>
      </c>
    </row>
    <row r="1475" spans="1:10" x14ac:dyDescent="0.25">
      <c r="A1475" s="1" t="s">
        <v>1439</v>
      </c>
      <c r="B1475" s="1" t="s">
        <v>128</v>
      </c>
      <c r="C1475" s="1" t="s">
        <v>74</v>
      </c>
      <c r="D1475">
        <v>75</v>
      </c>
      <c r="E1475">
        <v>0.02</v>
      </c>
      <c r="F1475" s="2">
        <v>44984</v>
      </c>
      <c r="G1475" s="2" t="str">
        <f>TEXT(LayoffsData[[#This Row],[date]],"yyyy-mm")</f>
        <v>2023-02</v>
      </c>
      <c r="H1475" s="1" t="s">
        <v>11</v>
      </c>
      <c r="I1475" s="1" t="s">
        <v>17</v>
      </c>
      <c r="J1475">
        <v>3000</v>
      </c>
    </row>
    <row r="1476" spans="1:10" x14ac:dyDescent="0.25">
      <c r="A1476" s="1" t="s">
        <v>1440</v>
      </c>
      <c r="B1476" s="1" t="s">
        <v>128</v>
      </c>
      <c r="C1476" s="1" t="s">
        <v>84</v>
      </c>
      <c r="D1476">
        <v>18</v>
      </c>
      <c r="F1476" s="2">
        <v>43922</v>
      </c>
      <c r="G1476" s="2" t="str">
        <f>TEXT(LayoffsData[[#This Row],[date]],"yyyy-mm")</f>
        <v>2020-04</v>
      </c>
      <c r="H1476" s="1" t="s">
        <v>21</v>
      </c>
      <c r="I1476" s="1" t="s">
        <v>17</v>
      </c>
      <c r="J1476">
        <v>11</v>
      </c>
    </row>
    <row r="1477" spans="1:10" x14ac:dyDescent="0.25">
      <c r="A1477" s="1" t="s">
        <v>1441</v>
      </c>
      <c r="B1477" s="1" t="s">
        <v>14</v>
      </c>
      <c r="C1477" s="1" t="s">
        <v>27</v>
      </c>
      <c r="D1477">
        <v>6</v>
      </c>
      <c r="E1477">
        <v>0.75</v>
      </c>
      <c r="F1477" s="2">
        <v>43903</v>
      </c>
      <c r="G1477" s="2" t="str">
        <f>TEXT(LayoffsData[[#This Row],[date]],"yyyy-mm")</f>
        <v>2020-03</v>
      </c>
      <c r="H1477" s="1" t="s">
        <v>131</v>
      </c>
      <c r="I1477" s="1" t="s">
        <v>17</v>
      </c>
      <c r="J1477">
        <v>1</v>
      </c>
    </row>
    <row r="1478" spans="1:10" x14ac:dyDescent="0.25">
      <c r="A1478" s="1" t="s">
        <v>1442</v>
      </c>
      <c r="B1478" s="1" t="s">
        <v>182</v>
      </c>
      <c r="C1478" s="1" t="s">
        <v>149</v>
      </c>
      <c r="E1478">
        <v>0.15</v>
      </c>
      <c r="F1478" s="2">
        <v>44755</v>
      </c>
      <c r="G1478" s="2" t="str">
        <f>TEXT(LayoffsData[[#This Row],[date]],"yyyy-mm")</f>
        <v>2022-07</v>
      </c>
      <c r="H1478" s="1" t="s">
        <v>33</v>
      </c>
      <c r="I1478" s="1" t="s">
        <v>17</v>
      </c>
      <c r="J1478">
        <v>241</v>
      </c>
    </row>
    <row r="1479" spans="1:10" x14ac:dyDescent="0.25">
      <c r="A1479" s="1" t="s">
        <v>1443</v>
      </c>
      <c r="B1479" s="1" t="s">
        <v>1444</v>
      </c>
      <c r="C1479" s="1" t="s">
        <v>124</v>
      </c>
      <c r="D1479">
        <v>60</v>
      </c>
      <c r="F1479" s="2">
        <v>44741</v>
      </c>
      <c r="G1479" s="2" t="str">
        <f>TEXT(LayoffsData[[#This Row],[date]],"yyyy-mm")</f>
        <v>2022-06</v>
      </c>
      <c r="H1479" s="1" t="s">
        <v>37</v>
      </c>
      <c r="I1479" s="1" t="s">
        <v>17</v>
      </c>
      <c r="J1479">
        <v>8</v>
      </c>
    </row>
    <row r="1480" spans="1:10" x14ac:dyDescent="0.25">
      <c r="A1480" s="1" t="s">
        <v>1445</v>
      </c>
      <c r="B1480" s="1" t="s">
        <v>14</v>
      </c>
      <c r="C1480" s="1" t="s">
        <v>51</v>
      </c>
      <c r="F1480" s="2">
        <v>44041</v>
      </c>
      <c r="G1480" s="2" t="str">
        <f>TEXT(LayoffsData[[#This Row],[date]],"yyyy-mm")</f>
        <v>2020-07</v>
      </c>
      <c r="H1480" s="1" t="s">
        <v>37</v>
      </c>
      <c r="I1480" s="1" t="s">
        <v>17</v>
      </c>
      <c r="J1480">
        <v>13</v>
      </c>
    </row>
    <row r="1481" spans="1:10" x14ac:dyDescent="0.25">
      <c r="A1481" s="1" t="s">
        <v>1446</v>
      </c>
      <c r="B1481" s="1" t="s">
        <v>374</v>
      </c>
      <c r="C1481" s="1" t="s">
        <v>27</v>
      </c>
      <c r="D1481">
        <v>60</v>
      </c>
      <c r="E1481">
        <v>0.75</v>
      </c>
      <c r="F1481" s="2">
        <v>44936</v>
      </c>
      <c r="G1481" s="2" t="str">
        <f>TEXT(LayoffsData[[#This Row],[date]],"yyyy-mm")</f>
        <v>2023-01</v>
      </c>
      <c r="H1481" s="1" t="s">
        <v>24</v>
      </c>
      <c r="I1481" s="1" t="s">
        <v>17</v>
      </c>
      <c r="J1481">
        <v>36</v>
      </c>
    </row>
    <row r="1482" spans="1:10" x14ac:dyDescent="0.25">
      <c r="A1482" s="1" t="s">
        <v>1447</v>
      </c>
      <c r="B1482" s="1" t="s">
        <v>14</v>
      </c>
      <c r="C1482" s="1" t="s">
        <v>147</v>
      </c>
      <c r="D1482">
        <v>40</v>
      </c>
      <c r="E1482">
        <v>0.25</v>
      </c>
      <c r="F1482" s="2">
        <v>43936</v>
      </c>
      <c r="G1482" s="2" t="str">
        <f>TEXT(LayoffsData[[#This Row],[date]],"yyyy-mm")</f>
        <v>2020-04</v>
      </c>
      <c r="H1482" s="1" t="s">
        <v>28</v>
      </c>
      <c r="I1482" s="1" t="s">
        <v>17</v>
      </c>
      <c r="J1482">
        <v>72</v>
      </c>
    </row>
    <row r="1483" spans="1:10" x14ac:dyDescent="0.25">
      <c r="A1483" s="1" t="s">
        <v>1448</v>
      </c>
      <c r="B1483" s="1" t="s">
        <v>9</v>
      </c>
      <c r="C1483" s="1" t="s">
        <v>48</v>
      </c>
      <c r="D1483">
        <v>40</v>
      </c>
      <c r="E1483">
        <v>0.2</v>
      </c>
      <c r="F1483" s="2">
        <v>44950</v>
      </c>
      <c r="G1483" s="2" t="str">
        <f>TEXT(LayoffsData[[#This Row],[date]],"yyyy-mm")</f>
        <v>2023-01</v>
      </c>
      <c r="H1483" s="1" t="s">
        <v>24</v>
      </c>
      <c r="I1483" s="1" t="s">
        <v>12</v>
      </c>
      <c r="J1483">
        <v>36</v>
      </c>
    </row>
    <row r="1484" spans="1:10" x14ac:dyDescent="0.25">
      <c r="A1484" s="1" t="s">
        <v>1449</v>
      </c>
      <c r="B1484" s="1" t="s">
        <v>1152</v>
      </c>
      <c r="C1484" s="1" t="s">
        <v>10</v>
      </c>
      <c r="D1484">
        <v>44</v>
      </c>
      <c r="F1484" s="2">
        <v>43916</v>
      </c>
      <c r="G1484" s="2" t="str">
        <f>TEXT(LayoffsData[[#This Row],[date]],"yyyy-mm")</f>
        <v>2020-03</v>
      </c>
      <c r="H1484" s="1" t="s">
        <v>33</v>
      </c>
      <c r="I1484" s="1" t="s">
        <v>17</v>
      </c>
      <c r="J1484">
        <v>123</v>
      </c>
    </row>
    <row r="1485" spans="1:10" x14ac:dyDescent="0.25">
      <c r="A1485" s="1" t="s">
        <v>1450</v>
      </c>
      <c r="B1485" s="1" t="s">
        <v>14</v>
      </c>
      <c r="C1485" s="1" t="s">
        <v>51</v>
      </c>
      <c r="E1485">
        <v>1</v>
      </c>
      <c r="F1485" s="2">
        <v>44834</v>
      </c>
      <c r="G1485" s="2" t="str">
        <f>TEXT(LayoffsData[[#This Row],[date]],"yyyy-mm")</f>
        <v>2022-09</v>
      </c>
      <c r="H1485" s="1" t="s">
        <v>37</v>
      </c>
      <c r="I1485" s="1" t="s">
        <v>17</v>
      </c>
    </row>
    <row r="1486" spans="1:10" x14ac:dyDescent="0.25">
      <c r="A1486" s="1" t="s">
        <v>1451</v>
      </c>
      <c r="B1486" s="1" t="s">
        <v>26</v>
      </c>
      <c r="C1486" s="1" t="s">
        <v>15</v>
      </c>
      <c r="D1486">
        <v>100</v>
      </c>
      <c r="E1486">
        <v>0.2</v>
      </c>
      <c r="F1486" s="2">
        <v>43922</v>
      </c>
      <c r="G1486" s="2" t="str">
        <f>TEXT(LayoffsData[[#This Row],[date]],"yyyy-mm")</f>
        <v>2020-04</v>
      </c>
      <c r="H1486" s="1" t="s">
        <v>24</v>
      </c>
      <c r="I1486" s="1" t="s">
        <v>17</v>
      </c>
      <c r="J1486">
        <v>75</v>
      </c>
    </row>
    <row r="1487" spans="1:10" x14ac:dyDescent="0.25">
      <c r="A1487" s="1" t="s">
        <v>1452</v>
      </c>
      <c r="B1487" s="1" t="s">
        <v>14</v>
      </c>
      <c r="C1487" s="1" t="s">
        <v>63</v>
      </c>
      <c r="D1487">
        <v>5</v>
      </c>
      <c r="F1487" s="2">
        <v>44813</v>
      </c>
      <c r="G1487" s="2" t="str">
        <f>TEXT(LayoffsData[[#This Row],[date]],"yyyy-mm")</f>
        <v>2022-09</v>
      </c>
      <c r="H1487" s="1" t="s">
        <v>86</v>
      </c>
      <c r="I1487" s="1" t="s">
        <v>17</v>
      </c>
      <c r="J1487">
        <v>413</v>
      </c>
    </row>
    <row r="1488" spans="1:10" x14ac:dyDescent="0.25">
      <c r="A1488" s="1" t="s">
        <v>1452</v>
      </c>
      <c r="B1488" s="1" t="s">
        <v>14</v>
      </c>
      <c r="C1488" s="1" t="s">
        <v>63</v>
      </c>
      <c r="D1488">
        <v>30</v>
      </c>
      <c r="E1488">
        <v>0.13</v>
      </c>
      <c r="F1488" s="2">
        <v>43942</v>
      </c>
      <c r="G1488" s="2" t="str">
        <f>TEXT(LayoffsData[[#This Row],[date]],"yyyy-mm")</f>
        <v>2020-04</v>
      </c>
      <c r="H1488" s="1" t="s">
        <v>33</v>
      </c>
      <c r="I1488" s="1" t="s">
        <v>17</v>
      </c>
      <c r="J1488">
        <v>165</v>
      </c>
    </row>
    <row r="1489" spans="1:10" x14ac:dyDescent="0.25">
      <c r="A1489" s="1" t="s">
        <v>1452</v>
      </c>
      <c r="B1489" s="1" t="s">
        <v>14</v>
      </c>
      <c r="C1489" s="1" t="s">
        <v>63</v>
      </c>
      <c r="D1489">
        <v>36</v>
      </c>
      <c r="F1489" s="2">
        <v>44312</v>
      </c>
      <c r="G1489" s="2" t="str">
        <f>TEXT(LayoffsData[[#This Row],[date]],"yyyy-mm")</f>
        <v>2021-04</v>
      </c>
      <c r="H1489" s="1" t="s">
        <v>33</v>
      </c>
      <c r="I1489" s="1" t="s">
        <v>17</v>
      </c>
      <c r="J1489">
        <v>165</v>
      </c>
    </row>
    <row r="1490" spans="1:10" x14ac:dyDescent="0.25">
      <c r="A1490" s="1" t="s">
        <v>1452</v>
      </c>
      <c r="B1490" s="1" t="s">
        <v>14</v>
      </c>
      <c r="C1490" s="1" t="s">
        <v>63</v>
      </c>
      <c r="D1490">
        <v>80</v>
      </c>
      <c r="E1490">
        <v>0.17</v>
      </c>
      <c r="F1490" s="2">
        <v>44817</v>
      </c>
      <c r="G1490" s="2" t="str">
        <f>TEXT(LayoffsData[[#This Row],[date]],"yyyy-mm")</f>
        <v>2022-09</v>
      </c>
      <c r="H1490" s="1" t="s">
        <v>86</v>
      </c>
      <c r="I1490" s="1" t="s">
        <v>17</v>
      </c>
      <c r="J1490">
        <v>413</v>
      </c>
    </row>
    <row r="1491" spans="1:10" x14ac:dyDescent="0.25">
      <c r="A1491" s="1" t="s">
        <v>1453</v>
      </c>
      <c r="B1491" s="1" t="s">
        <v>14</v>
      </c>
      <c r="C1491" s="1" t="s">
        <v>124</v>
      </c>
      <c r="D1491">
        <v>96</v>
      </c>
      <c r="E1491">
        <v>0.96</v>
      </c>
      <c r="F1491" s="2">
        <v>44844</v>
      </c>
      <c r="G1491" s="2" t="str">
        <f>TEXT(LayoffsData[[#This Row],[date]],"yyyy-mm")</f>
        <v>2022-10</v>
      </c>
      <c r="H1491" s="1" t="s">
        <v>33</v>
      </c>
      <c r="I1491" s="1" t="s">
        <v>17</v>
      </c>
      <c r="J1491">
        <v>103</v>
      </c>
    </row>
    <row r="1492" spans="1:10" x14ac:dyDescent="0.25">
      <c r="A1492" s="1" t="s">
        <v>1454</v>
      </c>
      <c r="B1492" s="1" t="s">
        <v>73</v>
      </c>
      <c r="C1492" s="1" t="s">
        <v>147</v>
      </c>
      <c r="D1492">
        <v>46</v>
      </c>
      <c r="F1492" s="2">
        <v>43928</v>
      </c>
      <c r="G1492" s="2" t="str">
        <f>TEXT(LayoffsData[[#This Row],[date]],"yyyy-mm")</f>
        <v>2020-04</v>
      </c>
      <c r="H1492" s="1" t="s">
        <v>37</v>
      </c>
      <c r="I1492" s="1" t="s">
        <v>17</v>
      </c>
    </row>
    <row r="1493" spans="1:10" x14ac:dyDescent="0.25">
      <c r="A1493" s="1" t="s">
        <v>1455</v>
      </c>
      <c r="B1493" s="1" t="s">
        <v>250</v>
      </c>
      <c r="C1493" s="1" t="s">
        <v>147</v>
      </c>
      <c r="D1493">
        <v>200</v>
      </c>
      <c r="E1493">
        <v>0.2</v>
      </c>
      <c r="F1493" s="2">
        <v>44986</v>
      </c>
      <c r="G1493" s="2" t="str">
        <f>TEXT(LayoffsData[[#This Row],[date]],"yyyy-mm")</f>
        <v>2023-03</v>
      </c>
      <c r="H1493" s="1" t="s">
        <v>16</v>
      </c>
      <c r="I1493" s="1" t="s">
        <v>251</v>
      </c>
      <c r="J1493">
        <v>495</v>
      </c>
    </row>
    <row r="1494" spans="1:10" x14ac:dyDescent="0.25">
      <c r="A1494" s="1" t="s">
        <v>1456</v>
      </c>
      <c r="B1494" s="1" t="s">
        <v>14</v>
      </c>
      <c r="C1494" s="1" t="s">
        <v>68</v>
      </c>
      <c r="D1494">
        <v>27</v>
      </c>
      <c r="E1494">
        <v>0.25</v>
      </c>
      <c r="F1494" s="2">
        <v>43949</v>
      </c>
      <c r="G1494" s="2" t="str">
        <f>TEXT(LayoffsData[[#This Row],[date]],"yyyy-mm")</f>
        <v>2020-04</v>
      </c>
      <c r="H1494" s="1" t="s">
        <v>24</v>
      </c>
      <c r="I1494" s="1" t="s">
        <v>17</v>
      </c>
      <c r="J1494">
        <v>71</v>
      </c>
    </row>
    <row r="1495" spans="1:10" x14ac:dyDescent="0.25">
      <c r="A1495" s="1" t="s">
        <v>1457</v>
      </c>
      <c r="B1495" s="1" t="s">
        <v>14</v>
      </c>
      <c r="C1495" s="1" t="s">
        <v>68</v>
      </c>
      <c r="D1495">
        <v>83</v>
      </c>
      <c r="F1495" s="2">
        <v>44704</v>
      </c>
      <c r="G1495" s="2" t="str">
        <f>TEXT(LayoffsData[[#This Row],[date]],"yyyy-mm")</f>
        <v>2022-05</v>
      </c>
      <c r="H1495" s="1" t="s">
        <v>11</v>
      </c>
      <c r="I1495" s="1" t="s">
        <v>17</v>
      </c>
      <c r="J1495">
        <v>216</v>
      </c>
    </row>
    <row r="1496" spans="1:10" x14ac:dyDescent="0.25">
      <c r="A1496" s="1" t="s">
        <v>1457</v>
      </c>
      <c r="B1496" s="1" t="s">
        <v>14</v>
      </c>
      <c r="C1496" s="1" t="s">
        <v>68</v>
      </c>
      <c r="D1496">
        <v>2000</v>
      </c>
      <c r="E1496">
        <v>7.0000000000000007E-2</v>
      </c>
      <c r="F1496" s="2">
        <v>44957</v>
      </c>
      <c r="G1496" s="2" t="str">
        <f>TEXT(LayoffsData[[#This Row],[date]],"yyyy-mm")</f>
        <v>2023-01</v>
      </c>
      <c r="H1496" s="1" t="s">
        <v>11</v>
      </c>
      <c r="I1496" s="1" t="s">
        <v>17</v>
      </c>
      <c r="J1496">
        <v>216</v>
      </c>
    </row>
    <row r="1497" spans="1:10" x14ac:dyDescent="0.25">
      <c r="A1497" s="1" t="s">
        <v>1458</v>
      </c>
      <c r="B1497" s="1" t="s">
        <v>67</v>
      </c>
      <c r="C1497" s="1" t="s">
        <v>68</v>
      </c>
      <c r="D1497">
        <v>40</v>
      </c>
      <c r="F1497" s="2">
        <v>44021</v>
      </c>
      <c r="G1497" s="2" t="str">
        <f>TEXT(LayoffsData[[#This Row],[date]],"yyyy-mm")</f>
        <v>2020-07</v>
      </c>
      <c r="H1497" s="1" t="s">
        <v>57</v>
      </c>
      <c r="I1497" s="1" t="s">
        <v>69</v>
      </c>
      <c r="J1497">
        <v>26</v>
      </c>
    </row>
    <row r="1498" spans="1:10" x14ac:dyDescent="0.25">
      <c r="A1498" s="1" t="s">
        <v>1459</v>
      </c>
      <c r="B1498" s="1" t="s">
        <v>370</v>
      </c>
      <c r="C1498" s="1" t="s">
        <v>68</v>
      </c>
      <c r="D1498">
        <v>500</v>
      </c>
      <c r="F1498" s="2">
        <v>43942</v>
      </c>
      <c r="G1498" s="2" t="str">
        <f>TEXT(LayoffsData[[#This Row],[date]],"yyyy-mm")</f>
        <v>2020-04</v>
      </c>
      <c r="H1498" s="1" t="s">
        <v>37</v>
      </c>
      <c r="I1498" s="1" t="s">
        <v>69</v>
      </c>
      <c r="J1498">
        <v>2200</v>
      </c>
    </row>
    <row r="1499" spans="1:10" x14ac:dyDescent="0.25">
      <c r="A1499" s="1" t="s">
        <v>1460</v>
      </c>
      <c r="B1499" s="1" t="s">
        <v>349</v>
      </c>
      <c r="C1499" s="1" t="s">
        <v>68</v>
      </c>
      <c r="D1499">
        <v>150</v>
      </c>
      <c r="E1499">
        <v>0.06</v>
      </c>
      <c r="F1499" s="2">
        <v>44921</v>
      </c>
      <c r="G1499" s="2" t="str">
        <f>TEXT(LayoffsData[[#This Row],[date]],"yyyy-mm")</f>
        <v>2022-12</v>
      </c>
      <c r="H1499" s="1" t="s">
        <v>57</v>
      </c>
      <c r="I1499" s="1" t="s">
        <v>350</v>
      </c>
    </row>
    <row r="1500" spans="1:10" x14ac:dyDescent="0.25">
      <c r="A1500" s="1" t="s">
        <v>1461</v>
      </c>
      <c r="B1500" s="1" t="s">
        <v>73</v>
      </c>
      <c r="C1500" s="1" t="s">
        <v>15</v>
      </c>
      <c r="D1500">
        <v>59</v>
      </c>
      <c r="E1500">
        <v>0.22</v>
      </c>
      <c r="F1500" s="2">
        <v>44879</v>
      </c>
      <c r="G1500" s="2" t="str">
        <f>TEXT(LayoffsData[[#This Row],[date]],"yyyy-mm")</f>
        <v>2022-11</v>
      </c>
      <c r="H1500" s="1" t="s">
        <v>11</v>
      </c>
      <c r="I1500" s="1" t="s">
        <v>17</v>
      </c>
      <c r="J1500">
        <v>409</v>
      </c>
    </row>
    <row r="1501" spans="1:10" x14ac:dyDescent="0.25">
      <c r="A1501" s="1" t="s">
        <v>1461</v>
      </c>
      <c r="B1501" s="1" t="s">
        <v>73</v>
      </c>
      <c r="C1501" s="1" t="s">
        <v>15</v>
      </c>
      <c r="D1501">
        <v>59</v>
      </c>
      <c r="E1501">
        <v>0.22</v>
      </c>
      <c r="F1501" s="2">
        <v>44881</v>
      </c>
      <c r="G1501" s="2" t="str">
        <f>TEXT(LayoffsData[[#This Row],[date]],"yyyy-mm")</f>
        <v>2022-11</v>
      </c>
      <c r="H1501" s="1" t="s">
        <v>11</v>
      </c>
      <c r="I1501" s="1" t="s">
        <v>17</v>
      </c>
      <c r="J1501">
        <v>409</v>
      </c>
    </row>
    <row r="1502" spans="1:10" x14ac:dyDescent="0.25">
      <c r="A1502" s="1" t="s">
        <v>1461</v>
      </c>
      <c r="B1502" s="1" t="s">
        <v>73</v>
      </c>
      <c r="C1502" s="1" t="s">
        <v>15</v>
      </c>
      <c r="D1502">
        <v>25</v>
      </c>
      <c r="E1502">
        <v>0.09</v>
      </c>
      <c r="F1502" s="2">
        <v>44767</v>
      </c>
      <c r="G1502" s="2" t="str">
        <f>TEXT(LayoffsData[[#This Row],[date]],"yyyy-mm")</f>
        <v>2022-07</v>
      </c>
      <c r="H1502" s="1" t="s">
        <v>11</v>
      </c>
      <c r="I1502" s="1" t="s">
        <v>17</v>
      </c>
      <c r="J1502">
        <v>409</v>
      </c>
    </row>
    <row r="1503" spans="1:10" x14ac:dyDescent="0.25">
      <c r="A1503" s="1" t="s">
        <v>1462</v>
      </c>
      <c r="B1503" s="1" t="s">
        <v>32</v>
      </c>
      <c r="C1503" s="1" t="s">
        <v>20</v>
      </c>
      <c r="E1503">
        <v>0.6</v>
      </c>
      <c r="F1503" s="2">
        <v>43922</v>
      </c>
      <c r="G1503" s="2" t="str">
        <f>TEXT(LayoffsData[[#This Row],[date]],"yyyy-mm")</f>
        <v>2020-04</v>
      </c>
      <c r="H1503" s="1" t="s">
        <v>28</v>
      </c>
      <c r="I1503" s="1" t="s">
        <v>17</v>
      </c>
      <c r="J1503">
        <v>81</v>
      </c>
    </row>
    <row r="1504" spans="1:10" x14ac:dyDescent="0.25">
      <c r="A1504" s="1" t="s">
        <v>1463</v>
      </c>
      <c r="B1504" s="1" t="s">
        <v>168</v>
      </c>
      <c r="C1504" s="1" t="s">
        <v>74</v>
      </c>
      <c r="D1504">
        <v>30</v>
      </c>
      <c r="E1504">
        <v>0.25</v>
      </c>
      <c r="F1504" s="2">
        <v>44931</v>
      </c>
      <c r="G1504" s="2" t="str">
        <f>TEXT(LayoffsData[[#This Row],[date]],"yyyy-mm")</f>
        <v>2023-01</v>
      </c>
      <c r="H1504" s="1" t="s">
        <v>28</v>
      </c>
      <c r="I1504" s="1" t="s">
        <v>170</v>
      </c>
      <c r="J1504">
        <v>116</v>
      </c>
    </row>
    <row r="1505" spans="1:10" x14ac:dyDescent="0.25">
      <c r="A1505" s="1" t="s">
        <v>1464</v>
      </c>
      <c r="B1505" s="1" t="s">
        <v>92</v>
      </c>
      <c r="C1505" s="1" t="s">
        <v>84</v>
      </c>
      <c r="D1505">
        <v>45</v>
      </c>
      <c r="F1505" s="2">
        <v>43910</v>
      </c>
      <c r="G1505" s="2" t="str">
        <f>TEXT(LayoffsData[[#This Row],[date]],"yyyy-mm")</f>
        <v>2020-03</v>
      </c>
      <c r="H1505" s="1" t="s">
        <v>24</v>
      </c>
      <c r="I1505" s="1" t="s">
        <v>17</v>
      </c>
      <c r="J1505">
        <v>39</v>
      </c>
    </row>
    <row r="1506" spans="1:10" x14ac:dyDescent="0.25">
      <c r="A1506" s="1" t="s">
        <v>1465</v>
      </c>
      <c r="B1506" s="1" t="s">
        <v>1466</v>
      </c>
      <c r="C1506" s="1" t="s">
        <v>147</v>
      </c>
      <c r="E1506">
        <v>0.4</v>
      </c>
      <c r="F1506" s="2">
        <v>43914</v>
      </c>
      <c r="G1506" s="2" t="str">
        <f>TEXT(LayoffsData[[#This Row],[date]],"yyyy-mm")</f>
        <v>2020-03</v>
      </c>
      <c r="H1506" s="1" t="s">
        <v>37</v>
      </c>
      <c r="I1506" s="1" t="s">
        <v>17</v>
      </c>
      <c r="J1506">
        <v>47</v>
      </c>
    </row>
    <row r="1507" spans="1:10" x14ac:dyDescent="0.25">
      <c r="A1507" s="1" t="s">
        <v>1467</v>
      </c>
      <c r="B1507" s="1" t="s">
        <v>14</v>
      </c>
      <c r="C1507" s="1" t="s">
        <v>174</v>
      </c>
      <c r="D1507">
        <v>41</v>
      </c>
      <c r="E1507">
        <v>0.75</v>
      </c>
      <c r="F1507" s="2">
        <v>43916</v>
      </c>
      <c r="G1507" s="2" t="str">
        <f>TEXT(LayoffsData[[#This Row],[date]],"yyyy-mm")</f>
        <v>2020-03</v>
      </c>
      <c r="H1507" s="1" t="s">
        <v>24</v>
      </c>
      <c r="I1507" s="1" t="s">
        <v>17</v>
      </c>
      <c r="J1507">
        <v>34</v>
      </c>
    </row>
    <row r="1508" spans="1:10" x14ac:dyDescent="0.25">
      <c r="A1508" s="1" t="s">
        <v>1468</v>
      </c>
      <c r="B1508" s="1" t="s">
        <v>26</v>
      </c>
      <c r="C1508" s="1" t="s">
        <v>68</v>
      </c>
      <c r="D1508">
        <v>51</v>
      </c>
      <c r="E1508">
        <v>0.3</v>
      </c>
      <c r="F1508" s="2">
        <v>43920</v>
      </c>
      <c r="G1508" s="2" t="str">
        <f>TEXT(LayoffsData[[#This Row],[date]],"yyyy-mm")</f>
        <v>2020-03</v>
      </c>
      <c r="H1508" s="1" t="s">
        <v>28</v>
      </c>
      <c r="I1508" s="1" t="s">
        <v>17</v>
      </c>
      <c r="J1508">
        <v>110</v>
      </c>
    </row>
    <row r="1509" spans="1:10" x14ac:dyDescent="0.25">
      <c r="A1509" s="1" t="s">
        <v>1468</v>
      </c>
      <c r="B1509" s="1" t="s">
        <v>26</v>
      </c>
      <c r="C1509" s="1" t="s">
        <v>68</v>
      </c>
      <c r="D1509">
        <v>75</v>
      </c>
      <c r="F1509" s="2">
        <v>44706</v>
      </c>
      <c r="G1509" s="2" t="str">
        <f>TEXT(LayoffsData[[#This Row],[date]],"yyyy-mm")</f>
        <v>2022-05</v>
      </c>
      <c r="H1509" s="1" t="s">
        <v>28</v>
      </c>
      <c r="I1509" s="1" t="s">
        <v>17</v>
      </c>
      <c r="J1509">
        <v>121</v>
      </c>
    </row>
    <row r="1510" spans="1:10" x14ac:dyDescent="0.25">
      <c r="A1510" s="1" t="s">
        <v>1468</v>
      </c>
      <c r="B1510" s="1" t="s">
        <v>26</v>
      </c>
      <c r="C1510" s="1" t="s">
        <v>174</v>
      </c>
      <c r="F1510" s="2">
        <v>44978</v>
      </c>
      <c r="G1510" s="2" t="str">
        <f>TEXT(LayoffsData[[#This Row],[date]],"yyyy-mm")</f>
        <v>2023-02</v>
      </c>
      <c r="H1510" s="1" t="s">
        <v>28</v>
      </c>
      <c r="I1510" s="1" t="s">
        <v>17</v>
      </c>
      <c r="J1510">
        <v>121</v>
      </c>
    </row>
    <row r="1511" spans="1:10" x14ac:dyDescent="0.25">
      <c r="A1511" s="1" t="s">
        <v>1469</v>
      </c>
      <c r="B1511" s="1" t="s">
        <v>73</v>
      </c>
      <c r="C1511" s="1" t="s">
        <v>147</v>
      </c>
      <c r="D1511">
        <v>245</v>
      </c>
      <c r="E1511">
        <v>0.04</v>
      </c>
      <c r="F1511" s="2">
        <v>44929</v>
      </c>
      <c r="G1511" s="2" t="str">
        <f>TEXT(LayoffsData[[#This Row],[date]],"yyyy-mm")</f>
        <v>2023-01</v>
      </c>
      <c r="H1511" s="1" t="s">
        <v>11</v>
      </c>
      <c r="I1511" s="1" t="s">
        <v>17</v>
      </c>
    </row>
    <row r="1512" spans="1:10" x14ac:dyDescent="0.25">
      <c r="A1512" s="1" t="s">
        <v>1470</v>
      </c>
      <c r="B1512" s="1" t="s">
        <v>32</v>
      </c>
      <c r="C1512" s="1" t="s">
        <v>506</v>
      </c>
      <c r="D1512">
        <v>500</v>
      </c>
      <c r="E1512">
        <v>0.12</v>
      </c>
      <c r="F1512" s="2">
        <v>44840</v>
      </c>
      <c r="G1512" s="2" t="str">
        <f>TEXT(LayoffsData[[#This Row],[date]],"yyyy-mm")</f>
        <v>2022-10</v>
      </c>
      <c r="H1512" s="1" t="s">
        <v>11</v>
      </c>
      <c r="I1512" s="1" t="s">
        <v>17</v>
      </c>
      <c r="J1512">
        <v>1900</v>
      </c>
    </row>
    <row r="1513" spans="1:10" x14ac:dyDescent="0.25">
      <c r="A1513" s="1" t="s">
        <v>1470</v>
      </c>
      <c r="B1513" s="1" t="s">
        <v>32</v>
      </c>
      <c r="C1513" s="1" t="s">
        <v>506</v>
      </c>
      <c r="D1513">
        <v>784</v>
      </c>
      <c r="E1513">
        <v>0.13</v>
      </c>
      <c r="F1513" s="2">
        <v>44785</v>
      </c>
      <c r="G1513" s="2" t="str">
        <f>TEXT(LayoffsData[[#This Row],[date]],"yyyy-mm")</f>
        <v>2022-08</v>
      </c>
      <c r="H1513" s="1" t="s">
        <v>11</v>
      </c>
      <c r="I1513" s="1" t="s">
        <v>17</v>
      </c>
      <c r="J1513">
        <v>1900</v>
      </c>
    </row>
    <row r="1514" spans="1:10" x14ac:dyDescent="0.25">
      <c r="A1514" s="1" t="s">
        <v>1470</v>
      </c>
      <c r="B1514" s="1" t="s">
        <v>32</v>
      </c>
      <c r="C1514" s="1" t="s">
        <v>506</v>
      </c>
      <c r="D1514">
        <v>2800</v>
      </c>
      <c r="E1514">
        <v>0.2</v>
      </c>
      <c r="F1514" s="2">
        <v>44600</v>
      </c>
      <c r="G1514" s="2" t="str">
        <f>TEXT(LayoffsData[[#This Row],[date]],"yyyy-mm")</f>
        <v>2022-02</v>
      </c>
      <c r="H1514" s="1" t="s">
        <v>11</v>
      </c>
      <c r="I1514" s="1" t="s">
        <v>17</v>
      </c>
      <c r="J1514">
        <v>1900</v>
      </c>
    </row>
    <row r="1515" spans="1:10" x14ac:dyDescent="0.25">
      <c r="A1515" s="1" t="s">
        <v>1471</v>
      </c>
      <c r="B1515" s="1" t="s">
        <v>691</v>
      </c>
      <c r="C1515" s="1" t="s">
        <v>113</v>
      </c>
      <c r="D1515">
        <v>45</v>
      </c>
      <c r="E1515">
        <v>0.05</v>
      </c>
      <c r="F1515" s="2">
        <v>44811</v>
      </c>
      <c r="G1515" s="2" t="str">
        <f>TEXT(LayoffsData[[#This Row],[date]],"yyyy-mm")</f>
        <v>2022-09</v>
      </c>
      <c r="H1515" s="1" t="s">
        <v>86</v>
      </c>
      <c r="I1515" s="1" t="s">
        <v>17</v>
      </c>
      <c r="J1515">
        <v>469</v>
      </c>
    </row>
    <row r="1516" spans="1:10" x14ac:dyDescent="0.25">
      <c r="A1516" s="1" t="s">
        <v>1472</v>
      </c>
      <c r="B1516" s="1" t="s">
        <v>14</v>
      </c>
      <c r="C1516" s="1" t="s">
        <v>20</v>
      </c>
      <c r="D1516">
        <v>30</v>
      </c>
      <c r="E1516">
        <v>0.18</v>
      </c>
      <c r="F1516" s="2">
        <v>43938</v>
      </c>
      <c r="G1516" s="2" t="str">
        <f>TEXT(LayoffsData[[#This Row],[date]],"yyyy-mm")</f>
        <v>2020-04</v>
      </c>
      <c r="H1516" s="1" t="s">
        <v>28</v>
      </c>
      <c r="I1516" s="1" t="s">
        <v>17</v>
      </c>
      <c r="J1516">
        <v>100</v>
      </c>
    </row>
    <row r="1517" spans="1:10" x14ac:dyDescent="0.25">
      <c r="A1517" s="1" t="s">
        <v>1472</v>
      </c>
      <c r="B1517" s="1" t="s">
        <v>14</v>
      </c>
      <c r="C1517" s="1" t="s">
        <v>48</v>
      </c>
      <c r="F1517" s="2">
        <v>44764</v>
      </c>
      <c r="G1517" s="2" t="str">
        <f>TEXT(LayoffsData[[#This Row],[date]],"yyyy-mm")</f>
        <v>2022-07</v>
      </c>
      <c r="H1517" s="1" t="s">
        <v>33</v>
      </c>
      <c r="I1517" s="1" t="s">
        <v>17</v>
      </c>
      <c r="J1517">
        <v>200</v>
      </c>
    </row>
    <row r="1518" spans="1:10" x14ac:dyDescent="0.25">
      <c r="A1518" s="1" t="s">
        <v>1473</v>
      </c>
      <c r="B1518" s="1" t="s">
        <v>14</v>
      </c>
      <c r="C1518" s="1" t="s">
        <v>147</v>
      </c>
      <c r="F1518" s="2">
        <v>43924</v>
      </c>
      <c r="G1518" s="2" t="str">
        <f>TEXT(LayoffsData[[#This Row],[date]],"yyyy-mm")</f>
        <v>2020-04</v>
      </c>
      <c r="H1518" s="1" t="s">
        <v>21</v>
      </c>
      <c r="I1518" s="1" t="s">
        <v>17</v>
      </c>
      <c r="J1518">
        <v>7</v>
      </c>
    </row>
    <row r="1519" spans="1:10" x14ac:dyDescent="0.25">
      <c r="A1519" s="1" t="s">
        <v>1474</v>
      </c>
      <c r="B1519" s="1" t="s">
        <v>73</v>
      </c>
      <c r="C1519" s="1" t="s">
        <v>10</v>
      </c>
      <c r="E1519">
        <v>1</v>
      </c>
      <c r="F1519" s="2">
        <v>44774</v>
      </c>
      <c r="G1519" s="2" t="str">
        <f>TEXT(LayoffsData[[#This Row],[date]],"yyyy-mm")</f>
        <v>2022-08</v>
      </c>
      <c r="H1519" s="1" t="s">
        <v>21</v>
      </c>
      <c r="I1519" s="1" t="s">
        <v>17</v>
      </c>
      <c r="J1519">
        <v>20</v>
      </c>
    </row>
    <row r="1520" spans="1:10" x14ac:dyDescent="0.25">
      <c r="A1520" s="1" t="s">
        <v>1475</v>
      </c>
      <c r="B1520" s="1" t="s">
        <v>168</v>
      </c>
      <c r="C1520" s="1" t="s">
        <v>172</v>
      </c>
      <c r="D1520">
        <v>20</v>
      </c>
      <c r="E1520">
        <v>0.08</v>
      </c>
      <c r="F1520" s="2">
        <v>44901</v>
      </c>
      <c r="G1520" s="2" t="str">
        <f>TEXT(LayoffsData[[#This Row],[date]],"yyyy-mm")</f>
        <v>2022-12</v>
      </c>
      <c r="H1520" s="1" t="s">
        <v>28</v>
      </c>
      <c r="I1520" s="1" t="s">
        <v>170</v>
      </c>
      <c r="J1520">
        <v>165</v>
      </c>
    </row>
    <row r="1521" spans="1:10" x14ac:dyDescent="0.25">
      <c r="A1521" s="1" t="s">
        <v>1476</v>
      </c>
      <c r="B1521" s="1" t="s">
        <v>168</v>
      </c>
      <c r="C1521" s="1" t="s">
        <v>20</v>
      </c>
      <c r="D1521">
        <v>20</v>
      </c>
      <c r="E1521">
        <v>0.05</v>
      </c>
      <c r="F1521" s="2">
        <v>44781</v>
      </c>
      <c r="G1521" s="2" t="str">
        <f>TEXT(LayoffsData[[#This Row],[date]],"yyyy-mm")</f>
        <v>2022-08</v>
      </c>
      <c r="H1521" s="1" t="s">
        <v>11</v>
      </c>
      <c r="I1521" s="1" t="s">
        <v>170</v>
      </c>
      <c r="J1521">
        <v>76</v>
      </c>
    </row>
    <row r="1522" spans="1:10" x14ac:dyDescent="0.25">
      <c r="A1522" s="1" t="s">
        <v>1477</v>
      </c>
      <c r="B1522" s="1" t="s">
        <v>200</v>
      </c>
      <c r="C1522" s="1" t="s">
        <v>147</v>
      </c>
      <c r="F1522" s="2">
        <v>44039</v>
      </c>
      <c r="G1522" s="2" t="str">
        <f>TEXT(LayoffsData[[#This Row],[date]],"yyyy-mm")</f>
        <v>2020-07</v>
      </c>
      <c r="H1522" s="1" t="s">
        <v>37</v>
      </c>
      <c r="I1522" s="1" t="s">
        <v>201</v>
      </c>
      <c r="J1522">
        <v>30</v>
      </c>
    </row>
    <row r="1523" spans="1:10" x14ac:dyDescent="0.25">
      <c r="A1523" s="1" t="s">
        <v>1478</v>
      </c>
      <c r="B1523" s="1" t="s">
        <v>76</v>
      </c>
      <c r="C1523" s="1" t="s">
        <v>147</v>
      </c>
      <c r="D1523">
        <v>10</v>
      </c>
      <c r="E1523">
        <v>0.1</v>
      </c>
      <c r="F1523" s="2">
        <v>43927</v>
      </c>
      <c r="G1523" s="2" t="str">
        <f>TEXT(LayoffsData[[#This Row],[date]],"yyyy-mm")</f>
        <v>2020-04</v>
      </c>
      <c r="H1523" s="1" t="s">
        <v>105</v>
      </c>
      <c r="I1523" s="1" t="s">
        <v>17</v>
      </c>
      <c r="J1523">
        <v>50</v>
      </c>
    </row>
    <row r="1524" spans="1:10" x14ac:dyDescent="0.25">
      <c r="A1524" s="1" t="s">
        <v>1479</v>
      </c>
      <c r="B1524" s="1" t="s">
        <v>200</v>
      </c>
      <c r="C1524" s="1" t="s">
        <v>20</v>
      </c>
      <c r="D1524">
        <v>30</v>
      </c>
      <c r="E1524">
        <v>0.12</v>
      </c>
      <c r="F1524" s="2">
        <v>44783</v>
      </c>
      <c r="G1524" s="2" t="str">
        <f>TEXT(LayoffsData[[#This Row],[date]],"yyyy-mm")</f>
        <v>2022-08</v>
      </c>
      <c r="H1524" s="1" t="s">
        <v>28</v>
      </c>
      <c r="I1524" s="1" t="s">
        <v>201</v>
      </c>
      <c r="J1524">
        <v>105</v>
      </c>
    </row>
    <row r="1525" spans="1:10" x14ac:dyDescent="0.25">
      <c r="A1525" s="1" t="s">
        <v>1480</v>
      </c>
      <c r="B1525" s="1" t="s">
        <v>14</v>
      </c>
      <c r="C1525" s="1" t="s">
        <v>15</v>
      </c>
      <c r="E1525">
        <v>0.3</v>
      </c>
      <c r="F1525" s="2">
        <v>44945</v>
      </c>
      <c r="G1525" s="2" t="str">
        <f>TEXT(LayoffsData[[#This Row],[date]],"yyyy-mm")</f>
        <v>2023-01</v>
      </c>
      <c r="H1525" s="1" t="s">
        <v>11</v>
      </c>
      <c r="I1525" s="1" t="s">
        <v>17</v>
      </c>
      <c r="J1525">
        <v>225</v>
      </c>
    </row>
    <row r="1526" spans="1:10" x14ac:dyDescent="0.25">
      <c r="A1526" s="1" t="s">
        <v>1481</v>
      </c>
      <c r="B1526" s="1" t="s">
        <v>32</v>
      </c>
      <c r="C1526" s="1" t="s">
        <v>53</v>
      </c>
      <c r="D1526">
        <v>30</v>
      </c>
      <c r="E1526">
        <v>0.08</v>
      </c>
      <c r="F1526" s="2">
        <v>44931</v>
      </c>
      <c r="G1526" s="2" t="str">
        <f>TEXT(LayoffsData[[#This Row],[date]],"yyyy-mm")</f>
        <v>2023-01</v>
      </c>
      <c r="H1526" s="1" t="s">
        <v>105</v>
      </c>
      <c r="I1526" s="1" t="s">
        <v>17</v>
      </c>
      <c r="J1526">
        <v>178</v>
      </c>
    </row>
    <row r="1527" spans="1:10" x14ac:dyDescent="0.25">
      <c r="A1527" s="1" t="s">
        <v>1482</v>
      </c>
      <c r="B1527" s="1" t="s">
        <v>44</v>
      </c>
      <c r="C1527" s="1" t="s">
        <v>15</v>
      </c>
      <c r="F1527" s="2">
        <v>44744</v>
      </c>
      <c r="G1527" s="2" t="str">
        <f>TEXT(LayoffsData[[#This Row],[date]],"yyyy-mm")</f>
        <v>2022-07</v>
      </c>
      <c r="H1527" s="1" t="s">
        <v>131</v>
      </c>
      <c r="I1527" s="1" t="s">
        <v>46</v>
      </c>
      <c r="J1527">
        <v>2</v>
      </c>
    </row>
    <row r="1528" spans="1:10" x14ac:dyDescent="0.25">
      <c r="A1528" s="1" t="s">
        <v>1483</v>
      </c>
      <c r="B1528" s="1" t="s">
        <v>14</v>
      </c>
      <c r="C1528" s="1" t="s">
        <v>149</v>
      </c>
      <c r="E1528">
        <v>1</v>
      </c>
      <c r="F1528" s="2">
        <v>44827</v>
      </c>
      <c r="G1528" s="2" t="str">
        <f>TEXT(LayoffsData[[#This Row],[date]],"yyyy-mm")</f>
        <v>2022-09</v>
      </c>
      <c r="H1528" s="1" t="s">
        <v>131</v>
      </c>
      <c r="I1528" s="1" t="s">
        <v>17</v>
      </c>
      <c r="J1528">
        <v>6</v>
      </c>
    </row>
    <row r="1529" spans="1:10" x14ac:dyDescent="0.25">
      <c r="A1529" s="1" t="s">
        <v>1484</v>
      </c>
      <c r="B1529" s="1" t="s">
        <v>32</v>
      </c>
      <c r="C1529" s="1" t="s">
        <v>68</v>
      </c>
      <c r="F1529" s="2">
        <v>43963</v>
      </c>
      <c r="G1529" s="2" t="str">
        <f>TEXT(LayoffsData[[#This Row],[date]],"yyyy-mm")</f>
        <v>2020-05</v>
      </c>
      <c r="H1529" s="1" t="s">
        <v>24</v>
      </c>
      <c r="I1529" s="1" t="s">
        <v>17</v>
      </c>
      <c r="J1529">
        <v>47</v>
      </c>
    </row>
    <row r="1530" spans="1:10" x14ac:dyDescent="0.25">
      <c r="A1530" s="1" t="s">
        <v>1484</v>
      </c>
      <c r="B1530" s="1" t="s">
        <v>32</v>
      </c>
      <c r="C1530" s="1" t="s">
        <v>68</v>
      </c>
      <c r="F1530" s="2">
        <v>44791</v>
      </c>
      <c r="G1530" s="2" t="str">
        <f>TEXT(LayoffsData[[#This Row],[date]],"yyyy-mm")</f>
        <v>2022-08</v>
      </c>
      <c r="H1530" s="1" t="s">
        <v>33</v>
      </c>
      <c r="I1530" s="1" t="s">
        <v>17</v>
      </c>
      <c r="J1530">
        <v>704</v>
      </c>
    </row>
    <row r="1531" spans="1:10" x14ac:dyDescent="0.25">
      <c r="A1531" s="1" t="s">
        <v>1485</v>
      </c>
      <c r="B1531" s="1" t="s">
        <v>35</v>
      </c>
      <c r="C1531" s="1" t="s">
        <v>29</v>
      </c>
      <c r="D1531">
        <v>94</v>
      </c>
      <c r="F1531" s="2">
        <v>44970</v>
      </c>
      <c r="G1531" s="2" t="str">
        <f>TEXT(LayoffsData[[#This Row],[date]],"yyyy-mm")</f>
        <v>2023-02</v>
      </c>
      <c r="H1531" s="1" t="s">
        <v>28</v>
      </c>
      <c r="I1531" s="1" t="s">
        <v>38</v>
      </c>
      <c r="J1531">
        <v>225</v>
      </c>
    </row>
    <row r="1532" spans="1:10" x14ac:dyDescent="0.25">
      <c r="A1532" s="1" t="s">
        <v>1486</v>
      </c>
      <c r="B1532" s="1" t="s">
        <v>293</v>
      </c>
      <c r="C1532" s="1" t="s">
        <v>15</v>
      </c>
      <c r="E1532">
        <v>0.7</v>
      </c>
      <c r="F1532" s="2">
        <v>44971</v>
      </c>
      <c r="G1532" s="2" t="str">
        <f>TEXT(LayoffsData[[#This Row],[date]],"yyyy-mm")</f>
        <v>2023-02</v>
      </c>
      <c r="H1532" s="1" t="s">
        <v>24</v>
      </c>
      <c r="I1532" s="1" t="s">
        <v>69</v>
      </c>
      <c r="J1532">
        <v>40</v>
      </c>
    </row>
    <row r="1533" spans="1:10" x14ac:dyDescent="0.25">
      <c r="A1533" s="1" t="s">
        <v>1487</v>
      </c>
      <c r="B1533" s="1" t="s">
        <v>67</v>
      </c>
      <c r="C1533" s="1" t="s">
        <v>15</v>
      </c>
      <c r="F1533" s="2">
        <v>44905</v>
      </c>
      <c r="G1533" s="2" t="str">
        <f>TEXT(LayoffsData[[#This Row],[date]],"yyyy-mm")</f>
        <v>2022-12</v>
      </c>
      <c r="H1533" s="1" t="s">
        <v>37</v>
      </c>
      <c r="I1533" s="1" t="s">
        <v>69</v>
      </c>
      <c r="J1533">
        <v>1600</v>
      </c>
    </row>
    <row r="1534" spans="1:10" x14ac:dyDescent="0.25">
      <c r="A1534" s="1" t="s">
        <v>1487</v>
      </c>
      <c r="B1534" s="1" t="s">
        <v>67</v>
      </c>
      <c r="C1534" s="1" t="s">
        <v>15</v>
      </c>
      <c r="D1534">
        <v>40</v>
      </c>
      <c r="F1534" s="2">
        <v>44728</v>
      </c>
      <c r="G1534" s="2" t="str">
        <f>TEXT(LayoffsData[[#This Row],[date]],"yyyy-mm")</f>
        <v>2022-06</v>
      </c>
      <c r="H1534" s="1" t="s">
        <v>37</v>
      </c>
      <c r="I1534" s="1" t="s">
        <v>69</v>
      </c>
      <c r="J1534">
        <v>1600</v>
      </c>
    </row>
    <row r="1535" spans="1:10" x14ac:dyDescent="0.25">
      <c r="A1535" s="1" t="s">
        <v>1488</v>
      </c>
      <c r="B1535" s="1" t="s">
        <v>349</v>
      </c>
      <c r="C1535" s="1" t="s">
        <v>15</v>
      </c>
      <c r="D1535">
        <v>4000</v>
      </c>
      <c r="E1535">
        <v>0.05</v>
      </c>
      <c r="F1535" s="2">
        <v>44858</v>
      </c>
      <c r="G1535" s="2" t="str">
        <f>TEXT(LayoffsData[[#This Row],[date]],"yyyy-mm")</f>
        <v>2022-10</v>
      </c>
      <c r="H1535" s="1" t="s">
        <v>11</v>
      </c>
      <c r="I1535" s="1" t="s">
        <v>350</v>
      </c>
    </row>
    <row r="1536" spans="1:10" x14ac:dyDescent="0.25">
      <c r="A1536" s="1" t="s">
        <v>1488</v>
      </c>
      <c r="B1536" s="1" t="s">
        <v>349</v>
      </c>
      <c r="C1536" s="1" t="s">
        <v>15</v>
      </c>
      <c r="D1536">
        <v>6000</v>
      </c>
      <c r="E1536">
        <v>0.13</v>
      </c>
      <c r="F1536" s="2">
        <v>44956</v>
      </c>
      <c r="G1536" s="2" t="str">
        <f>TEXT(LayoffsData[[#This Row],[date]],"yyyy-mm")</f>
        <v>2023-01</v>
      </c>
      <c r="H1536" s="1" t="s">
        <v>11</v>
      </c>
      <c r="I1536" s="1" t="s">
        <v>350</v>
      </c>
    </row>
    <row r="1537" spans="1:10" x14ac:dyDescent="0.25">
      <c r="A1537" s="1" t="s">
        <v>1489</v>
      </c>
      <c r="B1537" s="1" t="s">
        <v>188</v>
      </c>
      <c r="C1537" s="1" t="s">
        <v>84</v>
      </c>
      <c r="D1537">
        <v>70</v>
      </c>
      <c r="E1537">
        <v>0.35</v>
      </c>
      <c r="F1537" s="2">
        <v>43972</v>
      </c>
      <c r="G1537" s="2" t="str">
        <f>TEXT(LayoffsData[[#This Row],[date]],"yyyy-mm")</f>
        <v>2020-05</v>
      </c>
      <c r="H1537" s="1" t="s">
        <v>21</v>
      </c>
      <c r="I1537" s="1" t="s">
        <v>69</v>
      </c>
      <c r="J1537">
        <v>3</v>
      </c>
    </row>
    <row r="1538" spans="1:10" x14ac:dyDescent="0.25">
      <c r="A1538" s="1" t="s">
        <v>1490</v>
      </c>
      <c r="B1538" s="1" t="s">
        <v>55</v>
      </c>
      <c r="C1538" s="1" t="s">
        <v>51</v>
      </c>
      <c r="F1538" s="2">
        <v>44958</v>
      </c>
      <c r="G1538" s="2" t="str">
        <f>TEXT(LayoffsData[[#This Row],[date]],"yyyy-mm")</f>
        <v>2023-02</v>
      </c>
      <c r="H1538" s="1" t="s">
        <v>37</v>
      </c>
      <c r="I1538" s="1" t="s">
        <v>17</v>
      </c>
      <c r="J1538">
        <v>52</v>
      </c>
    </row>
    <row r="1539" spans="1:10" x14ac:dyDescent="0.25">
      <c r="A1539" s="1" t="s">
        <v>1491</v>
      </c>
      <c r="B1539" s="1" t="s">
        <v>14</v>
      </c>
      <c r="C1539" s="1" t="s">
        <v>149</v>
      </c>
      <c r="D1539">
        <v>400</v>
      </c>
      <c r="E1539">
        <v>0.2</v>
      </c>
      <c r="F1539" s="2">
        <v>44973</v>
      </c>
      <c r="G1539" s="2" t="str">
        <f>TEXT(LayoffsData[[#This Row],[date]],"yyyy-mm")</f>
        <v>2023-02</v>
      </c>
      <c r="H1539" s="1" t="s">
        <v>57</v>
      </c>
      <c r="I1539" s="1" t="s">
        <v>17</v>
      </c>
      <c r="J1539">
        <v>62</v>
      </c>
    </row>
    <row r="1540" spans="1:10" x14ac:dyDescent="0.25">
      <c r="A1540" s="1" t="s">
        <v>1492</v>
      </c>
      <c r="B1540" s="1" t="s">
        <v>55</v>
      </c>
      <c r="C1540" s="1" t="s">
        <v>51</v>
      </c>
      <c r="E1540">
        <v>1</v>
      </c>
      <c r="F1540" s="2">
        <v>43951</v>
      </c>
      <c r="G1540" s="2" t="str">
        <f>TEXT(LayoffsData[[#This Row],[date]],"yyyy-mm")</f>
        <v>2020-04</v>
      </c>
      <c r="H1540" s="1" t="s">
        <v>21</v>
      </c>
      <c r="I1540" s="1" t="s">
        <v>17</v>
      </c>
      <c r="J1540">
        <v>15</v>
      </c>
    </row>
    <row r="1541" spans="1:10" x14ac:dyDescent="0.25">
      <c r="A1541" s="1" t="s">
        <v>1493</v>
      </c>
      <c r="B1541" s="1" t="s">
        <v>182</v>
      </c>
      <c r="C1541" s="1" t="s">
        <v>27</v>
      </c>
      <c r="D1541">
        <v>90</v>
      </c>
      <c r="E1541">
        <v>0.08</v>
      </c>
      <c r="F1541" s="2">
        <v>44698</v>
      </c>
      <c r="G1541" s="2" t="str">
        <f>TEXT(LayoffsData[[#This Row],[date]],"yyyy-mm")</f>
        <v>2022-05</v>
      </c>
      <c r="H1541" s="1" t="s">
        <v>28</v>
      </c>
      <c r="I1541" s="1" t="s">
        <v>17</v>
      </c>
      <c r="J1541">
        <v>195</v>
      </c>
    </row>
    <row r="1542" spans="1:10" x14ac:dyDescent="0.25">
      <c r="A1542" s="1" t="s">
        <v>1494</v>
      </c>
      <c r="B1542" s="1" t="s">
        <v>35</v>
      </c>
      <c r="C1542" s="1" t="s">
        <v>68</v>
      </c>
      <c r="D1542">
        <v>111</v>
      </c>
      <c r="E1542">
        <v>0.39</v>
      </c>
      <c r="F1542" s="2">
        <v>44938</v>
      </c>
      <c r="G1542" s="2" t="str">
        <f>TEXT(LayoffsData[[#This Row],[date]],"yyyy-mm")</f>
        <v>2023-01</v>
      </c>
      <c r="H1542" s="1" t="s">
        <v>24</v>
      </c>
      <c r="I1542" s="1" t="s">
        <v>38</v>
      </c>
      <c r="J1542">
        <v>42</v>
      </c>
    </row>
    <row r="1543" spans="1:10" x14ac:dyDescent="0.25">
      <c r="A1543" s="1" t="s">
        <v>1495</v>
      </c>
      <c r="B1543" s="1" t="s">
        <v>14</v>
      </c>
      <c r="C1543" s="1" t="s">
        <v>27</v>
      </c>
      <c r="F1543" s="2">
        <v>44895</v>
      </c>
      <c r="G1543" s="2" t="str">
        <f>TEXT(LayoffsData[[#This Row],[date]],"yyyy-mm")</f>
        <v>2022-11</v>
      </c>
      <c r="H1543" s="1" t="s">
        <v>11</v>
      </c>
      <c r="I1543" s="1" t="s">
        <v>17</v>
      </c>
      <c r="J1543">
        <v>1500</v>
      </c>
    </row>
    <row r="1544" spans="1:10" x14ac:dyDescent="0.25">
      <c r="A1544" s="1" t="s">
        <v>1495</v>
      </c>
      <c r="B1544" s="1" t="s">
        <v>14</v>
      </c>
      <c r="C1544" s="1" t="s">
        <v>27</v>
      </c>
      <c r="D1544">
        <v>150</v>
      </c>
      <c r="F1544" s="2">
        <v>44958</v>
      </c>
      <c r="G1544" s="2" t="str">
        <f>TEXT(LayoffsData[[#This Row],[date]],"yyyy-mm")</f>
        <v>2023-02</v>
      </c>
      <c r="H1544" s="1" t="s">
        <v>11</v>
      </c>
      <c r="I1544" s="1" t="s">
        <v>17</v>
      </c>
      <c r="J1544">
        <v>1500</v>
      </c>
    </row>
    <row r="1545" spans="1:10" x14ac:dyDescent="0.25">
      <c r="A1545" s="1" t="s">
        <v>1496</v>
      </c>
      <c r="B1545" s="1" t="s">
        <v>1497</v>
      </c>
      <c r="C1545" s="1" t="s">
        <v>48</v>
      </c>
      <c r="D1545">
        <v>31</v>
      </c>
      <c r="F1545" s="2">
        <v>43956</v>
      </c>
      <c r="G1545" s="2" t="str">
        <f>TEXT(LayoffsData[[#This Row],[date]],"yyyy-mm")</f>
        <v>2020-05</v>
      </c>
      <c r="H1545" s="1" t="s">
        <v>28</v>
      </c>
      <c r="I1545" s="1" t="s">
        <v>1498</v>
      </c>
      <c r="J1545">
        <v>90</v>
      </c>
    </row>
    <row r="1546" spans="1:10" x14ac:dyDescent="0.25">
      <c r="A1546" s="1" t="s">
        <v>1496</v>
      </c>
      <c r="B1546" s="1" t="s">
        <v>1497</v>
      </c>
      <c r="C1546" s="1" t="s">
        <v>48</v>
      </c>
      <c r="D1546">
        <v>143</v>
      </c>
      <c r="E1546">
        <v>0.15</v>
      </c>
      <c r="F1546" s="2">
        <v>44879</v>
      </c>
      <c r="G1546" s="2" t="str">
        <f>TEXT(LayoffsData[[#This Row],[date]],"yyyy-mm")</f>
        <v>2022-11</v>
      </c>
      <c r="H1546" s="1" t="s">
        <v>105</v>
      </c>
      <c r="I1546" s="1" t="s">
        <v>1498</v>
      </c>
      <c r="J1546">
        <v>90</v>
      </c>
    </row>
    <row r="1547" spans="1:10" x14ac:dyDescent="0.25">
      <c r="A1547" s="1" t="s">
        <v>1499</v>
      </c>
      <c r="B1547" s="1" t="s">
        <v>1500</v>
      </c>
      <c r="C1547" s="1" t="s">
        <v>172</v>
      </c>
      <c r="D1547">
        <v>22</v>
      </c>
      <c r="E1547">
        <v>0.13</v>
      </c>
      <c r="F1547" s="2">
        <v>44735</v>
      </c>
      <c r="G1547" s="2" t="str">
        <f>TEXT(LayoffsData[[#This Row],[date]],"yyyy-mm")</f>
        <v>2022-06</v>
      </c>
      <c r="H1547" s="1" t="s">
        <v>37</v>
      </c>
      <c r="I1547" s="1" t="s">
        <v>17</v>
      </c>
      <c r="J1547">
        <v>19</v>
      </c>
    </row>
    <row r="1548" spans="1:10" x14ac:dyDescent="0.25">
      <c r="A1548" s="1" t="s">
        <v>1501</v>
      </c>
      <c r="B1548" s="1" t="s">
        <v>79</v>
      </c>
      <c r="C1548" s="1" t="s">
        <v>20</v>
      </c>
      <c r="D1548">
        <v>59</v>
      </c>
      <c r="E1548">
        <v>0.3</v>
      </c>
      <c r="F1548" s="2">
        <v>44818</v>
      </c>
      <c r="G1548" s="2" t="str">
        <f>TEXT(LayoffsData[[#This Row],[date]],"yyyy-mm")</f>
        <v>2022-09</v>
      </c>
      <c r="H1548" s="1" t="s">
        <v>24</v>
      </c>
      <c r="I1548" s="1" t="s">
        <v>80</v>
      </c>
      <c r="J1548">
        <v>137</v>
      </c>
    </row>
    <row r="1549" spans="1:10" x14ac:dyDescent="0.25">
      <c r="A1549" s="1" t="s">
        <v>1502</v>
      </c>
      <c r="B1549" s="1" t="s">
        <v>137</v>
      </c>
      <c r="C1549" s="1" t="s">
        <v>124</v>
      </c>
      <c r="F1549" s="2">
        <v>43917</v>
      </c>
      <c r="G1549" s="2" t="str">
        <f>TEXT(LayoffsData[[#This Row],[date]],"yyyy-mm")</f>
        <v>2020-03</v>
      </c>
      <c r="H1549" s="1" t="s">
        <v>414</v>
      </c>
      <c r="I1549" s="1" t="s">
        <v>17</v>
      </c>
      <c r="J1549">
        <v>273</v>
      </c>
    </row>
    <row r="1550" spans="1:10" x14ac:dyDescent="0.25">
      <c r="A1550" s="1" t="s">
        <v>1503</v>
      </c>
      <c r="B1550" s="1" t="s">
        <v>14</v>
      </c>
      <c r="C1550" s="1" t="s">
        <v>51</v>
      </c>
      <c r="F1550" s="2">
        <v>44797</v>
      </c>
      <c r="G1550" s="2" t="str">
        <f>TEXT(LayoffsData[[#This Row],[date]],"yyyy-mm")</f>
        <v>2022-08</v>
      </c>
      <c r="H1550" s="1" t="s">
        <v>37</v>
      </c>
      <c r="I1550" s="1" t="s">
        <v>17</v>
      </c>
    </row>
    <row r="1551" spans="1:10" x14ac:dyDescent="0.25">
      <c r="A1551" s="1" t="s">
        <v>1504</v>
      </c>
      <c r="B1551" s="1" t="s">
        <v>14</v>
      </c>
      <c r="C1551" s="1" t="s">
        <v>68</v>
      </c>
      <c r="D1551">
        <v>260</v>
      </c>
      <c r="E1551">
        <v>0.2</v>
      </c>
      <c r="F1551" s="2">
        <v>44902</v>
      </c>
      <c r="G1551" s="2" t="str">
        <f>TEXT(LayoffsData[[#This Row],[date]],"yyyy-mm")</f>
        <v>2022-12</v>
      </c>
      <c r="H1551" s="1" t="s">
        <v>33</v>
      </c>
      <c r="I1551" s="1" t="s">
        <v>17</v>
      </c>
      <c r="J1551">
        <v>734</v>
      </c>
    </row>
    <row r="1552" spans="1:10" x14ac:dyDescent="0.25">
      <c r="A1552" s="1" t="s">
        <v>1505</v>
      </c>
      <c r="B1552" s="1" t="s">
        <v>79</v>
      </c>
      <c r="C1552" s="1" t="s">
        <v>149</v>
      </c>
      <c r="D1552">
        <v>200</v>
      </c>
      <c r="E1552">
        <v>1</v>
      </c>
      <c r="F1552" s="2">
        <v>44869</v>
      </c>
      <c r="G1552" s="2" t="str">
        <f>TEXT(LayoffsData[[#This Row],[date]],"yyyy-mm")</f>
        <v>2022-11</v>
      </c>
      <c r="H1552" s="1" t="s">
        <v>57</v>
      </c>
      <c r="I1552" s="1" t="s">
        <v>80</v>
      </c>
      <c r="J1552">
        <v>5</v>
      </c>
    </row>
    <row r="1553" spans="1:10" x14ac:dyDescent="0.25">
      <c r="A1553" s="1" t="s">
        <v>1506</v>
      </c>
      <c r="B1553" s="1" t="s">
        <v>14</v>
      </c>
      <c r="C1553" s="1" t="s">
        <v>147</v>
      </c>
      <c r="D1553">
        <v>29</v>
      </c>
      <c r="E1553">
        <v>0.5</v>
      </c>
      <c r="F1553" s="2">
        <v>44796</v>
      </c>
      <c r="G1553" s="2" t="str">
        <f>TEXT(LayoffsData[[#This Row],[date]],"yyyy-mm")</f>
        <v>2022-08</v>
      </c>
      <c r="H1553" s="1" t="s">
        <v>131</v>
      </c>
      <c r="I1553" s="1" t="s">
        <v>17</v>
      </c>
      <c r="J1553">
        <v>3</v>
      </c>
    </row>
    <row r="1554" spans="1:10" x14ac:dyDescent="0.25">
      <c r="A1554" s="1" t="s">
        <v>1507</v>
      </c>
      <c r="B1554" s="1" t="s">
        <v>32</v>
      </c>
      <c r="C1554" s="1" t="s">
        <v>27</v>
      </c>
      <c r="D1554">
        <v>65</v>
      </c>
      <c r="E1554">
        <v>1</v>
      </c>
      <c r="F1554" s="2">
        <v>44847</v>
      </c>
      <c r="G1554" s="2" t="str">
        <f>TEXT(LayoffsData[[#This Row],[date]],"yyyy-mm")</f>
        <v>2022-10</v>
      </c>
      <c r="H1554" s="1" t="s">
        <v>57</v>
      </c>
      <c r="I1554" s="1" t="s">
        <v>17</v>
      </c>
      <c r="J1554">
        <v>10</v>
      </c>
    </row>
    <row r="1555" spans="1:10" x14ac:dyDescent="0.25">
      <c r="A1555" s="1" t="s">
        <v>1508</v>
      </c>
      <c r="B1555" s="1" t="s">
        <v>168</v>
      </c>
      <c r="C1555" s="1" t="s">
        <v>27</v>
      </c>
      <c r="D1555">
        <v>250</v>
      </c>
      <c r="E1555">
        <v>0.06</v>
      </c>
      <c r="F1555" s="2">
        <v>44712</v>
      </c>
      <c r="G1555" s="2" t="str">
        <f>TEXT(LayoffsData[[#This Row],[date]],"yyyy-mm")</f>
        <v>2022-05</v>
      </c>
      <c r="H1555" s="1" t="s">
        <v>11</v>
      </c>
      <c r="I1555" s="1" t="s">
        <v>170</v>
      </c>
    </row>
    <row r="1556" spans="1:10" x14ac:dyDescent="0.25">
      <c r="A1556" s="1" t="s">
        <v>1508</v>
      </c>
      <c r="B1556" s="1" t="s">
        <v>168</v>
      </c>
      <c r="C1556" s="1" t="s">
        <v>27</v>
      </c>
      <c r="D1556">
        <v>600</v>
      </c>
      <c r="E1556">
        <v>0.15</v>
      </c>
      <c r="F1556" s="2">
        <v>44904</v>
      </c>
      <c r="G1556" s="2" t="str">
        <f>TEXT(LayoffsData[[#This Row],[date]],"yyyy-mm")</f>
        <v>2022-12</v>
      </c>
      <c r="H1556" s="1" t="s">
        <v>11</v>
      </c>
      <c r="I1556" s="1" t="s">
        <v>170</v>
      </c>
    </row>
    <row r="1557" spans="1:10" x14ac:dyDescent="0.25">
      <c r="A1557" s="1" t="s">
        <v>1509</v>
      </c>
      <c r="B1557" s="1" t="s">
        <v>115</v>
      </c>
      <c r="C1557" s="1" t="s">
        <v>68</v>
      </c>
      <c r="D1557">
        <v>150</v>
      </c>
      <c r="E1557">
        <v>0.15</v>
      </c>
      <c r="F1557" s="2">
        <v>44868</v>
      </c>
      <c r="G1557" s="2" t="str">
        <f>TEXT(LayoffsData[[#This Row],[date]],"yyyy-mm")</f>
        <v>2022-11</v>
      </c>
      <c r="H1557" s="1" t="s">
        <v>28</v>
      </c>
      <c r="I1557" s="1" t="s">
        <v>17</v>
      </c>
      <c r="J1557">
        <v>428</v>
      </c>
    </row>
    <row r="1558" spans="1:10" x14ac:dyDescent="0.25">
      <c r="A1558" s="1" t="s">
        <v>1510</v>
      </c>
      <c r="B1558" s="1" t="s">
        <v>1118</v>
      </c>
      <c r="C1558" s="1" t="s">
        <v>68</v>
      </c>
      <c r="E1558">
        <v>0.4</v>
      </c>
      <c r="F1558" s="2">
        <v>44894</v>
      </c>
      <c r="G1558" s="2" t="str">
        <f>TEXT(LayoffsData[[#This Row],[date]],"yyyy-mm")</f>
        <v>2022-11</v>
      </c>
      <c r="H1558" s="1" t="s">
        <v>21</v>
      </c>
      <c r="I1558" s="1" t="s">
        <v>316</v>
      </c>
      <c r="J1558">
        <v>13</v>
      </c>
    </row>
    <row r="1559" spans="1:10" x14ac:dyDescent="0.25">
      <c r="A1559" s="1" t="s">
        <v>1511</v>
      </c>
      <c r="B1559" s="1" t="s">
        <v>168</v>
      </c>
      <c r="C1559" s="1" t="s">
        <v>74</v>
      </c>
      <c r="D1559">
        <v>12</v>
      </c>
      <c r="E1559">
        <v>0.09</v>
      </c>
      <c r="F1559" s="2">
        <v>44789</v>
      </c>
      <c r="G1559" s="2" t="str">
        <f>TEXT(LayoffsData[[#This Row],[date]],"yyyy-mm")</f>
        <v>2022-08</v>
      </c>
      <c r="H1559" s="1" t="s">
        <v>33</v>
      </c>
      <c r="I1559" s="1" t="s">
        <v>170</v>
      </c>
      <c r="J1559">
        <v>205</v>
      </c>
    </row>
    <row r="1560" spans="1:10" x14ac:dyDescent="0.25">
      <c r="A1560" s="1" t="s">
        <v>1512</v>
      </c>
      <c r="B1560" s="1" t="s">
        <v>293</v>
      </c>
      <c r="C1560" s="1" t="s">
        <v>15</v>
      </c>
      <c r="D1560">
        <v>36</v>
      </c>
      <c r="E1560">
        <v>0.1</v>
      </c>
      <c r="F1560" s="2">
        <v>44874</v>
      </c>
      <c r="G1560" s="2" t="str">
        <f>TEXT(LayoffsData[[#This Row],[date]],"yyyy-mm")</f>
        <v>2022-11</v>
      </c>
      <c r="H1560" s="1" t="s">
        <v>21</v>
      </c>
      <c r="I1560" s="1" t="s">
        <v>69</v>
      </c>
      <c r="J1560">
        <v>20</v>
      </c>
    </row>
    <row r="1561" spans="1:10" x14ac:dyDescent="0.25">
      <c r="A1561" s="1" t="s">
        <v>1513</v>
      </c>
      <c r="B1561" s="1" t="s">
        <v>92</v>
      </c>
      <c r="C1561" s="1" t="s">
        <v>41</v>
      </c>
      <c r="D1561">
        <v>400</v>
      </c>
      <c r="E1561">
        <v>0.2</v>
      </c>
      <c r="F1561" s="2">
        <v>44907</v>
      </c>
      <c r="G1561" s="2" t="str">
        <f>TEXT(LayoffsData[[#This Row],[date]],"yyyy-mm")</f>
        <v>2022-12</v>
      </c>
      <c r="H1561" s="1" t="s">
        <v>57</v>
      </c>
      <c r="I1561" s="1" t="s">
        <v>17</v>
      </c>
      <c r="J1561">
        <v>192</v>
      </c>
    </row>
    <row r="1562" spans="1:10" x14ac:dyDescent="0.25">
      <c r="A1562" s="1" t="s">
        <v>1514</v>
      </c>
      <c r="B1562" s="1" t="s">
        <v>1515</v>
      </c>
      <c r="C1562" s="1" t="s">
        <v>149</v>
      </c>
      <c r="E1562">
        <v>0.1</v>
      </c>
      <c r="F1562" s="2">
        <v>44952</v>
      </c>
      <c r="G1562" s="2" t="str">
        <f>TEXT(LayoffsData[[#This Row],[date]],"yyyy-mm")</f>
        <v>2023-01</v>
      </c>
      <c r="H1562" s="1" t="s">
        <v>24</v>
      </c>
      <c r="I1562" s="1" t="s">
        <v>17</v>
      </c>
      <c r="J1562">
        <v>43</v>
      </c>
    </row>
    <row r="1563" spans="1:10" x14ac:dyDescent="0.25">
      <c r="A1563" s="1" t="s">
        <v>1516</v>
      </c>
      <c r="B1563" s="1" t="s">
        <v>67</v>
      </c>
      <c r="C1563" s="1" t="s">
        <v>63</v>
      </c>
      <c r="D1563">
        <v>50</v>
      </c>
      <c r="E1563">
        <v>0.25</v>
      </c>
      <c r="F1563" s="2">
        <v>44963</v>
      </c>
      <c r="G1563" s="2" t="str">
        <f>TEXT(LayoffsData[[#This Row],[date]],"yyyy-mm")</f>
        <v>2023-02</v>
      </c>
      <c r="H1563" s="1" t="s">
        <v>37</v>
      </c>
      <c r="I1563" s="1" t="s">
        <v>69</v>
      </c>
      <c r="J1563">
        <v>19</v>
      </c>
    </row>
    <row r="1564" spans="1:10" x14ac:dyDescent="0.25">
      <c r="A1564" s="1" t="s">
        <v>1517</v>
      </c>
      <c r="B1564" s="1" t="s">
        <v>101</v>
      </c>
      <c r="C1564" s="1" t="s">
        <v>20</v>
      </c>
      <c r="D1564">
        <v>21</v>
      </c>
      <c r="E1564">
        <v>1</v>
      </c>
      <c r="F1564" s="2">
        <v>44216</v>
      </c>
      <c r="G1564" s="2" t="str">
        <f>TEXT(LayoffsData[[#This Row],[date]],"yyyy-mm")</f>
        <v>2021-01</v>
      </c>
      <c r="H1564" s="1" t="s">
        <v>37</v>
      </c>
      <c r="I1564" s="1" t="s">
        <v>101</v>
      </c>
      <c r="J1564">
        <v>20</v>
      </c>
    </row>
    <row r="1565" spans="1:10" x14ac:dyDescent="0.25">
      <c r="A1565" s="1" t="s">
        <v>1518</v>
      </c>
      <c r="B1565" s="1" t="s">
        <v>1311</v>
      </c>
      <c r="C1565" s="1" t="s">
        <v>53</v>
      </c>
      <c r="E1565">
        <v>0.12</v>
      </c>
      <c r="F1565" s="2">
        <v>44896</v>
      </c>
      <c r="G1565" s="2" t="str">
        <f>TEXT(LayoffsData[[#This Row],[date]],"yyyy-mm")</f>
        <v>2022-12</v>
      </c>
      <c r="H1565" s="1" t="s">
        <v>33</v>
      </c>
      <c r="I1565" s="1" t="s">
        <v>17</v>
      </c>
      <c r="J1565">
        <v>419</v>
      </c>
    </row>
    <row r="1566" spans="1:10" x14ac:dyDescent="0.25">
      <c r="A1566" s="1" t="s">
        <v>1519</v>
      </c>
      <c r="B1566" s="1" t="s">
        <v>14</v>
      </c>
      <c r="C1566" s="1" t="s">
        <v>27</v>
      </c>
      <c r="D1566">
        <v>10</v>
      </c>
      <c r="F1566" s="2">
        <v>43919</v>
      </c>
      <c r="G1566" s="2" t="str">
        <f>TEXT(LayoffsData[[#This Row],[date]],"yyyy-mm")</f>
        <v>2020-03</v>
      </c>
      <c r="H1566" s="1" t="s">
        <v>21</v>
      </c>
      <c r="I1566" s="1" t="s">
        <v>17</v>
      </c>
      <c r="J1566">
        <v>13</v>
      </c>
    </row>
    <row r="1567" spans="1:10" x14ac:dyDescent="0.25">
      <c r="A1567" s="1" t="s">
        <v>1520</v>
      </c>
      <c r="B1567" s="1" t="s">
        <v>32</v>
      </c>
      <c r="C1567" s="1" t="s">
        <v>68</v>
      </c>
      <c r="D1567">
        <v>170</v>
      </c>
      <c r="E1567">
        <v>0.25</v>
      </c>
      <c r="F1567" s="2">
        <v>44714</v>
      </c>
      <c r="G1567" s="2" t="str">
        <f>TEXT(LayoffsData[[#This Row],[date]],"yyyy-mm")</f>
        <v>2022-06</v>
      </c>
      <c r="H1567" s="1" t="s">
        <v>16</v>
      </c>
      <c r="I1567" s="1" t="s">
        <v>17</v>
      </c>
      <c r="J1567">
        <v>286</v>
      </c>
    </row>
    <row r="1568" spans="1:10" x14ac:dyDescent="0.25">
      <c r="A1568" s="1" t="s">
        <v>1521</v>
      </c>
      <c r="B1568" s="1" t="s">
        <v>40</v>
      </c>
      <c r="C1568" s="1" t="s">
        <v>63</v>
      </c>
      <c r="D1568">
        <v>13</v>
      </c>
      <c r="F1568" s="2">
        <v>43942</v>
      </c>
      <c r="G1568" s="2" t="str">
        <f>TEXT(LayoffsData[[#This Row],[date]],"yyyy-mm")</f>
        <v>2020-04</v>
      </c>
      <c r="H1568" s="1" t="s">
        <v>37</v>
      </c>
      <c r="I1568" s="1" t="s">
        <v>17</v>
      </c>
    </row>
    <row r="1569" spans="1:10" x14ac:dyDescent="0.25">
      <c r="A1569" s="1" t="s">
        <v>1522</v>
      </c>
      <c r="B1569" s="1" t="s">
        <v>200</v>
      </c>
      <c r="C1569" s="1" t="s">
        <v>20</v>
      </c>
      <c r="E1569">
        <v>1</v>
      </c>
      <c r="F1569" s="2">
        <v>44783</v>
      </c>
      <c r="G1569" s="2" t="str">
        <f>TEXT(LayoffsData[[#This Row],[date]],"yyyy-mm")</f>
        <v>2022-08</v>
      </c>
      <c r="H1569" s="1" t="s">
        <v>28</v>
      </c>
      <c r="I1569" s="1" t="s">
        <v>201</v>
      </c>
      <c r="J1569">
        <v>238</v>
      </c>
    </row>
    <row r="1570" spans="1:10" x14ac:dyDescent="0.25">
      <c r="A1570" s="1" t="s">
        <v>1522</v>
      </c>
      <c r="B1570" s="1" t="s">
        <v>200</v>
      </c>
      <c r="C1570" s="1" t="s">
        <v>84</v>
      </c>
      <c r="D1570">
        <v>69</v>
      </c>
      <c r="E1570">
        <v>0.31</v>
      </c>
      <c r="F1570" s="2">
        <v>43970</v>
      </c>
      <c r="G1570" s="2" t="str">
        <f>TEXT(LayoffsData[[#This Row],[date]],"yyyy-mm")</f>
        <v>2020-05</v>
      </c>
      <c r="H1570" s="1" t="s">
        <v>24</v>
      </c>
      <c r="I1570" s="1" t="s">
        <v>201</v>
      </c>
      <c r="J1570">
        <v>88</v>
      </c>
    </row>
    <row r="1571" spans="1:10" x14ac:dyDescent="0.25">
      <c r="A1571" s="1" t="s">
        <v>1522</v>
      </c>
      <c r="B1571" s="1" t="s">
        <v>200</v>
      </c>
      <c r="C1571" s="1" t="s">
        <v>84</v>
      </c>
      <c r="D1571">
        <v>200</v>
      </c>
      <c r="E1571">
        <v>0.33</v>
      </c>
      <c r="F1571" s="2">
        <v>44691</v>
      </c>
      <c r="G1571" s="2" t="str">
        <f>TEXT(LayoffsData[[#This Row],[date]],"yyyy-mm")</f>
        <v>2022-05</v>
      </c>
      <c r="H1571" s="1" t="s">
        <v>28</v>
      </c>
      <c r="I1571" s="1" t="s">
        <v>201</v>
      </c>
      <c r="J1571">
        <v>238</v>
      </c>
    </row>
    <row r="1572" spans="1:10" x14ac:dyDescent="0.25">
      <c r="A1572" s="1" t="s">
        <v>1523</v>
      </c>
      <c r="B1572" s="1" t="s">
        <v>1524</v>
      </c>
      <c r="C1572" s="1" t="s">
        <v>68</v>
      </c>
      <c r="D1572">
        <v>47</v>
      </c>
      <c r="E1572">
        <v>0.15</v>
      </c>
      <c r="F1572" s="2">
        <v>44897</v>
      </c>
      <c r="G1572" s="2" t="str">
        <f>TEXT(LayoffsData[[#This Row],[date]],"yyyy-mm")</f>
        <v>2022-12</v>
      </c>
      <c r="H1572" s="1" t="s">
        <v>28</v>
      </c>
      <c r="I1572" s="1" t="s">
        <v>17</v>
      </c>
      <c r="J1572">
        <v>184</v>
      </c>
    </row>
    <row r="1573" spans="1:10" x14ac:dyDescent="0.25">
      <c r="A1573" s="1" t="s">
        <v>1525</v>
      </c>
      <c r="B1573" s="1" t="s">
        <v>293</v>
      </c>
      <c r="C1573" s="1" t="s">
        <v>36</v>
      </c>
      <c r="D1573">
        <v>100</v>
      </c>
      <c r="E1573">
        <v>0.2</v>
      </c>
      <c r="F1573" s="2">
        <v>44978</v>
      </c>
      <c r="G1573" s="2" t="str">
        <f>TEXT(LayoffsData[[#This Row],[date]],"yyyy-mm")</f>
        <v>2023-02</v>
      </c>
      <c r="H1573" s="1" t="s">
        <v>37</v>
      </c>
      <c r="I1573" s="1" t="s">
        <v>69</v>
      </c>
      <c r="J1573">
        <v>451</v>
      </c>
    </row>
    <row r="1574" spans="1:10" x14ac:dyDescent="0.25">
      <c r="A1574" s="1" t="s">
        <v>1526</v>
      </c>
      <c r="B1574" s="1" t="s">
        <v>1527</v>
      </c>
      <c r="C1574" s="1" t="s">
        <v>29</v>
      </c>
      <c r="D1574">
        <v>55</v>
      </c>
      <c r="E1574">
        <v>0.08</v>
      </c>
      <c r="F1574" s="2">
        <v>44812</v>
      </c>
      <c r="G1574" s="2" t="str">
        <f>TEXT(LayoffsData[[#This Row],[date]],"yyyy-mm")</f>
        <v>2022-09</v>
      </c>
      <c r="H1574" s="1" t="s">
        <v>37</v>
      </c>
      <c r="I1574" s="1" t="s">
        <v>1528</v>
      </c>
      <c r="J1574">
        <v>120</v>
      </c>
    </row>
    <row r="1575" spans="1:10" x14ac:dyDescent="0.25">
      <c r="A1575" s="1" t="s">
        <v>1529</v>
      </c>
      <c r="B1575" s="1" t="s">
        <v>32</v>
      </c>
      <c r="C1575" s="1" t="s">
        <v>506</v>
      </c>
      <c r="E1575">
        <v>1</v>
      </c>
      <c r="F1575" s="2">
        <v>43909</v>
      </c>
      <c r="G1575" s="2" t="str">
        <f>TEXT(LayoffsData[[#This Row],[date]],"yyyy-mm")</f>
        <v>2020-03</v>
      </c>
      <c r="H1575" s="1" t="s">
        <v>37</v>
      </c>
      <c r="I1575" s="1" t="s">
        <v>17</v>
      </c>
      <c r="J1575">
        <v>13</v>
      </c>
    </row>
    <row r="1576" spans="1:10" x14ac:dyDescent="0.25">
      <c r="A1576" s="1" t="s">
        <v>1530</v>
      </c>
      <c r="B1576" s="1" t="s">
        <v>14</v>
      </c>
      <c r="C1576" s="1" t="s">
        <v>29</v>
      </c>
      <c r="E1576">
        <v>0.02</v>
      </c>
      <c r="F1576" s="2">
        <v>44981</v>
      </c>
      <c r="G1576" s="2" t="str">
        <f>TEXT(LayoffsData[[#This Row],[date]],"yyyy-mm")</f>
        <v>2023-02</v>
      </c>
      <c r="H1576" s="1" t="s">
        <v>57</v>
      </c>
      <c r="I1576" s="1" t="s">
        <v>17</v>
      </c>
      <c r="J1576">
        <v>153</v>
      </c>
    </row>
    <row r="1577" spans="1:10" x14ac:dyDescent="0.25">
      <c r="A1577" s="1" t="s">
        <v>1531</v>
      </c>
      <c r="B1577" s="1" t="s">
        <v>14</v>
      </c>
      <c r="C1577" s="1" t="s">
        <v>51</v>
      </c>
      <c r="D1577">
        <v>180</v>
      </c>
      <c r="E1577">
        <v>0.15</v>
      </c>
      <c r="F1577" s="2">
        <v>44219</v>
      </c>
      <c r="G1577" s="2" t="str">
        <f>TEXT(LayoffsData[[#This Row],[date]],"yyyy-mm")</f>
        <v>2021-01</v>
      </c>
      <c r="H1577" s="1" t="s">
        <v>57</v>
      </c>
      <c r="I1577" s="1" t="s">
        <v>17</v>
      </c>
      <c r="J1577">
        <v>763</v>
      </c>
    </row>
    <row r="1578" spans="1:10" x14ac:dyDescent="0.25">
      <c r="A1578" s="1" t="s">
        <v>1532</v>
      </c>
      <c r="B1578" s="1" t="s">
        <v>14</v>
      </c>
      <c r="C1578" s="1" t="s">
        <v>20</v>
      </c>
      <c r="D1578">
        <v>43</v>
      </c>
      <c r="F1578" s="2">
        <v>44738</v>
      </c>
      <c r="G1578" s="2" t="str">
        <f>TEXT(LayoffsData[[#This Row],[date]],"yyyy-mm")</f>
        <v>2022-06</v>
      </c>
      <c r="H1578" s="1" t="s">
        <v>28</v>
      </c>
      <c r="I1578" s="1" t="s">
        <v>17</v>
      </c>
      <c r="J1578">
        <v>106</v>
      </c>
    </row>
    <row r="1579" spans="1:10" x14ac:dyDescent="0.25">
      <c r="A1579" s="1" t="s">
        <v>1533</v>
      </c>
      <c r="B1579" s="1" t="s">
        <v>76</v>
      </c>
      <c r="C1579" s="1" t="s">
        <v>29</v>
      </c>
      <c r="F1579" s="2">
        <v>43944</v>
      </c>
      <c r="G1579" s="2" t="str">
        <f>TEXT(LayoffsData[[#This Row],[date]],"yyyy-mm")</f>
        <v>2020-04</v>
      </c>
      <c r="H1579" s="1" t="s">
        <v>57</v>
      </c>
      <c r="I1579" s="1" t="s">
        <v>17</v>
      </c>
      <c r="J1579">
        <v>78</v>
      </c>
    </row>
    <row r="1580" spans="1:10" x14ac:dyDescent="0.25">
      <c r="A1580" s="1" t="s">
        <v>1534</v>
      </c>
      <c r="B1580" s="1" t="s">
        <v>1535</v>
      </c>
      <c r="C1580" s="1" t="s">
        <v>41</v>
      </c>
      <c r="F1580" s="2">
        <v>44871</v>
      </c>
      <c r="G1580" s="2" t="str">
        <f>TEXT(LayoffsData[[#This Row],[date]],"yyyy-mm")</f>
        <v>2022-11</v>
      </c>
      <c r="H1580" s="1" t="s">
        <v>37</v>
      </c>
      <c r="I1580" s="1" t="s">
        <v>69</v>
      </c>
      <c r="J1580">
        <v>14</v>
      </c>
    </row>
    <row r="1581" spans="1:10" x14ac:dyDescent="0.25">
      <c r="A1581" s="1" t="s">
        <v>1536</v>
      </c>
      <c r="B1581" s="1" t="s">
        <v>73</v>
      </c>
      <c r="C1581" s="1" t="s">
        <v>41</v>
      </c>
      <c r="D1581">
        <v>26</v>
      </c>
      <c r="E1581">
        <v>0.05</v>
      </c>
      <c r="F1581" s="2">
        <v>44721</v>
      </c>
      <c r="G1581" s="2" t="str">
        <f>TEXT(LayoffsData[[#This Row],[date]],"yyyy-mm")</f>
        <v>2022-06</v>
      </c>
      <c r="H1581" s="1" t="s">
        <v>28</v>
      </c>
      <c r="I1581" s="1" t="s">
        <v>17</v>
      </c>
      <c r="J1581">
        <v>100</v>
      </c>
    </row>
    <row r="1582" spans="1:10" x14ac:dyDescent="0.25">
      <c r="A1582" s="1" t="s">
        <v>1537</v>
      </c>
      <c r="B1582" s="1" t="s">
        <v>1294</v>
      </c>
      <c r="C1582" s="1" t="s">
        <v>36</v>
      </c>
      <c r="E1582">
        <v>0.33</v>
      </c>
      <c r="F1582" s="2">
        <v>44956</v>
      </c>
      <c r="G1582" s="2" t="str">
        <f>TEXT(LayoffsData[[#This Row],[date]],"yyyy-mm")</f>
        <v>2023-01</v>
      </c>
      <c r="H1582" s="1" t="s">
        <v>24</v>
      </c>
      <c r="I1582" s="1" t="s">
        <v>17</v>
      </c>
      <c r="J1582">
        <v>176</v>
      </c>
    </row>
    <row r="1583" spans="1:10" x14ac:dyDescent="0.25">
      <c r="A1583" s="1" t="s">
        <v>1538</v>
      </c>
      <c r="B1583" s="1" t="s">
        <v>200</v>
      </c>
      <c r="C1583" s="1" t="s">
        <v>68</v>
      </c>
      <c r="D1583">
        <v>85</v>
      </c>
      <c r="E1583">
        <v>0.33</v>
      </c>
      <c r="F1583" s="2">
        <v>44904</v>
      </c>
      <c r="G1583" s="2" t="str">
        <f>TEXT(LayoffsData[[#This Row],[date]],"yyyy-mm")</f>
        <v>2022-12</v>
      </c>
      <c r="H1583" s="1" t="s">
        <v>24</v>
      </c>
      <c r="I1583" s="1" t="s">
        <v>201</v>
      </c>
      <c r="J1583">
        <v>73</v>
      </c>
    </row>
    <row r="1584" spans="1:10" x14ac:dyDescent="0.25">
      <c r="A1584" s="1" t="s">
        <v>1539</v>
      </c>
      <c r="B1584" s="1" t="s">
        <v>14</v>
      </c>
      <c r="C1584" s="1" t="s">
        <v>74</v>
      </c>
      <c r="E1584">
        <v>0.28000000000000003</v>
      </c>
      <c r="F1584" s="2">
        <v>44945</v>
      </c>
      <c r="G1584" s="2" t="str">
        <f>TEXT(LayoffsData[[#This Row],[date]],"yyyy-mm")</f>
        <v>2023-01</v>
      </c>
      <c r="H1584" s="1" t="s">
        <v>24</v>
      </c>
      <c r="I1584" s="1" t="s">
        <v>17</v>
      </c>
      <c r="J1584">
        <v>56</v>
      </c>
    </row>
    <row r="1585" spans="1:10" x14ac:dyDescent="0.25">
      <c r="A1585" s="1" t="s">
        <v>1540</v>
      </c>
      <c r="B1585" s="1" t="s">
        <v>200</v>
      </c>
      <c r="C1585" s="1" t="s">
        <v>74</v>
      </c>
      <c r="D1585">
        <v>20</v>
      </c>
      <c r="F1585" s="2">
        <v>44223</v>
      </c>
      <c r="G1585" s="2" t="str">
        <f>TEXT(LayoffsData[[#This Row],[date]],"yyyy-mm")</f>
        <v>2021-01</v>
      </c>
      <c r="H1585" s="1" t="s">
        <v>28</v>
      </c>
      <c r="I1585" s="1" t="s">
        <v>201</v>
      </c>
      <c r="J1585">
        <v>150</v>
      </c>
    </row>
    <row r="1586" spans="1:10" x14ac:dyDescent="0.25">
      <c r="A1586" s="1" t="s">
        <v>1541</v>
      </c>
      <c r="B1586" s="1" t="s">
        <v>26</v>
      </c>
      <c r="C1586" s="1" t="s">
        <v>376</v>
      </c>
      <c r="D1586">
        <v>180</v>
      </c>
      <c r="E1586">
        <v>0.09</v>
      </c>
      <c r="F1586" s="2">
        <v>44040</v>
      </c>
      <c r="G1586" s="2" t="str">
        <f>TEXT(LayoffsData[[#This Row],[date]],"yyyy-mm")</f>
        <v>2020-07</v>
      </c>
      <c r="H1586" s="1" t="s">
        <v>37</v>
      </c>
      <c r="I1586" s="1" t="s">
        <v>17</v>
      </c>
      <c r="J1586">
        <v>649</v>
      </c>
    </row>
    <row r="1587" spans="1:10" x14ac:dyDescent="0.25">
      <c r="A1587" s="1" t="s">
        <v>1542</v>
      </c>
      <c r="B1587" s="1" t="s">
        <v>14</v>
      </c>
      <c r="C1587" s="1" t="s">
        <v>113</v>
      </c>
      <c r="D1587">
        <v>100</v>
      </c>
      <c r="E1587">
        <v>0.2</v>
      </c>
      <c r="F1587" s="2">
        <v>44880</v>
      </c>
      <c r="G1587" s="2" t="str">
        <f>TEXT(LayoffsData[[#This Row],[date]],"yyyy-mm")</f>
        <v>2022-11</v>
      </c>
      <c r="H1587" s="1" t="s">
        <v>33</v>
      </c>
      <c r="I1587" s="1" t="s">
        <v>17</v>
      </c>
    </row>
    <row r="1588" spans="1:10" x14ac:dyDescent="0.25">
      <c r="A1588" s="1" t="s">
        <v>1543</v>
      </c>
      <c r="B1588" s="1" t="s">
        <v>76</v>
      </c>
      <c r="C1588" s="1" t="s">
        <v>108</v>
      </c>
      <c r="D1588">
        <v>63</v>
      </c>
      <c r="E1588">
        <v>0.05</v>
      </c>
      <c r="F1588" s="2">
        <v>44757</v>
      </c>
      <c r="G1588" s="2" t="str">
        <f>TEXT(LayoffsData[[#This Row],[date]],"yyyy-mm")</f>
        <v>2022-07</v>
      </c>
      <c r="H1588" s="1" t="s">
        <v>37</v>
      </c>
      <c r="I1588" s="1" t="s">
        <v>17</v>
      </c>
      <c r="J1588">
        <v>817</v>
      </c>
    </row>
    <row r="1589" spans="1:10" x14ac:dyDescent="0.25">
      <c r="A1589" s="1" t="s">
        <v>1544</v>
      </c>
      <c r="B1589" s="1" t="s">
        <v>9</v>
      </c>
      <c r="C1589" s="1" t="s">
        <v>174</v>
      </c>
      <c r="D1589">
        <v>71</v>
      </c>
      <c r="F1589" s="2">
        <v>44880</v>
      </c>
      <c r="G1589" s="2" t="str">
        <f>TEXT(LayoffsData[[#This Row],[date]],"yyyy-mm")</f>
        <v>2022-11</v>
      </c>
      <c r="H1589" s="1" t="s">
        <v>24</v>
      </c>
      <c r="I1589" s="1" t="s">
        <v>12</v>
      </c>
      <c r="J1589">
        <v>154</v>
      </c>
    </row>
    <row r="1590" spans="1:10" x14ac:dyDescent="0.25">
      <c r="A1590" s="1" t="s">
        <v>1545</v>
      </c>
      <c r="B1590" s="1" t="s">
        <v>1546</v>
      </c>
      <c r="C1590" s="1" t="s">
        <v>174</v>
      </c>
      <c r="E1590">
        <v>0.5</v>
      </c>
      <c r="F1590" s="2">
        <v>44719</v>
      </c>
      <c r="G1590" s="2" t="str">
        <f>TEXT(LayoffsData[[#This Row],[date]],"yyyy-mm")</f>
        <v>2022-06</v>
      </c>
      <c r="H1590" s="1" t="s">
        <v>21</v>
      </c>
      <c r="I1590" s="1" t="s">
        <v>1547</v>
      </c>
      <c r="J1590">
        <v>33</v>
      </c>
    </row>
    <row r="1591" spans="1:10" x14ac:dyDescent="0.25">
      <c r="A1591" s="1" t="s">
        <v>1545</v>
      </c>
      <c r="B1591" s="1" t="s">
        <v>1546</v>
      </c>
      <c r="C1591" s="1" t="s">
        <v>174</v>
      </c>
      <c r="E1591">
        <v>1</v>
      </c>
      <c r="F1591" s="2">
        <v>44817</v>
      </c>
      <c r="G1591" s="2" t="str">
        <f>TEXT(LayoffsData[[#This Row],[date]],"yyyy-mm")</f>
        <v>2022-09</v>
      </c>
      <c r="H1591" s="1" t="s">
        <v>21</v>
      </c>
      <c r="I1591" s="1" t="s">
        <v>1547</v>
      </c>
      <c r="J1591">
        <v>33</v>
      </c>
    </row>
    <row r="1592" spans="1:10" x14ac:dyDescent="0.25">
      <c r="A1592" s="1" t="s">
        <v>1548</v>
      </c>
      <c r="B1592" s="1" t="s">
        <v>349</v>
      </c>
      <c r="C1592" s="1" t="s">
        <v>149</v>
      </c>
      <c r="E1592">
        <v>0.3</v>
      </c>
      <c r="F1592" s="2">
        <v>44951</v>
      </c>
      <c r="G1592" s="2" t="str">
        <f>TEXT(LayoffsData[[#This Row],[date]],"yyyy-mm")</f>
        <v>2023-01</v>
      </c>
      <c r="H1592" s="1" t="s">
        <v>37</v>
      </c>
      <c r="I1592" s="1" t="s">
        <v>350</v>
      </c>
    </row>
    <row r="1593" spans="1:10" x14ac:dyDescent="0.25">
      <c r="A1593" s="1" t="s">
        <v>1549</v>
      </c>
      <c r="B1593" s="1" t="s">
        <v>55</v>
      </c>
      <c r="C1593" s="1" t="s">
        <v>36</v>
      </c>
      <c r="E1593">
        <v>0.5</v>
      </c>
      <c r="F1593" s="2">
        <v>44986</v>
      </c>
      <c r="G1593" s="2" t="str">
        <f>TEXT(LayoffsData[[#This Row],[date]],"yyyy-mm")</f>
        <v>2023-03</v>
      </c>
      <c r="H1593" s="1" t="s">
        <v>21</v>
      </c>
      <c r="I1593" s="1" t="s">
        <v>17</v>
      </c>
      <c r="J1593">
        <v>70</v>
      </c>
    </row>
    <row r="1594" spans="1:10" x14ac:dyDescent="0.25">
      <c r="A1594" s="1" t="s">
        <v>1550</v>
      </c>
      <c r="B1594" s="1" t="s">
        <v>14</v>
      </c>
      <c r="C1594" s="1" t="s">
        <v>10</v>
      </c>
      <c r="D1594">
        <v>300</v>
      </c>
      <c r="F1594" s="2">
        <v>44945</v>
      </c>
      <c r="G1594" s="2" t="str">
        <f>TEXT(LayoffsData[[#This Row],[date]],"yyyy-mm")</f>
        <v>2023-01</v>
      </c>
      <c r="H1594" s="1" t="s">
        <v>11</v>
      </c>
      <c r="I1594" s="1" t="s">
        <v>17</v>
      </c>
      <c r="J1594">
        <v>1200</v>
      </c>
    </row>
    <row r="1595" spans="1:10" x14ac:dyDescent="0.25">
      <c r="A1595" s="1" t="s">
        <v>1551</v>
      </c>
      <c r="B1595" s="1" t="s">
        <v>14</v>
      </c>
      <c r="C1595" s="1" t="s">
        <v>63</v>
      </c>
      <c r="D1595">
        <v>60</v>
      </c>
      <c r="E1595">
        <v>1</v>
      </c>
      <c r="F1595" s="2">
        <v>44880</v>
      </c>
      <c r="G1595" s="2" t="str">
        <f>TEXT(LayoffsData[[#This Row],[date]],"yyyy-mm")</f>
        <v>2022-11</v>
      </c>
      <c r="H1595" s="1" t="s">
        <v>57</v>
      </c>
      <c r="I1595" s="1" t="s">
        <v>17</v>
      </c>
    </row>
    <row r="1596" spans="1:10" x14ac:dyDescent="0.25">
      <c r="A1596" s="1" t="s">
        <v>1552</v>
      </c>
      <c r="B1596" s="1" t="s">
        <v>14</v>
      </c>
      <c r="C1596" s="1" t="s">
        <v>36</v>
      </c>
      <c r="D1596">
        <v>89</v>
      </c>
      <c r="E1596">
        <v>0.2</v>
      </c>
      <c r="F1596" s="2">
        <v>44960</v>
      </c>
      <c r="G1596" s="2" t="str">
        <f>TEXT(LayoffsData[[#This Row],[date]],"yyyy-mm")</f>
        <v>2023-02</v>
      </c>
      <c r="H1596" s="1" t="s">
        <v>37</v>
      </c>
      <c r="I1596" s="1" t="s">
        <v>17</v>
      </c>
      <c r="J1596">
        <v>10</v>
      </c>
    </row>
    <row r="1597" spans="1:10" x14ac:dyDescent="0.25">
      <c r="A1597" s="1" t="s">
        <v>1553</v>
      </c>
      <c r="B1597" s="1" t="s">
        <v>73</v>
      </c>
      <c r="C1597" s="1" t="s">
        <v>48</v>
      </c>
      <c r="F1597" s="2">
        <v>44894</v>
      </c>
      <c r="G1597" s="2" t="str">
        <f>TEXT(LayoffsData[[#This Row],[date]],"yyyy-mm")</f>
        <v>2022-11</v>
      </c>
      <c r="H1597" s="1" t="s">
        <v>21</v>
      </c>
      <c r="I1597" s="1" t="s">
        <v>17</v>
      </c>
      <c r="J1597">
        <v>20</v>
      </c>
    </row>
    <row r="1598" spans="1:10" x14ac:dyDescent="0.25">
      <c r="A1598" s="1" t="s">
        <v>1554</v>
      </c>
      <c r="B1598" s="1" t="s">
        <v>76</v>
      </c>
      <c r="C1598" s="1" t="s">
        <v>51</v>
      </c>
      <c r="F1598" s="2">
        <v>44868</v>
      </c>
      <c r="G1598" s="2" t="str">
        <f>TEXT(LayoffsData[[#This Row],[date]],"yyyy-mm")</f>
        <v>2022-11</v>
      </c>
      <c r="H1598" s="1" t="s">
        <v>28</v>
      </c>
      <c r="I1598" s="1" t="s">
        <v>17</v>
      </c>
      <c r="J1598">
        <v>150</v>
      </c>
    </row>
    <row r="1599" spans="1:10" x14ac:dyDescent="0.25">
      <c r="A1599" s="1" t="s">
        <v>1555</v>
      </c>
      <c r="B1599" s="1" t="s">
        <v>324</v>
      </c>
      <c r="C1599" s="1" t="s">
        <v>149</v>
      </c>
      <c r="D1599">
        <v>1500</v>
      </c>
      <c r="F1599" s="2">
        <v>44750</v>
      </c>
      <c r="G1599" s="2" t="str">
        <f>TEXT(LayoffsData[[#This Row],[date]],"yyyy-mm")</f>
        <v>2022-07</v>
      </c>
      <c r="H1599" s="1" t="s">
        <v>28</v>
      </c>
      <c r="I1599" s="1" t="s">
        <v>296</v>
      </c>
      <c r="J1599">
        <v>184</v>
      </c>
    </row>
    <row r="1600" spans="1:10" x14ac:dyDescent="0.25">
      <c r="A1600" s="1" t="s">
        <v>1556</v>
      </c>
      <c r="B1600" s="1" t="s">
        <v>14</v>
      </c>
      <c r="C1600" s="1" t="s">
        <v>172</v>
      </c>
      <c r="D1600">
        <v>78</v>
      </c>
      <c r="F1600" s="2">
        <v>44188</v>
      </c>
      <c r="G1600" s="2" t="str">
        <f>TEXT(LayoffsData[[#This Row],[date]],"yyyy-mm")</f>
        <v>2020-12</v>
      </c>
      <c r="H1600" s="1" t="s">
        <v>57</v>
      </c>
      <c r="I1600" s="1" t="s">
        <v>17</v>
      </c>
    </row>
    <row r="1601" spans="1:10" x14ac:dyDescent="0.25">
      <c r="A1601" s="1" t="s">
        <v>1557</v>
      </c>
      <c r="B1601" s="1" t="s">
        <v>71</v>
      </c>
      <c r="C1601" s="1" t="s">
        <v>124</v>
      </c>
      <c r="E1601">
        <v>0.15</v>
      </c>
      <c r="F1601" s="2">
        <v>44776</v>
      </c>
      <c r="G1601" s="2" t="str">
        <f>TEXT(LayoffsData[[#This Row],[date]],"yyyy-mm")</f>
        <v>2022-08</v>
      </c>
      <c r="H1601" s="1" t="s">
        <v>57</v>
      </c>
      <c r="I1601" s="1" t="s">
        <v>17</v>
      </c>
      <c r="J1601">
        <v>189</v>
      </c>
    </row>
    <row r="1602" spans="1:10" x14ac:dyDescent="0.25">
      <c r="A1602" s="1" t="s">
        <v>1557</v>
      </c>
      <c r="B1602" s="1" t="s">
        <v>71</v>
      </c>
      <c r="C1602" s="1" t="s">
        <v>124</v>
      </c>
      <c r="D1602">
        <v>50</v>
      </c>
      <c r="E1602">
        <v>0.1</v>
      </c>
      <c r="F1602" s="2">
        <v>43916</v>
      </c>
      <c r="G1602" s="2" t="str">
        <f>TEXT(LayoffsData[[#This Row],[date]],"yyyy-mm")</f>
        <v>2020-03</v>
      </c>
      <c r="H1602" s="1" t="s">
        <v>86</v>
      </c>
      <c r="I1602" s="1" t="s">
        <v>17</v>
      </c>
      <c r="J1602">
        <v>149</v>
      </c>
    </row>
    <row r="1603" spans="1:10" x14ac:dyDescent="0.25">
      <c r="A1603" s="1" t="s">
        <v>1558</v>
      </c>
      <c r="B1603" s="1" t="s">
        <v>14</v>
      </c>
      <c r="C1603" s="1" t="s">
        <v>36</v>
      </c>
      <c r="E1603">
        <v>1</v>
      </c>
      <c r="F1603" s="2">
        <v>43937</v>
      </c>
      <c r="G1603" s="2" t="str">
        <f>TEXT(LayoffsData[[#This Row],[date]],"yyyy-mm")</f>
        <v>2020-04</v>
      </c>
      <c r="H1603" s="1" t="s">
        <v>131</v>
      </c>
      <c r="I1603" s="1" t="s">
        <v>17</v>
      </c>
      <c r="J1603">
        <v>1</v>
      </c>
    </row>
    <row r="1604" spans="1:10" x14ac:dyDescent="0.25">
      <c r="A1604" s="1" t="s">
        <v>1559</v>
      </c>
      <c r="B1604" s="1" t="s">
        <v>9</v>
      </c>
      <c r="C1604" s="1" t="s">
        <v>149</v>
      </c>
      <c r="D1604">
        <v>50</v>
      </c>
      <c r="E1604">
        <v>0.08</v>
      </c>
      <c r="F1604" s="2">
        <v>44796</v>
      </c>
      <c r="G1604" s="2" t="str">
        <f>TEXT(LayoffsData[[#This Row],[date]],"yyyy-mm")</f>
        <v>2022-08</v>
      </c>
      <c r="H1604" s="1" t="s">
        <v>28</v>
      </c>
      <c r="I1604" s="1" t="s">
        <v>12</v>
      </c>
      <c r="J1604">
        <v>91</v>
      </c>
    </row>
    <row r="1605" spans="1:10" x14ac:dyDescent="0.25">
      <c r="A1605" s="1" t="s">
        <v>1560</v>
      </c>
      <c r="B1605" s="1" t="s">
        <v>1219</v>
      </c>
      <c r="C1605" s="1" t="s">
        <v>41</v>
      </c>
      <c r="E1605">
        <v>1</v>
      </c>
      <c r="F1605" s="2">
        <v>44848</v>
      </c>
      <c r="G1605" s="2" t="str">
        <f>TEXT(LayoffsData[[#This Row],[date]],"yyyy-mm")</f>
        <v>2022-10</v>
      </c>
      <c r="H1605" s="1" t="s">
        <v>131</v>
      </c>
      <c r="I1605" s="1" t="s">
        <v>69</v>
      </c>
    </row>
    <row r="1606" spans="1:10" x14ac:dyDescent="0.25">
      <c r="A1606" s="1" t="s">
        <v>1561</v>
      </c>
      <c r="B1606" s="1" t="s">
        <v>406</v>
      </c>
      <c r="C1606" s="1" t="s">
        <v>325</v>
      </c>
      <c r="D1606">
        <v>153</v>
      </c>
      <c r="F1606" s="2">
        <v>44917</v>
      </c>
      <c r="G1606" s="2" t="str">
        <f>TEXT(LayoffsData[[#This Row],[date]],"yyyy-mm")</f>
        <v>2022-12</v>
      </c>
      <c r="H1606" s="1" t="s">
        <v>11</v>
      </c>
      <c r="I1606" s="1" t="s">
        <v>17</v>
      </c>
    </row>
    <row r="1607" spans="1:10" x14ac:dyDescent="0.25">
      <c r="A1607" s="1" t="s">
        <v>1562</v>
      </c>
      <c r="B1607" s="1" t="s">
        <v>92</v>
      </c>
      <c r="C1607" s="1" t="s">
        <v>149</v>
      </c>
      <c r="D1607">
        <v>270</v>
      </c>
      <c r="E1607">
        <v>0.05</v>
      </c>
      <c r="F1607" s="2">
        <v>44937</v>
      </c>
      <c r="G1607" s="2" t="str">
        <f>TEXT(LayoffsData[[#This Row],[date]],"yyyy-mm")</f>
        <v>2023-01</v>
      </c>
      <c r="H1607" s="1" t="s">
        <v>11</v>
      </c>
      <c r="I1607" s="1" t="s">
        <v>17</v>
      </c>
      <c r="J1607">
        <v>400</v>
      </c>
    </row>
    <row r="1608" spans="1:10" x14ac:dyDescent="0.25">
      <c r="A1608" s="1" t="s">
        <v>1563</v>
      </c>
      <c r="B1608" s="1" t="s">
        <v>79</v>
      </c>
      <c r="C1608" s="1" t="s">
        <v>51</v>
      </c>
      <c r="D1608">
        <v>87</v>
      </c>
      <c r="E1608">
        <v>0.2</v>
      </c>
      <c r="F1608" s="2">
        <v>44230</v>
      </c>
      <c r="G1608" s="2" t="str">
        <f>TEXT(LayoffsData[[#This Row],[date]],"yyyy-mm")</f>
        <v>2021-02</v>
      </c>
      <c r="H1608" s="1" t="s">
        <v>57</v>
      </c>
      <c r="I1608" s="1" t="s">
        <v>80</v>
      </c>
      <c r="J1608">
        <v>39</v>
      </c>
    </row>
    <row r="1609" spans="1:10" x14ac:dyDescent="0.25">
      <c r="A1609" s="1" t="s">
        <v>1564</v>
      </c>
      <c r="B1609" s="1" t="s">
        <v>14</v>
      </c>
      <c r="C1609" s="1" t="s">
        <v>10</v>
      </c>
      <c r="D1609">
        <v>72</v>
      </c>
      <c r="F1609" s="2">
        <v>44909</v>
      </c>
      <c r="G1609" s="2" t="str">
        <f>TEXT(LayoffsData[[#This Row],[date]],"yyyy-mm")</f>
        <v>2022-12</v>
      </c>
      <c r="H1609" s="1" t="s">
        <v>11</v>
      </c>
      <c r="I1609" s="1" t="s">
        <v>17</v>
      </c>
      <c r="J1609">
        <v>175</v>
      </c>
    </row>
    <row r="1610" spans="1:10" x14ac:dyDescent="0.25">
      <c r="A1610" s="1" t="s">
        <v>1565</v>
      </c>
      <c r="B1610" s="1" t="s">
        <v>14</v>
      </c>
      <c r="C1610" s="1" t="s">
        <v>20</v>
      </c>
      <c r="D1610">
        <v>30</v>
      </c>
      <c r="E1610">
        <v>0.05</v>
      </c>
      <c r="F1610" s="2">
        <v>43929</v>
      </c>
      <c r="G1610" s="2" t="str">
        <f>TEXT(LayoffsData[[#This Row],[date]],"yyyy-mm")</f>
        <v>2020-04</v>
      </c>
      <c r="H1610" s="1" t="s">
        <v>28</v>
      </c>
      <c r="I1610" s="1" t="s">
        <v>17</v>
      </c>
      <c r="J1610">
        <v>65</v>
      </c>
    </row>
    <row r="1611" spans="1:10" x14ac:dyDescent="0.25">
      <c r="A1611" s="1" t="s">
        <v>1565</v>
      </c>
      <c r="B1611" s="1" t="s">
        <v>14</v>
      </c>
      <c r="C1611" s="1" t="s">
        <v>20</v>
      </c>
      <c r="D1611">
        <v>40</v>
      </c>
      <c r="E1611">
        <v>0.06</v>
      </c>
      <c r="F1611" s="2">
        <v>44771</v>
      </c>
      <c r="G1611" s="2" t="str">
        <f>TEXT(LayoffsData[[#This Row],[date]],"yyyy-mm")</f>
        <v>2022-07</v>
      </c>
      <c r="H1611" s="1" t="s">
        <v>28</v>
      </c>
      <c r="I1611" s="1" t="s">
        <v>17</v>
      </c>
      <c r="J1611">
        <v>65</v>
      </c>
    </row>
    <row r="1612" spans="1:10" x14ac:dyDescent="0.25">
      <c r="A1612" s="1" t="s">
        <v>1566</v>
      </c>
      <c r="B1612" s="1" t="s">
        <v>73</v>
      </c>
      <c r="C1612" s="1" t="s">
        <v>15</v>
      </c>
      <c r="D1612">
        <v>130</v>
      </c>
      <c r="E1612">
        <v>0.25</v>
      </c>
      <c r="F1612" s="2">
        <v>44782</v>
      </c>
      <c r="G1612" s="2" t="str">
        <f>TEXT(LayoffsData[[#This Row],[date]],"yyyy-mm")</f>
        <v>2022-08</v>
      </c>
      <c r="H1612" s="1" t="s">
        <v>11</v>
      </c>
      <c r="I1612" s="1" t="s">
        <v>17</v>
      </c>
      <c r="J1612">
        <v>533</v>
      </c>
    </row>
    <row r="1613" spans="1:10" x14ac:dyDescent="0.25">
      <c r="A1613" s="1" t="s">
        <v>1567</v>
      </c>
      <c r="B1613" s="1" t="s">
        <v>35</v>
      </c>
      <c r="C1613" s="1" t="s">
        <v>68</v>
      </c>
      <c r="D1613">
        <v>28</v>
      </c>
      <c r="E1613">
        <v>0.22</v>
      </c>
      <c r="F1613" s="2">
        <v>44764</v>
      </c>
      <c r="G1613" s="2" t="str">
        <f>TEXT(LayoffsData[[#This Row],[date]],"yyyy-mm")</f>
        <v>2022-07</v>
      </c>
      <c r="H1613" s="1" t="s">
        <v>21</v>
      </c>
      <c r="I1613" s="1" t="s">
        <v>38</v>
      </c>
      <c r="J1613">
        <v>15</v>
      </c>
    </row>
    <row r="1614" spans="1:10" x14ac:dyDescent="0.25">
      <c r="A1614" s="1" t="s">
        <v>1568</v>
      </c>
      <c r="B1614" s="1" t="s">
        <v>399</v>
      </c>
      <c r="C1614" s="1" t="s">
        <v>15</v>
      </c>
      <c r="E1614">
        <v>0.12</v>
      </c>
      <c r="F1614" s="2">
        <v>44956</v>
      </c>
      <c r="G1614" s="2" t="str">
        <f>TEXT(LayoffsData[[#This Row],[date]],"yyyy-mm")</f>
        <v>2023-01</v>
      </c>
      <c r="H1614" s="1" t="s">
        <v>11</v>
      </c>
      <c r="I1614" s="1" t="s">
        <v>17</v>
      </c>
      <c r="J1614">
        <v>425</v>
      </c>
    </row>
    <row r="1615" spans="1:10" x14ac:dyDescent="0.25">
      <c r="A1615" s="1" t="s">
        <v>1569</v>
      </c>
      <c r="B1615" s="1" t="s">
        <v>32</v>
      </c>
      <c r="C1615" s="1" t="s">
        <v>63</v>
      </c>
      <c r="D1615">
        <v>80</v>
      </c>
      <c r="E1615">
        <v>0.4</v>
      </c>
      <c r="F1615" s="2">
        <v>43965</v>
      </c>
      <c r="G1615" s="2" t="str">
        <f>TEXT(LayoffsData[[#This Row],[date]],"yyyy-mm")</f>
        <v>2020-05</v>
      </c>
      <c r="H1615" s="1" t="s">
        <v>57</v>
      </c>
      <c r="I1615" s="1" t="s">
        <v>17</v>
      </c>
    </row>
    <row r="1616" spans="1:10" x14ac:dyDescent="0.25">
      <c r="A1616" s="1" t="s">
        <v>1570</v>
      </c>
      <c r="B1616" s="1" t="s">
        <v>26</v>
      </c>
      <c r="C1616" s="1" t="s">
        <v>63</v>
      </c>
      <c r="E1616">
        <v>1</v>
      </c>
      <c r="F1616" s="2">
        <v>44125</v>
      </c>
      <c r="G1616" s="2" t="str">
        <f>TEXT(LayoffsData[[#This Row],[date]],"yyyy-mm")</f>
        <v>2020-10</v>
      </c>
      <c r="H1616" s="1" t="s">
        <v>105</v>
      </c>
      <c r="I1616" s="1" t="s">
        <v>17</v>
      </c>
      <c r="J1616">
        <v>1800</v>
      </c>
    </row>
    <row r="1617" spans="1:10" x14ac:dyDescent="0.25">
      <c r="A1617" s="1" t="s">
        <v>1571</v>
      </c>
      <c r="B1617" s="1" t="s">
        <v>35</v>
      </c>
      <c r="C1617" s="1" t="s">
        <v>10</v>
      </c>
      <c r="D1617">
        <v>60</v>
      </c>
      <c r="F1617" s="2">
        <v>44816</v>
      </c>
      <c r="G1617" s="2" t="str">
        <f>TEXT(LayoffsData[[#This Row],[date]],"yyyy-mm")</f>
        <v>2022-09</v>
      </c>
      <c r="H1617" s="1" t="s">
        <v>57</v>
      </c>
      <c r="I1617" s="1" t="s">
        <v>38</v>
      </c>
      <c r="J1617">
        <v>28</v>
      </c>
    </row>
    <row r="1618" spans="1:10" x14ac:dyDescent="0.25">
      <c r="A1618" s="1" t="s">
        <v>1572</v>
      </c>
      <c r="B1618" s="1" t="s">
        <v>343</v>
      </c>
      <c r="C1618" s="1" t="s">
        <v>36</v>
      </c>
      <c r="D1618">
        <v>20</v>
      </c>
      <c r="E1618">
        <v>0.2</v>
      </c>
      <c r="F1618" s="2">
        <v>44889</v>
      </c>
      <c r="G1618" s="2" t="str">
        <f>TEXT(LayoffsData[[#This Row],[date]],"yyyy-mm")</f>
        <v>2022-11</v>
      </c>
      <c r="H1618" s="1" t="s">
        <v>37</v>
      </c>
      <c r="I1618" s="1" t="s">
        <v>140</v>
      </c>
      <c r="J1618">
        <v>3</v>
      </c>
    </row>
    <row r="1619" spans="1:10" x14ac:dyDescent="0.25">
      <c r="A1619" s="1" t="s">
        <v>1573</v>
      </c>
      <c r="B1619" s="1" t="s">
        <v>157</v>
      </c>
      <c r="C1619" s="1" t="s">
        <v>63</v>
      </c>
      <c r="F1619" s="2">
        <v>44966</v>
      </c>
      <c r="G1619" s="2" t="str">
        <f>TEXT(LayoffsData[[#This Row],[date]],"yyyy-mm")</f>
        <v>2023-02</v>
      </c>
      <c r="H1619" s="1" t="s">
        <v>37</v>
      </c>
      <c r="I1619" s="1" t="s">
        <v>17</v>
      </c>
    </row>
    <row r="1620" spans="1:10" x14ac:dyDescent="0.25">
      <c r="A1620" s="1" t="s">
        <v>1574</v>
      </c>
      <c r="B1620" s="1" t="s">
        <v>35</v>
      </c>
      <c r="C1620" s="1" t="s">
        <v>174</v>
      </c>
      <c r="D1620">
        <v>88</v>
      </c>
      <c r="E1620">
        <v>0.08</v>
      </c>
      <c r="F1620" s="2">
        <v>43938</v>
      </c>
      <c r="G1620" s="2" t="str">
        <f>TEXT(LayoffsData[[#This Row],[date]],"yyyy-mm")</f>
        <v>2020-04</v>
      </c>
      <c r="H1620" s="1" t="s">
        <v>33</v>
      </c>
      <c r="I1620" s="1" t="s">
        <v>38</v>
      </c>
      <c r="J1620">
        <v>335</v>
      </c>
    </row>
    <row r="1621" spans="1:10" x14ac:dyDescent="0.25">
      <c r="A1621" s="1" t="s">
        <v>1574</v>
      </c>
      <c r="B1621" s="1" t="s">
        <v>35</v>
      </c>
      <c r="C1621" s="1" t="s">
        <v>174</v>
      </c>
      <c r="D1621">
        <v>160</v>
      </c>
      <c r="E1621">
        <v>0.04</v>
      </c>
      <c r="F1621" s="2">
        <v>44670</v>
      </c>
      <c r="G1621" s="2" t="str">
        <f>TEXT(LayoffsData[[#This Row],[date]],"yyyy-mm")</f>
        <v>2022-04</v>
      </c>
      <c r="H1621" s="1" t="s">
        <v>16</v>
      </c>
      <c r="I1621" s="1" t="s">
        <v>38</v>
      </c>
      <c r="J1621">
        <v>755</v>
      </c>
    </row>
    <row r="1622" spans="1:10" x14ac:dyDescent="0.25">
      <c r="A1622" s="1" t="s">
        <v>1575</v>
      </c>
      <c r="B1622" s="1" t="s">
        <v>55</v>
      </c>
      <c r="C1622" s="1" t="s">
        <v>74</v>
      </c>
      <c r="D1622">
        <v>80</v>
      </c>
      <c r="E1622">
        <v>0.19</v>
      </c>
      <c r="F1622" s="2">
        <v>44741</v>
      </c>
      <c r="G1622" s="2" t="str">
        <f>TEXT(LayoffsData[[#This Row],[date]],"yyyy-mm")</f>
        <v>2022-06</v>
      </c>
      <c r="H1622" s="1" t="s">
        <v>16</v>
      </c>
      <c r="I1622" s="1" t="s">
        <v>17</v>
      </c>
      <c r="J1622">
        <v>347</v>
      </c>
    </row>
    <row r="1623" spans="1:10" x14ac:dyDescent="0.25">
      <c r="A1623" s="1" t="s">
        <v>1576</v>
      </c>
      <c r="B1623" s="1" t="s">
        <v>14</v>
      </c>
      <c r="C1623" s="1" t="s">
        <v>27</v>
      </c>
      <c r="F1623" s="2">
        <v>44952</v>
      </c>
      <c r="G1623" s="2" t="str">
        <f>TEXT(LayoffsData[[#This Row],[date]],"yyyy-mm")</f>
        <v>2023-01</v>
      </c>
      <c r="H1623" s="1" t="s">
        <v>33</v>
      </c>
      <c r="I1623" s="1" t="s">
        <v>17</v>
      </c>
      <c r="J1623">
        <v>226</v>
      </c>
    </row>
    <row r="1624" spans="1:10" x14ac:dyDescent="0.25">
      <c r="A1624" s="1" t="s">
        <v>1577</v>
      </c>
      <c r="B1624" s="1" t="s">
        <v>238</v>
      </c>
      <c r="C1624" s="1" t="s">
        <v>165</v>
      </c>
      <c r="E1624">
        <v>0.7</v>
      </c>
      <c r="F1624" s="2">
        <v>43948</v>
      </c>
      <c r="G1624" s="2" t="str">
        <f>TEXT(LayoffsData[[#This Row],[date]],"yyyy-mm")</f>
        <v>2020-04</v>
      </c>
      <c r="H1624" s="1" t="s">
        <v>131</v>
      </c>
      <c r="I1624" s="1" t="s">
        <v>17</v>
      </c>
      <c r="J1624">
        <v>4</v>
      </c>
    </row>
    <row r="1625" spans="1:10" x14ac:dyDescent="0.25">
      <c r="A1625" s="1" t="s">
        <v>1578</v>
      </c>
      <c r="B1625" s="1" t="s">
        <v>55</v>
      </c>
      <c r="C1625" s="1" t="s">
        <v>10</v>
      </c>
      <c r="D1625">
        <v>63</v>
      </c>
      <c r="E1625">
        <v>0.1</v>
      </c>
      <c r="F1625" s="2">
        <v>44763</v>
      </c>
      <c r="G1625" s="2" t="str">
        <f>TEXT(LayoffsData[[#This Row],[date]],"yyyy-mm")</f>
        <v>2022-07</v>
      </c>
      <c r="H1625" s="1" t="s">
        <v>33</v>
      </c>
      <c r="I1625" s="1" t="s">
        <v>17</v>
      </c>
      <c r="J1625">
        <v>329</v>
      </c>
    </row>
    <row r="1626" spans="1:10" x14ac:dyDescent="0.25">
      <c r="A1626" s="1" t="s">
        <v>1578</v>
      </c>
      <c r="B1626" s="1" t="s">
        <v>55</v>
      </c>
      <c r="C1626" s="1" t="s">
        <v>10</v>
      </c>
      <c r="D1626">
        <v>100</v>
      </c>
      <c r="E1626">
        <v>0.14000000000000001</v>
      </c>
      <c r="F1626" s="2">
        <v>44663</v>
      </c>
      <c r="G1626" s="2" t="str">
        <f>TEXT(LayoffsData[[#This Row],[date]],"yyyy-mm")</f>
        <v>2022-04</v>
      </c>
      <c r="H1626" s="1" t="s">
        <v>33</v>
      </c>
      <c r="I1626" s="1" t="s">
        <v>17</v>
      </c>
      <c r="J1626">
        <v>329</v>
      </c>
    </row>
    <row r="1627" spans="1:10" x14ac:dyDescent="0.25">
      <c r="A1627" s="1" t="s">
        <v>1579</v>
      </c>
      <c r="B1627" s="1" t="s">
        <v>1580</v>
      </c>
      <c r="C1627" s="1" t="s">
        <v>68</v>
      </c>
      <c r="F1627" s="2">
        <v>44714</v>
      </c>
      <c r="G1627" s="2" t="str">
        <f>TEXT(LayoffsData[[#This Row],[date]],"yyyy-mm")</f>
        <v>2022-06</v>
      </c>
      <c r="H1627" s="1" t="s">
        <v>24</v>
      </c>
      <c r="I1627" s="1" t="s">
        <v>1581</v>
      </c>
      <c r="J1627">
        <v>202</v>
      </c>
    </row>
    <row r="1628" spans="1:10" x14ac:dyDescent="0.25">
      <c r="A1628" s="1" t="s">
        <v>1582</v>
      </c>
      <c r="B1628" s="1" t="s">
        <v>92</v>
      </c>
      <c r="C1628" s="1" t="s">
        <v>20</v>
      </c>
      <c r="F1628" s="2">
        <v>43928</v>
      </c>
      <c r="G1628" s="2" t="str">
        <f>TEXT(LayoffsData[[#This Row],[date]],"yyyy-mm")</f>
        <v>2020-04</v>
      </c>
      <c r="H1628" s="1" t="s">
        <v>105</v>
      </c>
      <c r="I1628" s="1" t="s">
        <v>17</v>
      </c>
      <c r="J1628">
        <v>41</v>
      </c>
    </row>
    <row r="1629" spans="1:10" x14ac:dyDescent="0.25">
      <c r="A1629" s="1" t="s">
        <v>1583</v>
      </c>
      <c r="B1629" s="1" t="s">
        <v>406</v>
      </c>
      <c r="C1629" s="1" t="s">
        <v>376</v>
      </c>
      <c r="D1629">
        <v>60</v>
      </c>
      <c r="F1629" s="2">
        <v>43917</v>
      </c>
      <c r="G1629" s="2" t="str">
        <f>TEXT(LayoffsData[[#This Row],[date]],"yyyy-mm")</f>
        <v>2020-03</v>
      </c>
      <c r="H1629" s="1" t="s">
        <v>21</v>
      </c>
      <c r="I1629" s="1" t="s">
        <v>17</v>
      </c>
      <c r="J1629">
        <v>12</v>
      </c>
    </row>
    <row r="1630" spans="1:10" x14ac:dyDescent="0.25">
      <c r="A1630" s="1" t="s">
        <v>1584</v>
      </c>
      <c r="B1630" s="1" t="s">
        <v>9</v>
      </c>
      <c r="C1630" s="1" t="s">
        <v>113</v>
      </c>
      <c r="D1630">
        <v>78</v>
      </c>
      <c r="E1630">
        <v>0.3</v>
      </c>
      <c r="F1630" s="2">
        <v>43915</v>
      </c>
      <c r="G1630" s="2" t="str">
        <f>TEXT(LayoffsData[[#This Row],[date]],"yyyy-mm")</f>
        <v>2020-03</v>
      </c>
      <c r="H1630" s="1" t="s">
        <v>37</v>
      </c>
      <c r="I1630" s="1" t="s">
        <v>12</v>
      </c>
    </row>
    <row r="1631" spans="1:10" x14ac:dyDescent="0.25">
      <c r="A1631" s="1" t="s">
        <v>1585</v>
      </c>
      <c r="B1631" s="1" t="s">
        <v>387</v>
      </c>
      <c r="C1631" s="1" t="s">
        <v>51</v>
      </c>
      <c r="F1631" s="2">
        <v>44943</v>
      </c>
      <c r="G1631" s="2" t="str">
        <f>TEXT(LayoffsData[[#This Row],[date]],"yyyy-mm")</f>
        <v>2023-01</v>
      </c>
      <c r="H1631" s="1" t="s">
        <v>37</v>
      </c>
      <c r="I1631" s="1" t="s">
        <v>388</v>
      </c>
      <c r="J1631">
        <v>2300</v>
      </c>
    </row>
    <row r="1632" spans="1:10" x14ac:dyDescent="0.25">
      <c r="A1632" s="1" t="s">
        <v>1586</v>
      </c>
      <c r="B1632" s="1" t="s">
        <v>168</v>
      </c>
      <c r="C1632" s="1" t="s">
        <v>68</v>
      </c>
      <c r="F1632" s="2">
        <v>44887</v>
      </c>
      <c r="G1632" s="2" t="str">
        <f>TEXT(LayoffsData[[#This Row],[date]],"yyyy-mm")</f>
        <v>2022-11</v>
      </c>
      <c r="H1632" s="1" t="s">
        <v>37</v>
      </c>
      <c r="I1632" s="1" t="s">
        <v>170</v>
      </c>
      <c r="J1632">
        <v>770</v>
      </c>
    </row>
    <row r="1633" spans="1:10" x14ac:dyDescent="0.25">
      <c r="A1633" s="1" t="s">
        <v>1587</v>
      </c>
      <c r="B1633" s="1" t="s">
        <v>79</v>
      </c>
      <c r="C1633" s="1" t="s">
        <v>74</v>
      </c>
      <c r="D1633">
        <v>59</v>
      </c>
      <c r="E1633">
        <v>0.4</v>
      </c>
      <c r="F1633" s="2">
        <v>44650</v>
      </c>
      <c r="G1633" s="2" t="str">
        <f>TEXT(LayoffsData[[#This Row],[date]],"yyyy-mm")</f>
        <v>2022-03</v>
      </c>
      <c r="H1633" s="1" t="s">
        <v>24</v>
      </c>
      <c r="I1633" s="1" t="s">
        <v>80</v>
      </c>
      <c r="J1633">
        <v>40</v>
      </c>
    </row>
    <row r="1634" spans="1:10" x14ac:dyDescent="0.25">
      <c r="A1634" s="1" t="s">
        <v>1588</v>
      </c>
      <c r="B1634" s="1" t="s">
        <v>137</v>
      </c>
      <c r="C1634" s="1" t="s">
        <v>68</v>
      </c>
      <c r="F1634" s="2">
        <v>44943</v>
      </c>
      <c r="G1634" s="2" t="str">
        <f>TEXT(LayoffsData[[#This Row],[date]],"yyyy-mm")</f>
        <v>2023-01</v>
      </c>
      <c r="H1634" s="1" t="s">
        <v>57</v>
      </c>
      <c r="I1634" s="1" t="s">
        <v>17</v>
      </c>
      <c r="J1634">
        <v>2</v>
      </c>
    </row>
    <row r="1635" spans="1:10" x14ac:dyDescent="0.25">
      <c r="A1635" s="1" t="s">
        <v>1589</v>
      </c>
      <c r="B1635" s="1" t="s">
        <v>273</v>
      </c>
      <c r="C1635" s="1" t="s">
        <v>29</v>
      </c>
      <c r="E1635">
        <v>0.12</v>
      </c>
      <c r="F1635" s="2">
        <v>44911</v>
      </c>
      <c r="G1635" s="2" t="str">
        <f>TEXT(LayoffsData[[#This Row],[date]],"yyyy-mm")</f>
        <v>2022-12</v>
      </c>
      <c r="H1635" s="1" t="s">
        <v>21</v>
      </c>
      <c r="I1635" s="1" t="s">
        <v>12</v>
      </c>
      <c r="J1635">
        <v>30</v>
      </c>
    </row>
    <row r="1636" spans="1:10" x14ac:dyDescent="0.25">
      <c r="A1636" s="1" t="s">
        <v>1590</v>
      </c>
      <c r="B1636" s="1" t="s">
        <v>14</v>
      </c>
      <c r="C1636" s="1" t="s">
        <v>174</v>
      </c>
      <c r="D1636">
        <v>140</v>
      </c>
      <c r="E1636">
        <v>1</v>
      </c>
      <c r="F1636" s="2">
        <v>44797</v>
      </c>
      <c r="G1636" s="2" t="str">
        <f>TEXT(LayoffsData[[#This Row],[date]],"yyyy-mm")</f>
        <v>2022-08</v>
      </c>
      <c r="H1636" s="1" t="s">
        <v>24</v>
      </c>
      <c r="I1636" s="1" t="s">
        <v>17</v>
      </c>
      <c r="J1636">
        <v>117</v>
      </c>
    </row>
    <row r="1637" spans="1:10" x14ac:dyDescent="0.25">
      <c r="A1637" s="1" t="s">
        <v>1591</v>
      </c>
      <c r="B1637" s="1" t="s">
        <v>55</v>
      </c>
      <c r="C1637" s="1" t="s">
        <v>15</v>
      </c>
      <c r="D1637">
        <v>11</v>
      </c>
      <c r="E1637">
        <v>0.05</v>
      </c>
      <c r="F1637" s="2">
        <v>44763</v>
      </c>
      <c r="G1637" s="2" t="str">
        <f>TEXT(LayoffsData[[#This Row],[date]],"yyyy-mm")</f>
        <v>2022-07</v>
      </c>
      <c r="H1637" s="1" t="s">
        <v>24</v>
      </c>
      <c r="I1637" s="1" t="s">
        <v>17</v>
      </c>
      <c r="J1637">
        <v>42</v>
      </c>
    </row>
    <row r="1638" spans="1:10" x14ac:dyDescent="0.25">
      <c r="A1638" s="1" t="s">
        <v>1591</v>
      </c>
      <c r="B1638" s="1" t="s">
        <v>55</v>
      </c>
      <c r="C1638" s="1" t="s">
        <v>15</v>
      </c>
      <c r="D1638">
        <v>40</v>
      </c>
      <c r="E1638">
        <v>0.13</v>
      </c>
      <c r="F1638" s="2">
        <v>43942</v>
      </c>
      <c r="G1638" s="2" t="str">
        <f>TEXT(LayoffsData[[#This Row],[date]],"yyyy-mm")</f>
        <v>2020-04</v>
      </c>
      <c r="H1638" s="1" t="s">
        <v>24</v>
      </c>
      <c r="I1638" s="1" t="s">
        <v>17</v>
      </c>
      <c r="J1638">
        <v>42</v>
      </c>
    </row>
    <row r="1639" spans="1:10" x14ac:dyDescent="0.25">
      <c r="A1639" s="1" t="s">
        <v>1592</v>
      </c>
      <c r="B1639" s="1" t="s">
        <v>14</v>
      </c>
      <c r="C1639" s="1" t="s">
        <v>174</v>
      </c>
      <c r="F1639" s="2">
        <v>44812</v>
      </c>
      <c r="G1639" s="2" t="str">
        <f>TEXT(LayoffsData[[#This Row],[date]],"yyyy-mm")</f>
        <v>2022-09</v>
      </c>
      <c r="H1639" s="1" t="s">
        <v>57</v>
      </c>
      <c r="I1639" s="1" t="s">
        <v>17</v>
      </c>
    </row>
    <row r="1640" spans="1:10" x14ac:dyDescent="0.25">
      <c r="A1640" s="1" t="s">
        <v>1593</v>
      </c>
      <c r="B1640" s="1" t="s">
        <v>67</v>
      </c>
      <c r="C1640" s="1" t="s">
        <v>51</v>
      </c>
      <c r="E1640">
        <v>0.02</v>
      </c>
      <c r="F1640" s="2">
        <v>44942</v>
      </c>
      <c r="G1640" s="2" t="str">
        <f>TEXT(LayoffsData[[#This Row],[date]],"yyyy-mm")</f>
        <v>2023-01</v>
      </c>
      <c r="H1640" s="1" t="s">
        <v>37</v>
      </c>
      <c r="I1640" s="1" t="s">
        <v>69</v>
      </c>
      <c r="J1640">
        <v>548</v>
      </c>
    </row>
    <row r="1641" spans="1:10" x14ac:dyDescent="0.25">
      <c r="A1641" s="1" t="s">
        <v>1594</v>
      </c>
      <c r="B1641" s="1" t="s">
        <v>26</v>
      </c>
      <c r="C1641" s="1" t="s">
        <v>68</v>
      </c>
      <c r="D1641">
        <v>84</v>
      </c>
      <c r="E1641">
        <v>0.17</v>
      </c>
      <c r="F1641" s="2">
        <v>44861</v>
      </c>
      <c r="G1641" s="2" t="str">
        <f>TEXT(LayoffsData[[#This Row],[date]],"yyyy-mm")</f>
        <v>2022-10</v>
      </c>
      <c r="H1641" s="1" t="s">
        <v>24</v>
      </c>
      <c r="I1641" s="1" t="s">
        <v>17</v>
      </c>
      <c r="J1641">
        <v>277</v>
      </c>
    </row>
    <row r="1642" spans="1:10" x14ac:dyDescent="0.25">
      <c r="A1642" s="1" t="s">
        <v>1595</v>
      </c>
      <c r="B1642" s="1" t="s">
        <v>182</v>
      </c>
      <c r="C1642" s="1" t="s">
        <v>36</v>
      </c>
      <c r="D1642">
        <v>235</v>
      </c>
      <c r="F1642" s="2">
        <v>44902</v>
      </c>
      <c r="G1642" s="2" t="str">
        <f>TEXT(LayoffsData[[#This Row],[date]],"yyyy-mm")</f>
        <v>2022-12</v>
      </c>
      <c r="H1642" s="1" t="s">
        <v>21</v>
      </c>
      <c r="I1642" s="1" t="s">
        <v>17</v>
      </c>
      <c r="J1642">
        <v>55</v>
      </c>
    </row>
    <row r="1643" spans="1:10" x14ac:dyDescent="0.25">
      <c r="A1643" s="1" t="s">
        <v>1596</v>
      </c>
      <c r="B1643" s="1" t="s">
        <v>259</v>
      </c>
      <c r="C1643" s="1" t="s">
        <v>29</v>
      </c>
      <c r="E1643">
        <v>0.14000000000000001</v>
      </c>
      <c r="F1643" s="2">
        <v>44944</v>
      </c>
      <c r="G1643" s="2" t="str">
        <f>TEXT(LayoffsData[[#This Row],[date]],"yyyy-mm")</f>
        <v>2023-01</v>
      </c>
      <c r="H1643" s="1" t="s">
        <v>11</v>
      </c>
      <c r="I1643" s="1" t="s">
        <v>46</v>
      </c>
      <c r="J1643">
        <v>55</v>
      </c>
    </row>
    <row r="1644" spans="1:10" x14ac:dyDescent="0.25">
      <c r="A1644" s="1" t="s">
        <v>1597</v>
      </c>
      <c r="B1644" s="1" t="s">
        <v>101</v>
      </c>
      <c r="C1644" s="1" t="s">
        <v>84</v>
      </c>
      <c r="F1644" s="2">
        <v>43935</v>
      </c>
      <c r="G1644" s="2" t="str">
        <f>TEXT(LayoffsData[[#This Row],[date]],"yyyy-mm")</f>
        <v>2020-04</v>
      </c>
      <c r="H1644" s="1" t="s">
        <v>28</v>
      </c>
      <c r="I1644" s="1" t="s">
        <v>101</v>
      </c>
      <c r="J1644">
        <v>134</v>
      </c>
    </row>
    <row r="1645" spans="1:10" x14ac:dyDescent="0.25">
      <c r="A1645" s="1" t="s">
        <v>1597</v>
      </c>
      <c r="B1645" s="1" t="s">
        <v>101</v>
      </c>
      <c r="C1645" s="1" t="s">
        <v>84</v>
      </c>
      <c r="E1645">
        <v>0.1</v>
      </c>
      <c r="F1645" s="2">
        <v>43929</v>
      </c>
      <c r="G1645" s="2" t="str">
        <f>TEXT(LayoffsData[[#This Row],[date]],"yyyy-mm")</f>
        <v>2020-04</v>
      </c>
      <c r="H1645" s="1" t="s">
        <v>28</v>
      </c>
      <c r="I1645" s="1" t="s">
        <v>101</v>
      </c>
      <c r="J1645">
        <v>134</v>
      </c>
    </row>
    <row r="1646" spans="1:10" x14ac:dyDescent="0.25">
      <c r="A1646" s="1" t="s">
        <v>1598</v>
      </c>
      <c r="B1646" s="1" t="s">
        <v>32</v>
      </c>
      <c r="C1646" s="1" t="s">
        <v>15</v>
      </c>
      <c r="D1646">
        <v>67</v>
      </c>
      <c r="E1646">
        <v>0.2</v>
      </c>
      <c r="F1646" s="2">
        <v>44844</v>
      </c>
      <c r="G1646" s="2" t="str">
        <f>TEXT(LayoffsData[[#This Row],[date]],"yyyy-mm")</f>
        <v>2022-10</v>
      </c>
      <c r="H1646" s="1" t="s">
        <v>28</v>
      </c>
      <c r="I1646" s="1" t="s">
        <v>17</v>
      </c>
      <c r="J1646">
        <v>315</v>
      </c>
    </row>
    <row r="1647" spans="1:10" x14ac:dyDescent="0.25">
      <c r="A1647" s="1" t="s">
        <v>1599</v>
      </c>
      <c r="B1647" s="1" t="s">
        <v>55</v>
      </c>
      <c r="C1647" s="1" t="s">
        <v>174</v>
      </c>
      <c r="D1647">
        <v>236</v>
      </c>
      <c r="E1647">
        <v>7.0000000000000007E-2</v>
      </c>
      <c r="F1647" s="2">
        <v>43928</v>
      </c>
      <c r="G1647" s="2" t="str">
        <f>TEXT(LayoffsData[[#This Row],[date]],"yyyy-mm")</f>
        <v>2020-04</v>
      </c>
      <c r="H1647" s="1" t="s">
        <v>11</v>
      </c>
      <c r="I1647" s="1" t="s">
        <v>17</v>
      </c>
      <c r="J1647">
        <v>319</v>
      </c>
    </row>
    <row r="1648" spans="1:10" x14ac:dyDescent="0.25">
      <c r="A1648" s="1" t="s">
        <v>1599</v>
      </c>
      <c r="B1648" s="1" t="s">
        <v>55</v>
      </c>
      <c r="C1648" s="1" t="s">
        <v>174</v>
      </c>
      <c r="D1648">
        <v>470</v>
      </c>
      <c r="E1648">
        <v>0.08</v>
      </c>
      <c r="F1648" s="2">
        <v>44726</v>
      </c>
      <c r="G1648" s="2" t="str">
        <f>TEXT(LayoffsData[[#This Row],[date]],"yyyy-mm")</f>
        <v>2022-06</v>
      </c>
      <c r="H1648" s="1" t="s">
        <v>11</v>
      </c>
      <c r="I1648" s="1" t="s">
        <v>17</v>
      </c>
      <c r="J1648">
        <v>319</v>
      </c>
    </row>
    <row r="1649" spans="1:10" x14ac:dyDescent="0.25">
      <c r="A1649" s="1" t="s">
        <v>1599</v>
      </c>
      <c r="B1649" s="1" t="s">
        <v>55</v>
      </c>
      <c r="C1649" s="1" t="s">
        <v>174</v>
      </c>
      <c r="D1649">
        <v>862</v>
      </c>
      <c r="E1649">
        <v>0.13</v>
      </c>
      <c r="F1649" s="2">
        <v>44874</v>
      </c>
      <c r="G1649" s="2" t="str">
        <f>TEXT(LayoffsData[[#This Row],[date]],"yyyy-mm")</f>
        <v>2022-11</v>
      </c>
      <c r="H1649" s="1" t="s">
        <v>11</v>
      </c>
      <c r="I1649" s="1" t="s">
        <v>17</v>
      </c>
      <c r="J1649">
        <v>320</v>
      </c>
    </row>
    <row r="1650" spans="1:10" x14ac:dyDescent="0.25">
      <c r="A1650" s="1" t="s">
        <v>1600</v>
      </c>
      <c r="B1650" s="1" t="s">
        <v>1601</v>
      </c>
      <c r="C1650" s="1" t="s">
        <v>15</v>
      </c>
      <c r="D1650">
        <v>44</v>
      </c>
      <c r="E1650">
        <v>0.25</v>
      </c>
      <c r="F1650" s="2">
        <v>43998</v>
      </c>
      <c r="G1650" s="2" t="str">
        <f>TEXT(LayoffsData[[#This Row],[date]],"yyyy-mm")</f>
        <v>2020-06</v>
      </c>
      <c r="H1650" s="1" t="s">
        <v>28</v>
      </c>
      <c r="I1650" s="1" t="s">
        <v>17</v>
      </c>
      <c r="J1650">
        <v>50</v>
      </c>
    </row>
    <row r="1651" spans="1:10" x14ac:dyDescent="0.25">
      <c r="A1651" s="1" t="s">
        <v>1602</v>
      </c>
      <c r="B1651" s="1" t="s">
        <v>168</v>
      </c>
      <c r="C1651" s="1" t="s">
        <v>10</v>
      </c>
      <c r="D1651">
        <v>31</v>
      </c>
      <c r="E1651">
        <v>0.11</v>
      </c>
      <c r="F1651" s="2">
        <v>44966</v>
      </c>
      <c r="G1651" s="2" t="str">
        <f>TEXT(LayoffsData[[#This Row],[date]],"yyyy-mm")</f>
        <v>2023-02</v>
      </c>
      <c r="H1651" s="1" t="s">
        <v>11</v>
      </c>
      <c r="I1651" s="1" t="s">
        <v>170</v>
      </c>
      <c r="J1651">
        <v>317</v>
      </c>
    </row>
    <row r="1652" spans="1:10" x14ac:dyDescent="0.25">
      <c r="A1652" s="1" t="s">
        <v>1603</v>
      </c>
      <c r="B1652" s="1" t="s">
        <v>182</v>
      </c>
      <c r="C1652" s="1" t="s">
        <v>10</v>
      </c>
      <c r="D1652">
        <v>750</v>
      </c>
      <c r="E1652">
        <v>0.05</v>
      </c>
      <c r="F1652" s="2">
        <v>44687</v>
      </c>
      <c r="G1652" s="2" t="str">
        <f>TEXT(LayoffsData[[#This Row],[date]],"yyyy-mm")</f>
        <v>2022-05</v>
      </c>
      <c r="H1652" s="1" t="s">
        <v>37</v>
      </c>
      <c r="I1652" s="1" t="s">
        <v>17</v>
      </c>
      <c r="J1652">
        <v>1500</v>
      </c>
    </row>
    <row r="1653" spans="1:10" x14ac:dyDescent="0.25">
      <c r="A1653" s="1" t="s">
        <v>1604</v>
      </c>
      <c r="B1653" s="1" t="s">
        <v>14</v>
      </c>
      <c r="C1653" s="1" t="s">
        <v>41</v>
      </c>
      <c r="F1653" s="2">
        <v>44875</v>
      </c>
      <c r="G1653" s="2" t="str">
        <f>TEXT(LayoffsData[[#This Row],[date]],"yyyy-mm")</f>
        <v>2022-11</v>
      </c>
      <c r="H1653" s="1" t="s">
        <v>24</v>
      </c>
      <c r="I1653" s="1" t="s">
        <v>17</v>
      </c>
      <c r="J1653">
        <v>81</v>
      </c>
    </row>
    <row r="1654" spans="1:10" x14ac:dyDescent="0.25">
      <c r="A1654" s="1" t="s">
        <v>1605</v>
      </c>
      <c r="B1654" s="1" t="s">
        <v>76</v>
      </c>
      <c r="C1654" s="1" t="s">
        <v>598</v>
      </c>
      <c r="D1654">
        <v>150</v>
      </c>
      <c r="E1654">
        <v>0.1</v>
      </c>
      <c r="F1654" s="2">
        <v>44902</v>
      </c>
      <c r="G1654" s="2" t="str">
        <f>TEXT(LayoffsData[[#This Row],[date]],"yyyy-mm")</f>
        <v>2022-12</v>
      </c>
      <c r="H1654" s="1" t="s">
        <v>105</v>
      </c>
      <c r="I1654" s="1" t="s">
        <v>17</v>
      </c>
      <c r="J1654">
        <v>125</v>
      </c>
    </row>
    <row r="1655" spans="1:10" x14ac:dyDescent="0.25">
      <c r="A1655" s="1" t="s">
        <v>1606</v>
      </c>
      <c r="B1655" s="1" t="s">
        <v>293</v>
      </c>
      <c r="C1655" s="1" t="s">
        <v>147</v>
      </c>
      <c r="D1655">
        <v>40</v>
      </c>
      <c r="E1655">
        <v>0.2</v>
      </c>
      <c r="F1655" s="2">
        <v>44936</v>
      </c>
      <c r="G1655" s="2" t="str">
        <f>TEXT(LayoffsData[[#This Row],[date]],"yyyy-mm")</f>
        <v>2023-01</v>
      </c>
      <c r="H1655" s="1" t="s">
        <v>94</v>
      </c>
      <c r="I1655" s="1" t="s">
        <v>69</v>
      </c>
    </row>
    <row r="1656" spans="1:10" x14ac:dyDescent="0.25">
      <c r="A1656" s="1" t="s">
        <v>1607</v>
      </c>
      <c r="B1656" s="1" t="s">
        <v>26</v>
      </c>
      <c r="C1656" s="1" t="s">
        <v>63</v>
      </c>
      <c r="F1656" s="2">
        <v>44972</v>
      </c>
      <c r="G1656" s="2" t="str">
        <f>TEXT(LayoffsData[[#This Row],[date]],"yyyy-mm")</f>
        <v>2023-02</v>
      </c>
      <c r="H1656" s="1" t="s">
        <v>24</v>
      </c>
      <c r="I1656" s="1" t="s">
        <v>17</v>
      </c>
      <c r="J1656">
        <v>63</v>
      </c>
    </row>
    <row r="1657" spans="1:10" x14ac:dyDescent="0.25">
      <c r="A1657" s="1" t="s">
        <v>1608</v>
      </c>
      <c r="B1657" s="1" t="s">
        <v>137</v>
      </c>
      <c r="C1657" s="1" t="s">
        <v>15</v>
      </c>
      <c r="D1657">
        <v>82</v>
      </c>
      <c r="F1657" s="2">
        <v>44133</v>
      </c>
      <c r="G1657" s="2" t="str">
        <f>TEXT(LayoffsData[[#This Row],[date]],"yyyy-mm")</f>
        <v>2020-10</v>
      </c>
      <c r="H1657" s="1" t="s">
        <v>21</v>
      </c>
      <c r="I1657" s="1" t="s">
        <v>17</v>
      </c>
      <c r="J1657">
        <v>13</v>
      </c>
    </row>
    <row r="1658" spans="1:10" x14ac:dyDescent="0.25">
      <c r="A1658" s="1" t="s">
        <v>1609</v>
      </c>
      <c r="B1658" s="1" t="s">
        <v>32</v>
      </c>
      <c r="C1658" s="1" t="s">
        <v>53</v>
      </c>
      <c r="F1658" s="2">
        <v>44743</v>
      </c>
      <c r="G1658" s="2" t="str">
        <f>TEXT(LayoffsData[[#This Row],[date]],"yyyy-mm")</f>
        <v>2022-07</v>
      </c>
      <c r="H1658" s="1" t="s">
        <v>21</v>
      </c>
      <c r="I1658" s="1" t="s">
        <v>17</v>
      </c>
      <c r="J1658">
        <v>38</v>
      </c>
    </row>
    <row r="1659" spans="1:10" x14ac:dyDescent="0.25">
      <c r="A1659" s="1" t="s">
        <v>1610</v>
      </c>
      <c r="B1659" s="1" t="s">
        <v>14</v>
      </c>
      <c r="C1659" s="1" t="s">
        <v>147</v>
      </c>
      <c r="D1659">
        <v>100</v>
      </c>
      <c r="E1659">
        <v>0.09</v>
      </c>
      <c r="F1659" s="2">
        <v>44748</v>
      </c>
      <c r="G1659" s="2" t="str">
        <f>TEXT(LayoffsData[[#This Row],[date]],"yyyy-mm")</f>
        <v>2022-07</v>
      </c>
      <c r="H1659" s="1" t="s">
        <v>28</v>
      </c>
      <c r="I1659" s="1" t="s">
        <v>17</v>
      </c>
      <c r="J1659">
        <v>496</v>
      </c>
    </row>
    <row r="1660" spans="1:10" x14ac:dyDescent="0.25">
      <c r="A1660" s="1" t="s">
        <v>1611</v>
      </c>
      <c r="B1660" s="1" t="s">
        <v>76</v>
      </c>
      <c r="C1660" s="1" t="s">
        <v>84</v>
      </c>
      <c r="D1660">
        <v>50</v>
      </c>
      <c r="E1660">
        <v>0.5</v>
      </c>
      <c r="F1660" s="2">
        <v>43909</v>
      </c>
      <c r="G1660" s="2" t="str">
        <f>TEXT(LayoffsData[[#This Row],[date]],"yyyy-mm")</f>
        <v>2020-03</v>
      </c>
      <c r="H1660" s="1" t="s">
        <v>24</v>
      </c>
      <c r="I1660" s="1" t="s">
        <v>17</v>
      </c>
      <c r="J1660">
        <v>17</v>
      </c>
    </row>
    <row r="1661" spans="1:10" x14ac:dyDescent="0.25">
      <c r="A1661" s="1" t="s">
        <v>1612</v>
      </c>
      <c r="B1661" s="1" t="s">
        <v>343</v>
      </c>
      <c r="C1661" s="1" t="s">
        <v>68</v>
      </c>
      <c r="D1661">
        <v>391</v>
      </c>
      <c r="E1661">
        <v>0.5</v>
      </c>
      <c r="F1661" s="2">
        <v>43949</v>
      </c>
      <c r="G1661" s="2" t="str">
        <f>TEXT(LayoffsData[[#This Row],[date]],"yyyy-mm")</f>
        <v>2020-04</v>
      </c>
      <c r="H1661" s="1" t="s">
        <v>37</v>
      </c>
      <c r="I1661" s="1" t="s">
        <v>140</v>
      </c>
    </row>
    <row r="1662" spans="1:10" x14ac:dyDescent="0.25">
      <c r="A1662" s="1" t="s">
        <v>1613</v>
      </c>
      <c r="B1662" s="1" t="s">
        <v>134</v>
      </c>
      <c r="C1662" s="1" t="s">
        <v>376</v>
      </c>
      <c r="D1662">
        <v>70</v>
      </c>
      <c r="E1662">
        <v>0.12</v>
      </c>
      <c r="F1662" s="2">
        <v>44777</v>
      </c>
      <c r="G1662" s="2" t="str">
        <f>TEXT(LayoffsData[[#This Row],[date]],"yyyy-mm")</f>
        <v>2022-08</v>
      </c>
      <c r="H1662" s="1" t="s">
        <v>24</v>
      </c>
      <c r="I1662" s="1" t="s">
        <v>12</v>
      </c>
      <c r="J1662">
        <v>163</v>
      </c>
    </row>
    <row r="1663" spans="1:10" x14ac:dyDescent="0.25">
      <c r="A1663" s="1" t="s">
        <v>1613</v>
      </c>
      <c r="B1663" s="1" t="s">
        <v>134</v>
      </c>
      <c r="C1663" s="1" t="s">
        <v>376</v>
      </c>
      <c r="D1663">
        <v>210</v>
      </c>
      <c r="E1663">
        <v>0.43</v>
      </c>
      <c r="F1663" s="2">
        <v>44861</v>
      </c>
      <c r="G1663" s="2" t="str">
        <f>TEXT(LayoffsData[[#This Row],[date]],"yyyy-mm")</f>
        <v>2022-10</v>
      </c>
      <c r="H1663" s="1" t="s">
        <v>24</v>
      </c>
      <c r="I1663" s="1" t="s">
        <v>12</v>
      </c>
      <c r="J1663">
        <v>163</v>
      </c>
    </row>
    <row r="1664" spans="1:10" x14ac:dyDescent="0.25">
      <c r="A1664" s="1" t="s">
        <v>1614</v>
      </c>
      <c r="B1664" s="1" t="s">
        <v>32</v>
      </c>
      <c r="C1664" s="1" t="s">
        <v>29</v>
      </c>
      <c r="F1664" s="2">
        <v>43918</v>
      </c>
      <c r="G1664" s="2" t="str">
        <f>TEXT(LayoffsData[[#This Row],[date]],"yyyy-mm")</f>
        <v>2020-03</v>
      </c>
      <c r="H1664" s="1" t="s">
        <v>86</v>
      </c>
      <c r="I1664" s="1" t="s">
        <v>17</v>
      </c>
      <c r="J1664">
        <v>541</v>
      </c>
    </row>
    <row r="1665" spans="1:10" x14ac:dyDescent="0.25">
      <c r="A1665" s="1" t="s">
        <v>1614</v>
      </c>
      <c r="B1665" s="1" t="s">
        <v>32</v>
      </c>
      <c r="C1665" s="1" t="s">
        <v>29</v>
      </c>
      <c r="E1665">
        <v>0.24</v>
      </c>
      <c r="F1665" s="2">
        <v>44816</v>
      </c>
      <c r="G1665" s="2" t="str">
        <f>TEXT(LayoffsData[[#This Row],[date]],"yyyy-mm")</f>
        <v>2022-09</v>
      </c>
      <c r="H1665" s="1" t="s">
        <v>11</v>
      </c>
      <c r="I1665" s="1" t="s">
        <v>17</v>
      </c>
      <c r="J1665">
        <v>526</v>
      </c>
    </row>
    <row r="1666" spans="1:10" x14ac:dyDescent="0.25">
      <c r="A1666" s="1" t="s">
        <v>1615</v>
      </c>
      <c r="B1666" s="1" t="s">
        <v>73</v>
      </c>
      <c r="C1666" s="1" t="s">
        <v>15</v>
      </c>
      <c r="D1666">
        <v>65</v>
      </c>
      <c r="E1666">
        <v>0.5</v>
      </c>
      <c r="F1666" s="2">
        <v>44873</v>
      </c>
      <c r="G1666" s="2" t="str">
        <f>TEXT(LayoffsData[[#This Row],[date]],"yyyy-mm")</f>
        <v>2022-11</v>
      </c>
      <c r="H1666" s="1" t="s">
        <v>24</v>
      </c>
      <c r="I1666" s="1" t="s">
        <v>17</v>
      </c>
      <c r="J1666">
        <v>257</v>
      </c>
    </row>
    <row r="1667" spans="1:10" x14ac:dyDescent="0.25">
      <c r="A1667" s="1" t="s">
        <v>1616</v>
      </c>
      <c r="B1667" s="1" t="s">
        <v>26</v>
      </c>
      <c r="C1667" s="1" t="s">
        <v>124</v>
      </c>
      <c r="D1667">
        <v>50</v>
      </c>
      <c r="F1667" s="2">
        <v>44712</v>
      </c>
      <c r="G1667" s="2" t="str">
        <f>TEXT(LayoffsData[[#This Row],[date]],"yyyy-mm")</f>
        <v>2022-05</v>
      </c>
      <c r="H1667" s="1" t="s">
        <v>28</v>
      </c>
      <c r="I1667" s="1" t="s">
        <v>17</v>
      </c>
      <c r="J1667">
        <v>85</v>
      </c>
    </row>
    <row r="1668" spans="1:10" x14ac:dyDescent="0.25">
      <c r="A1668" s="1" t="s">
        <v>1617</v>
      </c>
      <c r="B1668" s="1" t="s">
        <v>79</v>
      </c>
      <c r="C1668" s="1" t="s">
        <v>149</v>
      </c>
      <c r="D1668">
        <v>25</v>
      </c>
      <c r="E1668">
        <v>0.1</v>
      </c>
      <c r="F1668" s="2">
        <v>44893</v>
      </c>
      <c r="G1668" s="2" t="str">
        <f>TEXT(LayoffsData[[#This Row],[date]],"yyyy-mm")</f>
        <v>2022-11</v>
      </c>
      <c r="H1668" s="1" t="s">
        <v>33</v>
      </c>
      <c r="I1668" s="1" t="s">
        <v>80</v>
      </c>
      <c r="J1668">
        <v>87</v>
      </c>
    </row>
    <row r="1669" spans="1:10" x14ac:dyDescent="0.25">
      <c r="A1669" s="1" t="s">
        <v>1618</v>
      </c>
      <c r="B1669" s="1" t="s">
        <v>14</v>
      </c>
      <c r="C1669" s="1" t="s">
        <v>36</v>
      </c>
      <c r="F1669" s="2">
        <v>44974</v>
      </c>
      <c r="G1669" s="2" t="str">
        <f>TEXT(LayoffsData[[#This Row],[date]],"yyyy-mm")</f>
        <v>2023-02</v>
      </c>
      <c r="H1669" s="1" t="s">
        <v>37</v>
      </c>
      <c r="I1669" s="1" t="s">
        <v>17</v>
      </c>
    </row>
    <row r="1670" spans="1:10" x14ac:dyDescent="0.25">
      <c r="A1670" s="1" t="s">
        <v>1619</v>
      </c>
      <c r="B1670" s="1" t="s">
        <v>26</v>
      </c>
      <c r="C1670" s="1" t="s">
        <v>51</v>
      </c>
      <c r="D1670">
        <v>175</v>
      </c>
      <c r="F1670" s="2">
        <v>43917</v>
      </c>
      <c r="G1670" s="2" t="str">
        <f>TEXT(LayoffsData[[#This Row],[date]],"yyyy-mm")</f>
        <v>2020-03</v>
      </c>
      <c r="H1670" s="1" t="s">
        <v>28</v>
      </c>
      <c r="I1670" s="1" t="s">
        <v>17</v>
      </c>
      <c r="J1670">
        <v>127</v>
      </c>
    </row>
    <row r="1671" spans="1:10" x14ac:dyDescent="0.25">
      <c r="A1671" s="1" t="s">
        <v>1620</v>
      </c>
      <c r="B1671" s="1" t="s">
        <v>137</v>
      </c>
      <c r="C1671" s="1" t="s">
        <v>74</v>
      </c>
      <c r="D1671">
        <v>85</v>
      </c>
      <c r="F1671" s="2">
        <v>44841</v>
      </c>
      <c r="G1671" s="2" t="str">
        <f>TEXT(LayoffsData[[#This Row],[date]],"yyyy-mm")</f>
        <v>2022-10</v>
      </c>
      <c r="H1671" s="1" t="s">
        <v>33</v>
      </c>
      <c r="I1671" s="1" t="s">
        <v>17</v>
      </c>
      <c r="J1671">
        <v>30</v>
      </c>
    </row>
    <row r="1672" spans="1:10" x14ac:dyDescent="0.25">
      <c r="A1672" s="1" t="s">
        <v>1621</v>
      </c>
      <c r="B1672" s="1" t="s">
        <v>134</v>
      </c>
      <c r="C1672" s="1" t="s">
        <v>74</v>
      </c>
      <c r="D1672">
        <v>24</v>
      </c>
      <c r="E1672">
        <v>0.3</v>
      </c>
      <c r="F1672" s="2">
        <v>44911</v>
      </c>
      <c r="G1672" s="2" t="str">
        <f>TEXT(LayoffsData[[#This Row],[date]],"yyyy-mm")</f>
        <v>2022-12</v>
      </c>
      <c r="H1672" s="1" t="s">
        <v>21</v>
      </c>
      <c r="I1672" s="1" t="s">
        <v>12</v>
      </c>
      <c r="J1672">
        <v>26</v>
      </c>
    </row>
    <row r="1673" spans="1:10" x14ac:dyDescent="0.25">
      <c r="A1673" s="1" t="s">
        <v>1622</v>
      </c>
      <c r="B1673" s="1" t="s">
        <v>200</v>
      </c>
      <c r="C1673" s="1" t="s">
        <v>68</v>
      </c>
      <c r="D1673">
        <v>60</v>
      </c>
      <c r="E1673">
        <v>0.03</v>
      </c>
      <c r="F1673" s="2">
        <v>43962</v>
      </c>
      <c r="G1673" s="2" t="str">
        <f>TEXT(LayoffsData[[#This Row],[date]],"yyyy-mm")</f>
        <v>2020-05</v>
      </c>
      <c r="H1673" s="1" t="s">
        <v>33</v>
      </c>
      <c r="I1673" s="1" t="s">
        <v>201</v>
      </c>
      <c r="J1673">
        <v>837</v>
      </c>
    </row>
    <row r="1674" spans="1:10" x14ac:dyDescent="0.25">
      <c r="A1674" s="1" t="s">
        <v>1623</v>
      </c>
      <c r="B1674" s="1" t="s">
        <v>32</v>
      </c>
      <c r="C1674" s="1" t="s">
        <v>174</v>
      </c>
      <c r="D1674">
        <v>57</v>
      </c>
      <c r="E1674">
        <v>0.2</v>
      </c>
      <c r="F1674" s="2">
        <v>44595</v>
      </c>
      <c r="G1674" s="2" t="str">
        <f>TEXT(LayoffsData[[#This Row],[date]],"yyyy-mm")</f>
        <v>2022-02</v>
      </c>
      <c r="H1674" s="1" t="s">
        <v>37</v>
      </c>
      <c r="I1674" s="1" t="s">
        <v>17</v>
      </c>
      <c r="J1674">
        <v>133</v>
      </c>
    </row>
    <row r="1675" spans="1:10" x14ac:dyDescent="0.25">
      <c r="A1675" s="1" t="s">
        <v>1624</v>
      </c>
      <c r="B1675" s="1" t="s">
        <v>14</v>
      </c>
      <c r="C1675" s="1" t="s">
        <v>376</v>
      </c>
      <c r="D1675">
        <v>16</v>
      </c>
      <c r="E1675">
        <v>0.27</v>
      </c>
      <c r="F1675" s="2">
        <v>43931</v>
      </c>
      <c r="G1675" s="2" t="str">
        <f>TEXT(LayoffsData[[#This Row],[date]],"yyyy-mm")</f>
        <v>2020-04</v>
      </c>
      <c r="H1675" s="1" t="s">
        <v>24</v>
      </c>
      <c r="I1675" s="1" t="s">
        <v>17</v>
      </c>
      <c r="J1675">
        <v>35</v>
      </c>
    </row>
    <row r="1676" spans="1:10" x14ac:dyDescent="0.25">
      <c r="A1676" s="1" t="s">
        <v>1625</v>
      </c>
      <c r="B1676" s="1" t="s">
        <v>32</v>
      </c>
      <c r="C1676" s="1" t="s">
        <v>174</v>
      </c>
      <c r="D1676">
        <v>136</v>
      </c>
      <c r="F1676" s="2">
        <v>44770</v>
      </c>
      <c r="G1676" s="2" t="str">
        <f>TEXT(LayoffsData[[#This Row],[date]],"yyyy-mm")</f>
        <v>2022-07</v>
      </c>
      <c r="H1676" s="1" t="s">
        <v>28</v>
      </c>
      <c r="I1676" s="1" t="s">
        <v>17</v>
      </c>
      <c r="J1676">
        <v>405</v>
      </c>
    </row>
    <row r="1677" spans="1:10" x14ac:dyDescent="0.25">
      <c r="A1677" s="1" t="s">
        <v>1625</v>
      </c>
      <c r="B1677" s="1" t="s">
        <v>32</v>
      </c>
      <c r="C1677" s="1" t="s">
        <v>174</v>
      </c>
      <c r="D1677">
        <v>170</v>
      </c>
      <c r="E1677">
        <v>0.85</v>
      </c>
      <c r="F1677" s="2">
        <v>44879</v>
      </c>
      <c r="G1677" s="2" t="str">
        <f>TEXT(LayoffsData[[#This Row],[date]],"yyyy-mm")</f>
        <v>2022-11</v>
      </c>
      <c r="H1677" s="1" t="s">
        <v>28</v>
      </c>
      <c r="I1677" s="1" t="s">
        <v>17</v>
      </c>
      <c r="J1677">
        <v>405</v>
      </c>
    </row>
    <row r="1678" spans="1:10" x14ac:dyDescent="0.25">
      <c r="A1678" s="1" t="s">
        <v>1626</v>
      </c>
      <c r="B1678" s="1" t="s">
        <v>14</v>
      </c>
      <c r="C1678" s="1" t="s">
        <v>10</v>
      </c>
      <c r="D1678">
        <v>35</v>
      </c>
      <c r="E1678">
        <v>0.15</v>
      </c>
      <c r="F1678" s="2">
        <v>43965</v>
      </c>
      <c r="G1678" s="2" t="str">
        <f>TEXT(LayoffsData[[#This Row],[date]],"yyyy-mm")</f>
        <v>2020-05</v>
      </c>
      <c r="H1678" s="1" t="s">
        <v>24</v>
      </c>
      <c r="I1678" s="1" t="s">
        <v>17</v>
      </c>
      <c r="J1678">
        <v>73</v>
      </c>
    </row>
    <row r="1679" spans="1:10" x14ac:dyDescent="0.25">
      <c r="A1679" s="1" t="s">
        <v>1627</v>
      </c>
      <c r="B1679" s="1" t="s">
        <v>14</v>
      </c>
      <c r="C1679" s="1" t="s">
        <v>325</v>
      </c>
      <c r="E1679">
        <v>0.28000000000000003</v>
      </c>
      <c r="F1679" s="2">
        <v>44967</v>
      </c>
      <c r="G1679" s="2" t="str">
        <f>TEXT(LayoffsData[[#This Row],[date]],"yyyy-mm")</f>
        <v>2023-02</v>
      </c>
      <c r="H1679" s="1" t="s">
        <v>11</v>
      </c>
      <c r="I1679" s="1" t="s">
        <v>17</v>
      </c>
      <c r="J1679">
        <v>298</v>
      </c>
    </row>
    <row r="1680" spans="1:10" x14ac:dyDescent="0.25">
      <c r="A1680" s="1" t="s">
        <v>1628</v>
      </c>
      <c r="B1680" s="1" t="s">
        <v>137</v>
      </c>
      <c r="C1680" s="1" t="s">
        <v>45</v>
      </c>
      <c r="D1680">
        <v>120</v>
      </c>
      <c r="E1680">
        <v>0.25</v>
      </c>
      <c r="F1680" s="2">
        <v>43920</v>
      </c>
      <c r="G1680" s="2" t="str">
        <f>TEXT(LayoffsData[[#This Row],[date]],"yyyy-mm")</f>
        <v>2020-03</v>
      </c>
      <c r="H1680" s="1" t="s">
        <v>33</v>
      </c>
      <c r="I1680" s="1" t="s">
        <v>17</v>
      </c>
      <c r="J1680">
        <v>423</v>
      </c>
    </row>
    <row r="1681" spans="1:10" x14ac:dyDescent="0.25">
      <c r="A1681" s="1" t="s">
        <v>1629</v>
      </c>
      <c r="B1681" s="1" t="s">
        <v>14</v>
      </c>
      <c r="C1681" s="1" t="s">
        <v>149</v>
      </c>
      <c r="E1681">
        <v>0.1</v>
      </c>
      <c r="F1681" s="2">
        <v>44874</v>
      </c>
      <c r="G1681" s="2" t="str">
        <f>TEXT(LayoffsData[[#This Row],[date]],"yyyy-mm")</f>
        <v>2022-11</v>
      </c>
      <c r="H1681" s="1" t="s">
        <v>11</v>
      </c>
      <c r="I1681" s="1" t="s">
        <v>17</v>
      </c>
      <c r="J1681">
        <v>44</v>
      </c>
    </row>
    <row r="1682" spans="1:10" x14ac:dyDescent="0.25">
      <c r="A1682" s="1" t="s">
        <v>1629</v>
      </c>
      <c r="B1682" s="1" t="s">
        <v>14</v>
      </c>
      <c r="C1682" s="1" t="s">
        <v>149</v>
      </c>
      <c r="D1682">
        <v>30</v>
      </c>
      <c r="F1682" s="2">
        <v>44943</v>
      </c>
      <c r="G1682" s="2" t="str">
        <f>TEXT(LayoffsData[[#This Row],[date]],"yyyy-mm")</f>
        <v>2023-01</v>
      </c>
      <c r="H1682" s="1" t="s">
        <v>11</v>
      </c>
      <c r="I1682" s="1" t="s">
        <v>17</v>
      </c>
      <c r="J1682">
        <v>44</v>
      </c>
    </row>
    <row r="1683" spans="1:10" x14ac:dyDescent="0.25">
      <c r="A1683" s="1" t="s">
        <v>1629</v>
      </c>
      <c r="B1683" s="1" t="s">
        <v>14</v>
      </c>
      <c r="C1683" s="1" t="s">
        <v>53</v>
      </c>
      <c r="D1683">
        <v>50</v>
      </c>
      <c r="F1683" s="2">
        <v>44777</v>
      </c>
      <c r="G1683" s="2" t="str">
        <f>TEXT(LayoffsData[[#This Row],[date]],"yyyy-mm")</f>
        <v>2022-08</v>
      </c>
      <c r="H1683" s="1" t="s">
        <v>11</v>
      </c>
      <c r="I1683" s="1" t="s">
        <v>17</v>
      </c>
      <c r="J1683">
        <v>44</v>
      </c>
    </row>
    <row r="1684" spans="1:10" x14ac:dyDescent="0.25">
      <c r="A1684" s="1" t="s">
        <v>1630</v>
      </c>
      <c r="B1684" s="1" t="s">
        <v>26</v>
      </c>
      <c r="C1684" s="1" t="s">
        <v>27</v>
      </c>
      <c r="D1684">
        <v>46</v>
      </c>
      <c r="F1684" s="2">
        <v>44945</v>
      </c>
      <c r="G1684" s="2" t="str">
        <f>TEXT(LayoffsData[[#This Row],[date]],"yyyy-mm")</f>
        <v>2023-01</v>
      </c>
      <c r="H1684" s="1" t="s">
        <v>57</v>
      </c>
      <c r="I1684" s="1" t="s">
        <v>17</v>
      </c>
      <c r="J1684">
        <v>21</v>
      </c>
    </row>
    <row r="1685" spans="1:10" x14ac:dyDescent="0.25">
      <c r="A1685" s="1" t="s">
        <v>1631</v>
      </c>
      <c r="B1685" s="1" t="s">
        <v>9</v>
      </c>
      <c r="C1685" s="1" t="s">
        <v>51</v>
      </c>
      <c r="D1685">
        <v>23</v>
      </c>
      <c r="E1685">
        <v>0.16</v>
      </c>
      <c r="F1685" s="2">
        <v>44734</v>
      </c>
      <c r="G1685" s="2" t="str">
        <f>TEXT(LayoffsData[[#This Row],[date]],"yyyy-mm")</f>
        <v>2022-06</v>
      </c>
      <c r="H1685" s="1" t="s">
        <v>28</v>
      </c>
      <c r="I1685" s="1" t="s">
        <v>12</v>
      </c>
      <c r="J1685">
        <v>134</v>
      </c>
    </row>
    <row r="1686" spans="1:10" x14ac:dyDescent="0.25">
      <c r="A1686" s="1" t="s">
        <v>1631</v>
      </c>
      <c r="B1686" s="1" t="s">
        <v>9</v>
      </c>
      <c r="C1686" s="1" t="s">
        <v>51</v>
      </c>
      <c r="D1686">
        <v>196</v>
      </c>
      <c r="E1686">
        <v>0.54</v>
      </c>
      <c r="F1686" s="2">
        <v>43923</v>
      </c>
      <c r="G1686" s="2" t="str">
        <f>TEXT(LayoffsData[[#This Row],[date]],"yyyy-mm")</f>
        <v>2020-04</v>
      </c>
      <c r="H1686" s="1" t="s">
        <v>28</v>
      </c>
      <c r="I1686" s="1" t="s">
        <v>12</v>
      </c>
      <c r="J1686">
        <v>112</v>
      </c>
    </row>
    <row r="1687" spans="1:10" x14ac:dyDescent="0.25">
      <c r="A1687" s="1" t="s">
        <v>1632</v>
      </c>
      <c r="B1687" s="1" t="s">
        <v>226</v>
      </c>
      <c r="C1687" s="1" t="s">
        <v>10</v>
      </c>
      <c r="E1687">
        <v>0.06</v>
      </c>
      <c r="F1687" s="2">
        <v>44958</v>
      </c>
      <c r="G1687" s="2" t="str">
        <f>TEXT(LayoffsData[[#This Row],[date]],"yyyy-mm")</f>
        <v>2023-02</v>
      </c>
      <c r="H1687" s="1" t="s">
        <v>11</v>
      </c>
      <c r="I1687" s="1" t="s">
        <v>17</v>
      </c>
      <c r="J1687">
        <v>10700</v>
      </c>
    </row>
    <row r="1688" spans="1:10" x14ac:dyDescent="0.25">
      <c r="A1688" s="1" t="s">
        <v>1632</v>
      </c>
      <c r="B1688" s="1" t="s">
        <v>226</v>
      </c>
      <c r="C1688" s="1" t="s">
        <v>10</v>
      </c>
      <c r="D1688">
        <v>40</v>
      </c>
      <c r="E1688">
        <v>0.02</v>
      </c>
      <c r="F1688" s="2">
        <v>43984</v>
      </c>
      <c r="G1688" s="2" t="str">
        <f>TEXT(LayoffsData[[#This Row],[date]],"yyyy-mm")</f>
        <v>2020-06</v>
      </c>
      <c r="H1688" s="1" t="s">
        <v>105</v>
      </c>
      <c r="I1688" s="1" t="s">
        <v>17</v>
      </c>
      <c r="J1688">
        <v>3100</v>
      </c>
    </row>
    <row r="1689" spans="1:10" x14ac:dyDescent="0.25">
      <c r="A1689" s="1" t="s">
        <v>1632</v>
      </c>
      <c r="B1689" s="1" t="s">
        <v>226</v>
      </c>
      <c r="C1689" s="1" t="s">
        <v>10</v>
      </c>
      <c r="D1689">
        <v>840</v>
      </c>
      <c r="E1689">
        <v>0.06</v>
      </c>
      <c r="F1689" s="2">
        <v>44769</v>
      </c>
      <c r="G1689" s="2" t="str">
        <f>TEXT(LayoffsData[[#This Row],[date]],"yyyy-mm")</f>
        <v>2022-07</v>
      </c>
      <c r="H1689" s="1" t="s">
        <v>11</v>
      </c>
      <c r="I1689" s="1" t="s">
        <v>17</v>
      </c>
      <c r="J1689">
        <v>10700</v>
      </c>
    </row>
    <row r="1690" spans="1:10" x14ac:dyDescent="0.25">
      <c r="A1690" s="1" t="s">
        <v>1633</v>
      </c>
      <c r="B1690" s="1" t="s">
        <v>32</v>
      </c>
      <c r="C1690" s="1" t="s">
        <v>15</v>
      </c>
      <c r="E1690">
        <v>0.18</v>
      </c>
      <c r="F1690" s="2">
        <v>44735</v>
      </c>
      <c r="G1690" s="2" t="str">
        <f>TEXT(LayoffsData[[#This Row],[date]],"yyyy-mm")</f>
        <v>2022-06</v>
      </c>
      <c r="H1690" s="1" t="s">
        <v>37</v>
      </c>
      <c r="I1690" s="1" t="s">
        <v>17</v>
      </c>
      <c r="J1690">
        <v>1000</v>
      </c>
    </row>
    <row r="1691" spans="1:10" x14ac:dyDescent="0.25">
      <c r="A1691" s="1" t="s">
        <v>1634</v>
      </c>
      <c r="B1691" s="1" t="s">
        <v>14</v>
      </c>
      <c r="C1691" s="1" t="s">
        <v>68</v>
      </c>
      <c r="D1691">
        <v>340</v>
      </c>
      <c r="E1691">
        <v>0.09</v>
      </c>
      <c r="F1691" s="2">
        <v>44677</v>
      </c>
      <c r="G1691" s="2" t="str">
        <f>TEXT(LayoffsData[[#This Row],[date]],"yyyy-mm")</f>
        <v>2022-04</v>
      </c>
      <c r="H1691" s="1" t="s">
        <v>11</v>
      </c>
      <c r="I1691" s="1" t="s">
        <v>17</v>
      </c>
      <c r="J1691">
        <v>5600</v>
      </c>
    </row>
    <row r="1692" spans="1:10" x14ac:dyDescent="0.25">
      <c r="A1692" s="1" t="s">
        <v>1634</v>
      </c>
      <c r="B1692" s="1" t="s">
        <v>14</v>
      </c>
      <c r="C1692" s="1" t="s">
        <v>68</v>
      </c>
      <c r="D1692">
        <v>713</v>
      </c>
      <c r="E1692">
        <v>0.23</v>
      </c>
      <c r="F1692" s="2">
        <v>44775</v>
      </c>
      <c r="G1692" s="2" t="str">
        <f>TEXT(LayoffsData[[#This Row],[date]],"yyyy-mm")</f>
        <v>2022-08</v>
      </c>
      <c r="H1692" s="1" t="s">
        <v>11</v>
      </c>
      <c r="I1692" s="1" t="s">
        <v>17</v>
      </c>
      <c r="J1692">
        <v>5600</v>
      </c>
    </row>
    <row r="1693" spans="1:10" x14ac:dyDescent="0.25">
      <c r="A1693" s="1" t="s">
        <v>1635</v>
      </c>
      <c r="B1693" s="1" t="s">
        <v>972</v>
      </c>
      <c r="C1693" s="1" t="s">
        <v>20</v>
      </c>
      <c r="D1693">
        <v>100</v>
      </c>
      <c r="E1693">
        <v>0.2</v>
      </c>
      <c r="F1693" s="2">
        <v>43927</v>
      </c>
      <c r="G1693" s="2" t="str">
        <f>TEXT(LayoffsData[[#This Row],[date]],"yyyy-mm")</f>
        <v>2020-04</v>
      </c>
      <c r="H1693" s="1" t="s">
        <v>21</v>
      </c>
      <c r="I1693" s="1" t="s">
        <v>38</v>
      </c>
      <c r="J1693">
        <v>1</v>
      </c>
    </row>
    <row r="1694" spans="1:10" x14ac:dyDescent="0.25">
      <c r="A1694" s="1" t="s">
        <v>1635</v>
      </c>
      <c r="B1694" s="1" t="s">
        <v>182</v>
      </c>
      <c r="C1694" s="1" t="s">
        <v>20</v>
      </c>
      <c r="E1694">
        <v>0.15</v>
      </c>
      <c r="F1694" s="2">
        <v>44938</v>
      </c>
      <c r="G1694" s="2" t="str">
        <f>TEXT(LayoffsData[[#This Row],[date]],"yyyy-mm")</f>
        <v>2023-01</v>
      </c>
      <c r="H1694" s="1" t="s">
        <v>24</v>
      </c>
      <c r="I1694" s="1" t="s">
        <v>17</v>
      </c>
      <c r="J1694">
        <v>34</v>
      </c>
    </row>
    <row r="1695" spans="1:10" x14ac:dyDescent="0.25">
      <c r="A1695" s="1" t="s">
        <v>1636</v>
      </c>
      <c r="B1695" s="1" t="s">
        <v>14</v>
      </c>
      <c r="C1695" s="1" t="s">
        <v>63</v>
      </c>
      <c r="D1695">
        <v>200</v>
      </c>
      <c r="E1695">
        <v>7.0000000000000007E-2</v>
      </c>
      <c r="F1695" s="2">
        <v>44882</v>
      </c>
      <c r="G1695" s="2" t="str">
        <f>TEXT(LayoffsData[[#This Row],[date]],"yyyy-mm")</f>
        <v>2022-11</v>
      </c>
      <c r="H1695" s="1" t="s">
        <v>11</v>
      </c>
      <c r="I1695" s="1" t="s">
        <v>17</v>
      </c>
      <c r="J1695">
        <v>208</v>
      </c>
    </row>
    <row r="1696" spans="1:10" x14ac:dyDescent="0.25">
      <c r="A1696" s="1" t="s">
        <v>1637</v>
      </c>
      <c r="B1696" s="1" t="s">
        <v>14</v>
      </c>
      <c r="C1696" s="1" t="s">
        <v>174</v>
      </c>
      <c r="E1696">
        <v>0.2</v>
      </c>
      <c r="F1696" s="2">
        <v>44854</v>
      </c>
      <c r="G1696" s="2" t="str">
        <f>TEXT(LayoffsData[[#This Row],[date]],"yyyy-mm")</f>
        <v>2022-10</v>
      </c>
      <c r="H1696" s="1" t="s">
        <v>16</v>
      </c>
      <c r="I1696" s="1" t="s">
        <v>17</v>
      </c>
      <c r="J1696">
        <v>365</v>
      </c>
    </row>
    <row r="1697" spans="1:10" x14ac:dyDescent="0.25">
      <c r="A1697" s="1" t="s">
        <v>1638</v>
      </c>
      <c r="B1697" s="1" t="s">
        <v>241</v>
      </c>
      <c r="C1697" s="1" t="s">
        <v>68</v>
      </c>
      <c r="D1697">
        <v>137</v>
      </c>
      <c r="E1697">
        <v>0.2</v>
      </c>
      <c r="F1697" s="2">
        <v>44874</v>
      </c>
      <c r="G1697" s="2" t="str">
        <f>TEXT(LayoffsData[[#This Row],[date]],"yyyy-mm")</f>
        <v>2022-11</v>
      </c>
      <c r="H1697" s="1" t="s">
        <v>11</v>
      </c>
      <c r="I1697" s="1" t="s">
        <v>17</v>
      </c>
      <c r="J1697">
        <v>527</v>
      </c>
    </row>
    <row r="1698" spans="1:10" x14ac:dyDescent="0.25">
      <c r="A1698" s="1" t="s">
        <v>1638</v>
      </c>
      <c r="B1698" s="1" t="s">
        <v>241</v>
      </c>
      <c r="C1698" s="1" t="s">
        <v>68</v>
      </c>
      <c r="D1698">
        <v>330</v>
      </c>
      <c r="F1698" s="2">
        <v>44581</v>
      </c>
      <c r="G1698" s="2" t="str">
        <f>TEXT(LayoffsData[[#This Row],[date]],"yyyy-mm")</f>
        <v>2022-01</v>
      </c>
      <c r="H1698" s="1" t="s">
        <v>11</v>
      </c>
      <c r="I1698" s="1" t="s">
        <v>17</v>
      </c>
      <c r="J1698">
        <v>527</v>
      </c>
    </row>
    <row r="1699" spans="1:10" x14ac:dyDescent="0.25">
      <c r="A1699" s="1" t="s">
        <v>1639</v>
      </c>
      <c r="B1699" s="1" t="s">
        <v>1311</v>
      </c>
      <c r="C1699" s="1" t="s">
        <v>29</v>
      </c>
      <c r="F1699" s="2">
        <v>44900</v>
      </c>
      <c r="G1699" s="2" t="str">
        <f>TEXT(LayoffsData[[#This Row],[date]],"yyyy-mm")</f>
        <v>2022-12</v>
      </c>
      <c r="H1699" s="1" t="s">
        <v>37</v>
      </c>
      <c r="I1699" s="1" t="s">
        <v>17</v>
      </c>
      <c r="J1699">
        <v>481</v>
      </c>
    </row>
    <row r="1700" spans="1:10" x14ac:dyDescent="0.25">
      <c r="A1700" s="1" t="s">
        <v>1640</v>
      </c>
      <c r="B1700" s="1" t="s">
        <v>55</v>
      </c>
      <c r="C1700" s="1" t="s">
        <v>27</v>
      </c>
      <c r="D1700">
        <v>194</v>
      </c>
      <c r="E1700">
        <v>0.41</v>
      </c>
      <c r="F1700" s="2">
        <v>43921</v>
      </c>
      <c r="G1700" s="2" t="str">
        <f>TEXT(LayoffsData[[#This Row],[date]],"yyyy-mm")</f>
        <v>2020-03</v>
      </c>
      <c r="H1700" s="1" t="s">
        <v>450</v>
      </c>
      <c r="I1700" s="1" t="s">
        <v>17</v>
      </c>
      <c r="J1700">
        <v>310</v>
      </c>
    </row>
    <row r="1701" spans="1:10" x14ac:dyDescent="0.25">
      <c r="A1701" s="1" t="s">
        <v>1641</v>
      </c>
      <c r="B1701" s="1" t="s">
        <v>79</v>
      </c>
      <c r="C1701" s="1" t="s">
        <v>149</v>
      </c>
      <c r="D1701">
        <v>18</v>
      </c>
      <c r="E1701">
        <v>0.3</v>
      </c>
      <c r="F1701" s="2">
        <v>44741</v>
      </c>
      <c r="G1701" s="2" t="str">
        <f>TEXT(LayoffsData[[#This Row],[date]],"yyyy-mm")</f>
        <v>2022-06</v>
      </c>
      <c r="H1701" s="1" t="s">
        <v>24</v>
      </c>
      <c r="I1701" s="1" t="s">
        <v>80</v>
      </c>
      <c r="J1701">
        <v>25</v>
      </c>
    </row>
    <row r="1702" spans="1:10" x14ac:dyDescent="0.25">
      <c r="A1702" s="1" t="s">
        <v>1642</v>
      </c>
      <c r="B1702" s="1" t="s">
        <v>120</v>
      </c>
      <c r="C1702" s="1" t="s">
        <v>41</v>
      </c>
      <c r="F1702" s="2">
        <v>44883</v>
      </c>
      <c r="G1702" s="2" t="str">
        <f>TEXT(LayoffsData[[#This Row],[date]],"yyyy-mm")</f>
        <v>2022-11</v>
      </c>
      <c r="H1702" s="1" t="s">
        <v>37</v>
      </c>
      <c r="I1702" s="1" t="s">
        <v>121</v>
      </c>
      <c r="J1702">
        <v>205</v>
      </c>
    </row>
    <row r="1703" spans="1:10" x14ac:dyDescent="0.25">
      <c r="A1703" s="1" t="s">
        <v>1643</v>
      </c>
      <c r="B1703" s="1" t="s">
        <v>55</v>
      </c>
      <c r="C1703" s="1" t="s">
        <v>172</v>
      </c>
      <c r="E1703">
        <v>1</v>
      </c>
      <c r="F1703" s="2">
        <v>44140</v>
      </c>
      <c r="G1703" s="2" t="str">
        <f>TEXT(LayoffsData[[#This Row],[date]],"yyyy-mm")</f>
        <v>2020-11</v>
      </c>
      <c r="H1703" s="1" t="s">
        <v>21</v>
      </c>
      <c r="I1703" s="1" t="s">
        <v>17</v>
      </c>
      <c r="J1703">
        <v>14</v>
      </c>
    </row>
    <row r="1704" spans="1:10" x14ac:dyDescent="0.25">
      <c r="A1704" s="1" t="s">
        <v>1644</v>
      </c>
      <c r="B1704" s="1" t="s">
        <v>26</v>
      </c>
      <c r="C1704" s="1" t="s">
        <v>20</v>
      </c>
      <c r="D1704">
        <v>50</v>
      </c>
      <c r="E1704">
        <v>0.08</v>
      </c>
      <c r="F1704" s="2">
        <v>43957</v>
      </c>
      <c r="G1704" s="2" t="str">
        <f>TEXT(LayoffsData[[#This Row],[date]],"yyyy-mm")</f>
        <v>2020-05</v>
      </c>
      <c r="H1704" s="1" t="s">
        <v>11</v>
      </c>
      <c r="I1704" s="1" t="s">
        <v>17</v>
      </c>
      <c r="J1704">
        <v>60</v>
      </c>
    </row>
    <row r="1705" spans="1:10" x14ac:dyDescent="0.25">
      <c r="A1705" s="1" t="s">
        <v>1645</v>
      </c>
      <c r="B1705" s="1" t="s">
        <v>1646</v>
      </c>
      <c r="C1705" s="1" t="s">
        <v>149</v>
      </c>
      <c r="E1705">
        <v>0.11</v>
      </c>
      <c r="F1705" s="2">
        <v>44880</v>
      </c>
      <c r="G1705" s="2" t="str">
        <f>TEXT(LayoffsData[[#This Row],[date]],"yyyy-mm")</f>
        <v>2022-11</v>
      </c>
      <c r="H1705" s="1" t="s">
        <v>11</v>
      </c>
      <c r="I1705" s="1" t="s">
        <v>17</v>
      </c>
      <c r="J1705">
        <v>382</v>
      </c>
    </row>
    <row r="1706" spans="1:10" x14ac:dyDescent="0.25">
      <c r="A1706" s="1" t="s">
        <v>1647</v>
      </c>
      <c r="B1706" s="1" t="s">
        <v>73</v>
      </c>
      <c r="C1706" s="1" t="s">
        <v>15</v>
      </c>
      <c r="E1706">
        <v>0.82</v>
      </c>
      <c r="F1706" s="2">
        <v>44868</v>
      </c>
      <c r="G1706" s="2" t="str">
        <f>TEXT(LayoffsData[[#This Row],[date]],"yyyy-mm")</f>
        <v>2022-11</v>
      </c>
      <c r="H1706" s="1" t="s">
        <v>11</v>
      </c>
      <c r="I1706" s="1" t="s">
        <v>17</v>
      </c>
      <c r="J1706">
        <v>445</v>
      </c>
    </row>
    <row r="1707" spans="1:10" x14ac:dyDescent="0.25">
      <c r="A1707" s="1" t="s">
        <v>1647</v>
      </c>
      <c r="B1707" s="1" t="s">
        <v>73</v>
      </c>
      <c r="C1707" s="1" t="s">
        <v>15</v>
      </c>
      <c r="D1707">
        <v>160</v>
      </c>
      <c r="E1707">
        <v>0.75</v>
      </c>
      <c r="F1707" s="2">
        <v>44817</v>
      </c>
      <c r="G1707" s="2" t="str">
        <f>TEXT(LayoffsData[[#This Row],[date]],"yyyy-mm")</f>
        <v>2022-09</v>
      </c>
      <c r="H1707" s="1" t="s">
        <v>11</v>
      </c>
      <c r="I1707" s="1" t="s">
        <v>17</v>
      </c>
      <c r="J1707">
        <v>445</v>
      </c>
    </row>
    <row r="1708" spans="1:10" x14ac:dyDescent="0.25">
      <c r="A1708" s="1" t="s">
        <v>1648</v>
      </c>
      <c r="B1708" s="1" t="s">
        <v>14</v>
      </c>
      <c r="C1708" s="1" t="s">
        <v>124</v>
      </c>
      <c r="D1708">
        <v>57</v>
      </c>
      <c r="F1708" s="2">
        <v>43969</v>
      </c>
      <c r="G1708" s="2" t="str">
        <f>TEXT(LayoffsData[[#This Row],[date]],"yyyy-mm")</f>
        <v>2020-05</v>
      </c>
      <c r="H1708" s="1" t="s">
        <v>16</v>
      </c>
      <c r="I1708" s="1" t="s">
        <v>17</v>
      </c>
      <c r="J1708">
        <v>553</v>
      </c>
    </row>
    <row r="1709" spans="1:10" x14ac:dyDescent="0.25">
      <c r="A1709" s="1" t="s">
        <v>1649</v>
      </c>
      <c r="B1709" s="1" t="s">
        <v>26</v>
      </c>
      <c r="C1709" s="1" t="s">
        <v>29</v>
      </c>
      <c r="D1709">
        <v>100</v>
      </c>
      <c r="F1709" s="2">
        <v>44953</v>
      </c>
      <c r="G1709" s="2" t="str">
        <f>TEXT(LayoffsData[[#This Row],[date]],"yyyy-mm")</f>
        <v>2023-01</v>
      </c>
      <c r="H1709" s="1" t="s">
        <v>131</v>
      </c>
      <c r="I1709" s="1" t="s">
        <v>17</v>
      </c>
    </row>
    <row r="1710" spans="1:10" x14ac:dyDescent="0.25">
      <c r="A1710" s="1" t="s">
        <v>1650</v>
      </c>
      <c r="B1710" s="1" t="s">
        <v>293</v>
      </c>
      <c r="C1710" s="1" t="s">
        <v>68</v>
      </c>
      <c r="D1710">
        <v>50</v>
      </c>
      <c r="F1710" s="2">
        <v>44811</v>
      </c>
      <c r="G1710" s="2" t="str">
        <f>TEXT(LayoffsData[[#This Row],[date]],"yyyy-mm")</f>
        <v>2022-09</v>
      </c>
      <c r="H1710" s="1" t="s">
        <v>37</v>
      </c>
      <c r="I1710" s="1" t="s">
        <v>69</v>
      </c>
      <c r="J1710">
        <v>172</v>
      </c>
    </row>
    <row r="1711" spans="1:10" x14ac:dyDescent="0.25">
      <c r="A1711" s="1" t="s">
        <v>1650</v>
      </c>
      <c r="B1711" s="1" t="s">
        <v>293</v>
      </c>
      <c r="C1711" s="1" t="s">
        <v>68</v>
      </c>
      <c r="D1711">
        <v>180</v>
      </c>
      <c r="E1711">
        <v>0.15</v>
      </c>
      <c r="F1711" s="2">
        <v>44719</v>
      </c>
      <c r="G1711" s="2" t="str">
        <f>TEXT(LayoffsData[[#This Row],[date]],"yyyy-mm")</f>
        <v>2022-06</v>
      </c>
      <c r="H1711" s="1" t="s">
        <v>37</v>
      </c>
      <c r="I1711" s="1" t="s">
        <v>69</v>
      </c>
      <c r="J1711">
        <v>172</v>
      </c>
    </row>
    <row r="1712" spans="1:10" x14ac:dyDescent="0.25">
      <c r="A1712" s="1" t="s">
        <v>1651</v>
      </c>
      <c r="B1712" s="1" t="s">
        <v>26</v>
      </c>
      <c r="C1712" s="1" t="s">
        <v>149</v>
      </c>
      <c r="E1712">
        <v>0.11</v>
      </c>
      <c r="F1712" s="2">
        <v>44873</v>
      </c>
      <c r="G1712" s="2" t="str">
        <f>TEXT(LayoffsData[[#This Row],[date]],"yyyy-mm")</f>
        <v>2022-11</v>
      </c>
      <c r="H1712" s="1" t="s">
        <v>57</v>
      </c>
      <c r="I1712" s="1" t="s">
        <v>17</v>
      </c>
    </row>
    <row r="1713" spans="1:10" x14ac:dyDescent="0.25">
      <c r="A1713" s="1" t="s">
        <v>1652</v>
      </c>
      <c r="B1713" s="1" t="s">
        <v>14</v>
      </c>
      <c r="C1713" s="1" t="s">
        <v>74</v>
      </c>
      <c r="D1713">
        <v>27</v>
      </c>
      <c r="E1713">
        <v>0.25</v>
      </c>
      <c r="F1713" s="2">
        <v>44739</v>
      </c>
      <c r="G1713" s="2" t="str">
        <f>TEXT(LayoffsData[[#This Row],[date]],"yyyy-mm")</f>
        <v>2022-06</v>
      </c>
      <c r="H1713" s="1" t="s">
        <v>24</v>
      </c>
      <c r="I1713" s="1" t="s">
        <v>17</v>
      </c>
      <c r="J1713">
        <v>61</v>
      </c>
    </row>
    <row r="1714" spans="1:10" x14ac:dyDescent="0.25">
      <c r="A1714" s="1" t="s">
        <v>1653</v>
      </c>
      <c r="B1714" s="1" t="s">
        <v>73</v>
      </c>
      <c r="C1714" s="1" t="s">
        <v>15</v>
      </c>
      <c r="D1714">
        <v>340</v>
      </c>
      <c r="E1714">
        <v>0.53</v>
      </c>
      <c r="F1714" s="2">
        <v>43928</v>
      </c>
      <c r="G1714" s="2" t="str">
        <f>TEXT(LayoffsData[[#This Row],[date]],"yyyy-mm")</f>
        <v>2020-04</v>
      </c>
      <c r="H1714" s="1" t="s">
        <v>11</v>
      </c>
      <c r="I1714" s="1" t="s">
        <v>17</v>
      </c>
      <c r="J1714">
        <v>438</v>
      </c>
    </row>
    <row r="1715" spans="1:10" x14ac:dyDescent="0.25">
      <c r="A1715" s="1" t="s">
        <v>1654</v>
      </c>
      <c r="B1715" s="1" t="s">
        <v>32</v>
      </c>
      <c r="C1715" s="1" t="s">
        <v>29</v>
      </c>
      <c r="D1715">
        <v>100</v>
      </c>
      <c r="E1715">
        <v>0.05</v>
      </c>
      <c r="F1715" s="2">
        <v>44945</v>
      </c>
      <c r="G1715" s="2" t="str">
        <f>TEXT(LayoffsData[[#This Row],[date]],"yyyy-mm")</f>
        <v>2023-01</v>
      </c>
      <c r="H1715" s="1" t="s">
        <v>37</v>
      </c>
      <c r="I1715" s="1" t="s">
        <v>17</v>
      </c>
      <c r="J1715">
        <v>965</v>
      </c>
    </row>
    <row r="1716" spans="1:10" x14ac:dyDescent="0.25">
      <c r="A1716" s="1" t="s">
        <v>1655</v>
      </c>
      <c r="B1716" s="1" t="s">
        <v>130</v>
      </c>
      <c r="C1716" s="1" t="s">
        <v>48</v>
      </c>
      <c r="D1716">
        <v>20</v>
      </c>
      <c r="F1716" s="2">
        <v>44854</v>
      </c>
      <c r="G1716" s="2" t="str">
        <f>TEXT(LayoffsData[[#This Row],[date]],"yyyy-mm")</f>
        <v>2022-10</v>
      </c>
      <c r="H1716" s="1" t="s">
        <v>105</v>
      </c>
      <c r="I1716" s="1" t="s">
        <v>17</v>
      </c>
      <c r="J1716">
        <v>5</v>
      </c>
    </row>
    <row r="1717" spans="1:10" x14ac:dyDescent="0.25">
      <c r="A1717" s="1" t="s">
        <v>1656</v>
      </c>
      <c r="B1717" s="1" t="s">
        <v>14</v>
      </c>
      <c r="C1717" s="1" t="s">
        <v>48</v>
      </c>
      <c r="D1717">
        <v>90</v>
      </c>
      <c r="F1717" s="2">
        <v>44847</v>
      </c>
      <c r="G1717" s="2" t="str">
        <f>TEXT(LayoffsData[[#This Row],[date]],"yyyy-mm")</f>
        <v>2022-10</v>
      </c>
      <c r="H1717" s="1" t="s">
        <v>11</v>
      </c>
      <c r="I1717" s="1" t="s">
        <v>17</v>
      </c>
      <c r="J1717">
        <v>65</v>
      </c>
    </row>
    <row r="1718" spans="1:10" x14ac:dyDescent="0.25">
      <c r="A1718" s="1" t="s">
        <v>1656</v>
      </c>
      <c r="B1718" s="1" t="s">
        <v>14</v>
      </c>
      <c r="C1718" s="1" t="s">
        <v>48</v>
      </c>
      <c r="D1718">
        <v>1000</v>
      </c>
      <c r="E1718">
        <v>0.01</v>
      </c>
      <c r="F1718" s="2">
        <v>44872</v>
      </c>
      <c r="G1718" s="2" t="str">
        <f>TEXT(LayoffsData[[#This Row],[date]],"yyyy-mm")</f>
        <v>2022-11</v>
      </c>
      <c r="H1718" s="1" t="s">
        <v>11</v>
      </c>
      <c r="I1718" s="1" t="s">
        <v>17</v>
      </c>
      <c r="J1718">
        <v>65</v>
      </c>
    </row>
    <row r="1719" spans="1:10" x14ac:dyDescent="0.25">
      <c r="A1719" s="1" t="s">
        <v>1656</v>
      </c>
      <c r="B1719" s="1" t="s">
        <v>14</v>
      </c>
      <c r="C1719" s="1" t="s">
        <v>48</v>
      </c>
      <c r="D1719">
        <v>1000</v>
      </c>
      <c r="E1719">
        <v>1.8499999999999999E-2</v>
      </c>
      <c r="F1719" s="2">
        <v>44069</v>
      </c>
      <c r="G1719" s="2" t="str">
        <f>TEXT(LayoffsData[[#This Row],[date]],"yyyy-mm")</f>
        <v>2020-08</v>
      </c>
      <c r="H1719" s="1" t="s">
        <v>11</v>
      </c>
      <c r="I1719" s="1" t="s">
        <v>17</v>
      </c>
      <c r="J1719">
        <v>65</v>
      </c>
    </row>
    <row r="1720" spans="1:10" x14ac:dyDescent="0.25">
      <c r="A1720" s="1" t="s">
        <v>1656</v>
      </c>
      <c r="B1720" s="1" t="s">
        <v>14</v>
      </c>
      <c r="C1720" s="1" t="s">
        <v>48</v>
      </c>
      <c r="D1720">
        <v>8000</v>
      </c>
      <c r="E1720">
        <v>0.1</v>
      </c>
      <c r="F1720" s="2">
        <v>44930</v>
      </c>
      <c r="G1720" s="2" t="str">
        <f>TEXT(LayoffsData[[#This Row],[date]],"yyyy-mm")</f>
        <v>2023-01</v>
      </c>
      <c r="H1720" s="1" t="s">
        <v>11</v>
      </c>
      <c r="I1720" s="1" t="s">
        <v>17</v>
      </c>
      <c r="J1720">
        <v>65</v>
      </c>
    </row>
    <row r="1721" spans="1:10" x14ac:dyDescent="0.25">
      <c r="A1721" s="1" t="s">
        <v>1657</v>
      </c>
      <c r="B1721" s="1" t="s">
        <v>213</v>
      </c>
      <c r="C1721" s="1" t="s">
        <v>48</v>
      </c>
      <c r="D1721">
        <v>55</v>
      </c>
      <c r="F1721" s="2">
        <v>43958</v>
      </c>
      <c r="G1721" s="2" t="str">
        <f>TEXT(LayoffsData[[#This Row],[date]],"yyyy-mm")</f>
        <v>2020-05</v>
      </c>
      <c r="H1721" s="1" t="s">
        <v>33</v>
      </c>
      <c r="I1721" s="1" t="s">
        <v>17</v>
      </c>
      <c r="J1721">
        <v>145</v>
      </c>
    </row>
    <row r="1722" spans="1:10" x14ac:dyDescent="0.25">
      <c r="A1722" s="1" t="s">
        <v>1658</v>
      </c>
      <c r="B1722" s="1" t="s">
        <v>213</v>
      </c>
      <c r="C1722" s="1" t="s">
        <v>48</v>
      </c>
      <c r="D1722">
        <v>100</v>
      </c>
      <c r="E1722">
        <v>0.1</v>
      </c>
      <c r="F1722" s="2">
        <v>44964</v>
      </c>
      <c r="G1722" s="2" t="str">
        <f>TEXT(LayoffsData[[#This Row],[date]],"yyyy-mm")</f>
        <v>2023-02</v>
      </c>
      <c r="H1722" s="1" t="s">
        <v>57</v>
      </c>
      <c r="I1722" s="1" t="s">
        <v>17</v>
      </c>
      <c r="J1722">
        <v>245</v>
      </c>
    </row>
    <row r="1723" spans="1:10" x14ac:dyDescent="0.25">
      <c r="A1723" s="1" t="s">
        <v>1659</v>
      </c>
      <c r="B1723" s="1" t="s">
        <v>73</v>
      </c>
      <c r="C1723" s="1" t="s">
        <v>29</v>
      </c>
      <c r="D1723">
        <v>60</v>
      </c>
      <c r="E1723">
        <v>0.13</v>
      </c>
      <c r="F1723" s="2">
        <v>43924</v>
      </c>
      <c r="G1723" s="2" t="str">
        <f>TEXT(LayoffsData[[#This Row],[date]],"yyyy-mm")</f>
        <v>2020-04</v>
      </c>
      <c r="H1723" s="1" t="s">
        <v>33</v>
      </c>
      <c r="I1723" s="1" t="s">
        <v>17</v>
      </c>
      <c r="J1723">
        <v>97</v>
      </c>
    </row>
    <row r="1724" spans="1:10" x14ac:dyDescent="0.25">
      <c r="A1724" s="1" t="s">
        <v>1659</v>
      </c>
      <c r="B1724" s="1" t="s">
        <v>73</v>
      </c>
      <c r="C1724" s="1" t="s">
        <v>29</v>
      </c>
      <c r="D1724">
        <v>90</v>
      </c>
      <c r="E1724">
        <v>0.11</v>
      </c>
      <c r="F1724" s="2">
        <v>44881</v>
      </c>
      <c r="G1724" s="2" t="str">
        <f>TEXT(LayoffsData[[#This Row],[date]],"yyyy-mm")</f>
        <v>2022-11</v>
      </c>
      <c r="H1724" s="1" t="s">
        <v>86</v>
      </c>
      <c r="I1724" s="1" t="s">
        <v>17</v>
      </c>
      <c r="J1724">
        <v>452</v>
      </c>
    </row>
    <row r="1725" spans="1:10" x14ac:dyDescent="0.25">
      <c r="A1725" s="1" t="s">
        <v>1660</v>
      </c>
      <c r="B1725" s="1" t="s">
        <v>14</v>
      </c>
      <c r="C1725" s="1" t="s">
        <v>74</v>
      </c>
      <c r="F1725" s="2">
        <v>44816</v>
      </c>
      <c r="G1725" s="2" t="str">
        <f>TEXT(LayoffsData[[#This Row],[date]],"yyyy-mm")</f>
        <v>2022-09</v>
      </c>
      <c r="H1725" s="1" t="s">
        <v>24</v>
      </c>
      <c r="I1725" s="1" t="s">
        <v>17</v>
      </c>
      <c r="J1725">
        <v>84</v>
      </c>
    </row>
    <row r="1726" spans="1:10" x14ac:dyDescent="0.25">
      <c r="A1726" s="1" t="s">
        <v>1661</v>
      </c>
      <c r="B1726" s="1" t="s">
        <v>35</v>
      </c>
      <c r="C1726" s="1" t="s">
        <v>15</v>
      </c>
      <c r="D1726">
        <v>75</v>
      </c>
      <c r="E1726">
        <v>0.15</v>
      </c>
      <c r="F1726" s="2">
        <v>44726</v>
      </c>
      <c r="G1726" s="2" t="str">
        <f>TEXT(LayoffsData[[#This Row],[date]],"yyyy-mm")</f>
        <v>2022-06</v>
      </c>
      <c r="H1726" s="1" t="s">
        <v>37</v>
      </c>
      <c r="I1726" s="1" t="s">
        <v>38</v>
      </c>
      <c r="J1726">
        <v>36</v>
      </c>
    </row>
    <row r="1727" spans="1:10" x14ac:dyDescent="0.25">
      <c r="A1727" s="1" t="s">
        <v>1662</v>
      </c>
      <c r="B1727" s="1" t="s">
        <v>14</v>
      </c>
      <c r="C1727" s="1" t="s">
        <v>108</v>
      </c>
      <c r="D1727">
        <v>300</v>
      </c>
      <c r="E1727">
        <v>0.18</v>
      </c>
      <c r="F1727" s="2">
        <v>43971</v>
      </c>
      <c r="G1727" s="2" t="str">
        <f>TEXT(LayoffsData[[#This Row],[date]],"yyyy-mm")</f>
        <v>2020-05</v>
      </c>
      <c r="H1727" s="1" t="s">
        <v>86</v>
      </c>
      <c r="I1727" s="1" t="s">
        <v>17</v>
      </c>
      <c r="J1727">
        <v>530</v>
      </c>
    </row>
    <row r="1728" spans="1:10" x14ac:dyDescent="0.25">
      <c r="A1728" s="1" t="s">
        <v>1663</v>
      </c>
      <c r="B1728" s="1" t="s">
        <v>55</v>
      </c>
      <c r="C1728" s="1" t="s">
        <v>15</v>
      </c>
      <c r="E1728">
        <v>0.15</v>
      </c>
      <c r="F1728" s="2">
        <v>44895</v>
      </c>
      <c r="G1728" s="2" t="str">
        <f>TEXT(LayoffsData[[#This Row],[date]],"yyyy-mm")</f>
        <v>2022-11</v>
      </c>
      <c r="H1728" s="1" t="s">
        <v>21</v>
      </c>
      <c r="I1728" s="1" t="s">
        <v>17</v>
      </c>
      <c r="J1728">
        <v>700</v>
      </c>
    </row>
    <row r="1729" spans="1:10" x14ac:dyDescent="0.25">
      <c r="A1729" s="1" t="s">
        <v>1664</v>
      </c>
      <c r="B1729" s="1" t="s">
        <v>137</v>
      </c>
      <c r="C1729" s="1" t="s">
        <v>147</v>
      </c>
      <c r="E1729">
        <v>0.19</v>
      </c>
      <c r="F1729" s="2">
        <v>44964</v>
      </c>
      <c r="G1729" s="2" t="str">
        <f>TEXT(LayoffsData[[#This Row],[date]],"yyyy-mm")</f>
        <v>2023-02</v>
      </c>
      <c r="H1729" s="1" t="s">
        <v>24</v>
      </c>
      <c r="I1729" s="1" t="s">
        <v>17</v>
      </c>
      <c r="J1729">
        <v>106</v>
      </c>
    </row>
    <row r="1730" spans="1:10" x14ac:dyDescent="0.25">
      <c r="A1730" s="1" t="s">
        <v>1665</v>
      </c>
      <c r="B1730" s="1" t="s">
        <v>35</v>
      </c>
      <c r="C1730" s="1" t="s">
        <v>15</v>
      </c>
      <c r="D1730">
        <v>60</v>
      </c>
      <c r="E1730">
        <v>0.2</v>
      </c>
      <c r="F1730" s="2">
        <v>44722</v>
      </c>
      <c r="G1730" s="2" t="str">
        <f>TEXT(LayoffsData[[#This Row],[date]],"yyyy-mm")</f>
        <v>2022-06</v>
      </c>
      <c r="H1730" s="1" t="s">
        <v>37</v>
      </c>
      <c r="I1730" s="1" t="s">
        <v>38</v>
      </c>
      <c r="J1730">
        <v>11</v>
      </c>
    </row>
    <row r="1731" spans="1:10" x14ac:dyDescent="0.25">
      <c r="A1731" s="1" t="s">
        <v>1666</v>
      </c>
      <c r="B1731" s="1" t="s">
        <v>14</v>
      </c>
      <c r="C1731" s="1" t="s">
        <v>27</v>
      </c>
      <c r="D1731">
        <v>80</v>
      </c>
      <c r="E1731">
        <v>0.8</v>
      </c>
      <c r="F1731" s="2">
        <v>43952</v>
      </c>
      <c r="G1731" s="2" t="str">
        <f>TEXT(LayoffsData[[#This Row],[date]],"yyyy-mm")</f>
        <v>2020-05</v>
      </c>
      <c r="H1731" s="1" t="s">
        <v>21</v>
      </c>
      <c r="I1731" s="1" t="s">
        <v>17</v>
      </c>
      <c r="J1731">
        <v>82</v>
      </c>
    </row>
    <row r="1732" spans="1:10" x14ac:dyDescent="0.25">
      <c r="A1732" s="1" t="s">
        <v>1667</v>
      </c>
      <c r="B1732" s="1" t="s">
        <v>1668</v>
      </c>
      <c r="C1732" s="1" t="s">
        <v>149</v>
      </c>
      <c r="D1732">
        <v>3000</v>
      </c>
      <c r="E1732">
        <v>0.03</v>
      </c>
      <c r="F1732" s="2">
        <v>44952</v>
      </c>
      <c r="G1732" s="2" t="str">
        <f>TEXT(LayoffsData[[#This Row],[date]],"yyyy-mm")</f>
        <v>2023-01</v>
      </c>
      <c r="H1732" s="1" t="s">
        <v>11</v>
      </c>
      <c r="I1732" s="1" t="s">
        <v>80</v>
      </c>
      <c r="J1732">
        <v>1300</v>
      </c>
    </row>
    <row r="1733" spans="1:10" x14ac:dyDescent="0.25">
      <c r="A1733" s="1" t="s">
        <v>1669</v>
      </c>
      <c r="B1733" s="1" t="s">
        <v>293</v>
      </c>
      <c r="C1733" s="1" t="s">
        <v>149</v>
      </c>
      <c r="D1733">
        <v>300</v>
      </c>
      <c r="F1733" s="2">
        <v>44981</v>
      </c>
      <c r="G1733" s="2" t="str">
        <f>TEXT(LayoffsData[[#This Row],[date]],"yyyy-mm")</f>
        <v>2023-02</v>
      </c>
      <c r="H1733" s="1" t="s">
        <v>1001</v>
      </c>
      <c r="I1733" s="1" t="s">
        <v>69</v>
      </c>
      <c r="J1733">
        <v>1300</v>
      </c>
    </row>
    <row r="1734" spans="1:10" x14ac:dyDescent="0.25">
      <c r="A1734" s="1" t="s">
        <v>1670</v>
      </c>
      <c r="B1734" s="1" t="s">
        <v>14</v>
      </c>
      <c r="C1734" s="1" t="s">
        <v>124</v>
      </c>
      <c r="D1734">
        <v>30</v>
      </c>
      <c r="E1734">
        <v>0.15</v>
      </c>
      <c r="F1734" s="2">
        <v>43923</v>
      </c>
      <c r="G1734" s="2" t="str">
        <f>TEXT(LayoffsData[[#This Row],[date]],"yyyy-mm")</f>
        <v>2020-04</v>
      </c>
      <c r="H1734" s="1" t="s">
        <v>37</v>
      </c>
      <c r="I1734" s="1" t="s">
        <v>17</v>
      </c>
      <c r="J1734">
        <v>151</v>
      </c>
    </row>
    <row r="1735" spans="1:10" x14ac:dyDescent="0.25">
      <c r="A1735" s="1" t="s">
        <v>1671</v>
      </c>
      <c r="B1735" s="1" t="s">
        <v>120</v>
      </c>
      <c r="C1735" s="1" t="s">
        <v>51</v>
      </c>
      <c r="E1735">
        <v>0.05</v>
      </c>
      <c r="F1735" s="2">
        <v>44902</v>
      </c>
      <c r="G1735" s="2" t="str">
        <f>TEXT(LayoffsData[[#This Row],[date]],"yyyy-mm")</f>
        <v>2022-12</v>
      </c>
      <c r="H1735" s="1" t="s">
        <v>28</v>
      </c>
      <c r="I1735" s="1" t="s">
        <v>121</v>
      </c>
      <c r="J1735">
        <v>139</v>
      </c>
    </row>
    <row r="1736" spans="1:10" x14ac:dyDescent="0.25">
      <c r="A1736" s="1" t="s">
        <v>1672</v>
      </c>
      <c r="B1736" s="1" t="s">
        <v>14</v>
      </c>
      <c r="C1736" s="1" t="s">
        <v>74</v>
      </c>
      <c r="E1736">
        <v>0.2</v>
      </c>
      <c r="F1736" s="2">
        <v>44935</v>
      </c>
      <c r="G1736" s="2" t="str">
        <f>TEXT(LayoffsData[[#This Row],[date]],"yyyy-mm")</f>
        <v>2023-01</v>
      </c>
      <c r="H1736" s="1" t="s">
        <v>16</v>
      </c>
      <c r="I1736" s="1" t="s">
        <v>17</v>
      </c>
      <c r="J1736">
        <v>602</v>
      </c>
    </row>
    <row r="1737" spans="1:10" x14ac:dyDescent="0.25">
      <c r="A1737" s="1" t="s">
        <v>1673</v>
      </c>
      <c r="B1737" s="1" t="s">
        <v>137</v>
      </c>
      <c r="C1737" s="1" t="s">
        <v>68</v>
      </c>
      <c r="D1737">
        <v>90</v>
      </c>
      <c r="E1737">
        <v>0.9</v>
      </c>
      <c r="F1737" s="2">
        <v>44005</v>
      </c>
      <c r="G1737" s="2" t="str">
        <f>TEXT(LayoffsData[[#This Row],[date]],"yyyy-mm")</f>
        <v>2020-06</v>
      </c>
      <c r="H1737" s="1" t="s">
        <v>28</v>
      </c>
      <c r="I1737" s="1" t="s">
        <v>17</v>
      </c>
      <c r="J1737">
        <v>103</v>
      </c>
    </row>
    <row r="1738" spans="1:10" x14ac:dyDescent="0.25">
      <c r="A1738" s="1" t="s">
        <v>1674</v>
      </c>
      <c r="B1738" s="1" t="s">
        <v>1675</v>
      </c>
      <c r="C1738" s="1" t="s">
        <v>124</v>
      </c>
      <c r="D1738">
        <v>120</v>
      </c>
      <c r="E1738">
        <v>0.1</v>
      </c>
      <c r="F1738" s="2">
        <v>43993</v>
      </c>
      <c r="G1738" s="2" t="str">
        <f>TEXT(LayoffsData[[#This Row],[date]],"yyyy-mm")</f>
        <v>2020-06</v>
      </c>
      <c r="H1738" s="1" t="s">
        <v>37</v>
      </c>
      <c r="I1738" s="1" t="s">
        <v>1676</v>
      </c>
    </row>
    <row r="1739" spans="1:10" x14ac:dyDescent="0.25">
      <c r="A1739" s="1" t="s">
        <v>1677</v>
      </c>
      <c r="B1739" s="1" t="s">
        <v>26</v>
      </c>
      <c r="C1739" s="1" t="s">
        <v>15</v>
      </c>
      <c r="D1739">
        <v>90</v>
      </c>
      <c r="F1739" s="2">
        <v>44879</v>
      </c>
      <c r="G1739" s="2" t="str">
        <f>TEXT(LayoffsData[[#This Row],[date]],"yyyy-mm")</f>
        <v>2022-11</v>
      </c>
      <c r="H1739" s="1" t="s">
        <v>11</v>
      </c>
      <c r="I1739" s="1" t="s">
        <v>17</v>
      </c>
      <c r="J1739">
        <v>347</v>
      </c>
    </row>
    <row r="1740" spans="1:10" x14ac:dyDescent="0.25">
      <c r="A1740" s="1" t="s">
        <v>1678</v>
      </c>
      <c r="B1740" s="1" t="s">
        <v>14</v>
      </c>
      <c r="C1740" s="1" t="s">
        <v>10</v>
      </c>
      <c r="F1740" s="2">
        <v>44152</v>
      </c>
      <c r="G1740" s="2" t="str">
        <f>TEXT(LayoffsData[[#This Row],[date]],"yyyy-mm")</f>
        <v>2020-11</v>
      </c>
      <c r="H1740" s="1" t="s">
        <v>28</v>
      </c>
      <c r="I1740" s="1" t="s">
        <v>17</v>
      </c>
      <c r="J1740">
        <v>95</v>
      </c>
    </row>
    <row r="1741" spans="1:10" x14ac:dyDescent="0.25">
      <c r="A1741" s="1" t="s">
        <v>1678</v>
      </c>
      <c r="B1741" s="1" t="s">
        <v>14</v>
      </c>
      <c r="C1741" s="1" t="s">
        <v>10</v>
      </c>
      <c r="D1741">
        <v>92</v>
      </c>
      <c r="E1741">
        <v>0.33</v>
      </c>
      <c r="F1741" s="2">
        <v>43929</v>
      </c>
      <c r="G1741" s="2" t="str">
        <f>TEXT(LayoffsData[[#This Row],[date]],"yyyy-mm")</f>
        <v>2020-04</v>
      </c>
      <c r="H1741" s="1" t="s">
        <v>28</v>
      </c>
      <c r="I1741" s="1" t="s">
        <v>17</v>
      </c>
      <c r="J1741">
        <v>95</v>
      </c>
    </row>
    <row r="1742" spans="1:10" x14ac:dyDescent="0.25">
      <c r="A1742" s="1" t="s">
        <v>1679</v>
      </c>
      <c r="B1742" s="1" t="s">
        <v>200</v>
      </c>
      <c r="C1742" s="1" t="s">
        <v>147</v>
      </c>
      <c r="E1742">
        <v>0.09</v>
      </c>
      <c r="F1742" s="2">
        <v>44950</v>
      </c>
      <c r="G1742" s="2" t="str">
        <f>TEXT(LayoffsData[[#This Row],[date]],"yyyy-mm")</f>
        <v>2023-01</v>
      </c>
      <c r="H1742" s="1" t="s">
        <v>24</v>
      </c>
      <c r="I1742" s="1" t="s">
        <v>201</v>
      </c>
      <c r="J1742">
        <v>23</v>
      </c>
    </row>
    <row r="1743" spans="1:10" x14ac:dyDescent="0.25">
      <c r="A1743" s="1" t="s">
        <v>1680</v>
      </c>
      <c r="B1743" s="1" t="s">
        <v>293</v>
      </c>
      <c r="C1743" s="1" t="s">
        <v>29</v>
      </c>
      <c r="D1743">
        <v>350</v>
      </c>
      <c r="F1743" s="2">
        <v>44650</v>
      </c>
      <c r="G1743" s="2" t="str">
        <f>TEXT(LayoffsData[[#This Row],[date]],"yyyy-mm")</f>
        <v>2022-03</v>
      </c>
      <c r="H1743" s="1" t="s">
        <v>11</v>
      </c>
      <c r="I1743" s="1" t="s">
        <v>69</v>
      </c>
      <c r="J1743">
        <v>8600</v>
      </c>
    </row>
    <row r="1744" spans="1:10" x14ac:dyDescent="0.25">
      <c r="A1744" s="1" t="s">
        <v>1680</v>
      </c>
      <c r="B1744" s="1" t="s">
        <v>101</v>
      </c>
      <c r="C1744" s="1" t="s">
        <v>27</v>
      </c>
      <c r="F1744" s="2">
        <v>44806</v>
      </c>
      <c r="G1744" s="2" t="str">
        <f>TEXT(LayoffsData[[#This Row],[date]],"yyyy-mm")</f>
        <v>2022-09</v>
      </c>
      <c r="H1744" s="1" t="s">
        <v>11</v>
      </c>
      <c r="I1744" s="1" t="s">
        <v>101</v>
      </c>
      <c r="J1744">
        <v>8600</v>
      </c>
    </row>
    <row r="1745" spans="1:10" x14ac:dyDescent="0.25">
      <c r="A1745" s="1" t="s">
        <v>1681</v>
      </c>
      <c r="B1745" s="1" t="s">
        <v>14</v>
      </c>
      <c r="C1745" s="1" t="s">
        <v>68</v>
      </c>
      <c r="F1745" s="2">
        <v>44742</v>
      </c>
      <c r="G1745" s="2" t="str">
        <f>TEXT(LayoffsData[[#This Row],[date]],"yyyy-mm")</f>
        <v>2022-06</v>
      </c>
      <c r="H1745" s="1" t="s">
        <v>21</v>
      </c>
      <c r="I1745" s="1" t="s">
        <v>17</v>
      </c>
      <c r="J1745">
        <v>7</v>
      </c>
    </row>
    <row r="1746" spans="1:10" x14ac:dyDescent="0.25">
      <c r="A1746" s="1" t="s">
        <v>1682</v>
      </c>
      <c r="B1746" s="1" t="s">
        <v>32</v>
      </c>
      <c r="C1746" s="1" t="s">
        <v>41</v>
      </c>
      <c r="D1746">
        <v>32</v>
      </c>
      <c r="F1746" s="2">
        <v>44693</v>
      </c>
      <c r="G1746" s="2" t="str">
        <f>TEXT(LayoffsData[[#This Row],[date]],"yyyy-mm")</f>
        <v>2022-05</v>
      </c>
      <c r="H1746" s="1" t="s">
        <v>21</v>
      </c>
      <c r="I1746" s="1" t="s">
        <v>17</v>
      </c>
      <c r="J1746">
        <v>37</v>
      </c>
    </row>
    <row r="1747" spans="1:10" x14ac:dyDescent="0.25">
      <c r="A1747" s="1" t="s">
        <v>1683</v>
      </c>
      <c r="B1747" s="1" t="s">
        <v>213</v>
      </c>
      <c r="C1747" s="1" t="s">
        <v>172</v>
      </c>
      <c r="D1747">
        <v>212</v>
      </c>
      <c r="E1747">
        <v>0.09</v>
      </c>
      <c r="F1747" s="2">
        <v>44964</v>
      </c>
      <c r="G1747" s="2" t="str">
        <f>TEXT(LayoffsData[[#This Row],[date]],"yyyy-mm")</f>
        <v>2023-02</v>
      </c>
      <c r="H1747" s="1" t="s">
        <v>11</v>
      </c>
      <c r="I1747" s="1" t="s">
        <v>17</v>
      </c>
      <c r="J1747">
        <v>83</v>
      </c>
    </row>
    <row r="1748" spans="1:10" x14ac:dyDescent="0.25">
      <c r="A1748" s="1" t="s">
        <v>1684</v>
      </c>
      <c r="B1748" s="1" t="s">
        <v>196</v>
      </c>
      <c r="C1748" s="1" t="s">
        <v>108</v>
      </c>
      <c r="D1748">
        <v>90</v>
      </c>
      <c r="F1748" s="2">
        <v>44775</v>
      </c>
      <c r="G1748" s="2" t="str">
        <f>TEXT(LayoffsData[[#This Row],[date]],"yyyy-mm")</f>
        <v>2022-08</v>
      </c>
      <c r="H1748" s="1" t="s">
        <v>37</v>
      </c>
      <c r="I1748" s="1" t="s">
        <v>17</v>
      </c>
      <c r="J1748">
        <v>107</v>
      </c>
    </row>
    <row r="1749" spans="1:10" x14ac:dyDescent="0.25">
      <c r="A1749" s="1" t="s">
        <v>1685</v>
      </c>
      <c r="B1749" s="1" t="s">
        <v>14</v>
      </c>
      <c r="C1749" s="1" t="s">
        <v>74</v>
      </c>
      <c r="D1749">
        <v>50</v>
      </c>
      <c r="E1749">
        <v>0.1</v>
      </c>
      <c r="F1749" s="2">
        <v>43957</v>
      </c>
      <c r="G1749" s="2" t="str">
        <f>TEXT(LayoffsData[[#This Row],[date]],"yyyy-mm")</f>
        <v>2020-05</v>
      </c>
      <c r="H1749" s="1" t="s">
        <v>33</v>
      </c>
      <c r="I1749" s="1" t="s">
        <v>17</v>
      </c>
      <c r="J1749">
        <v>283</v>
      </c>
    </row>
    <row r="1750" spans="1:10" x14ac:dyDescent="0.25">
      <c r="A1750" s="1" t="s">
        <v>1686</v>
      </c>
      <c r="B1750" s="1" t="s">
        <v>79</v>
      </c>
      <c r="C1750" s="1" t="s">
        <v>29</v>
      </c>
      <c r="D1750">
        <v>28</v>
      </c>
      <c r="F1750" s="2">
        <v>44761</v>
      </c>
      <c r="G1750" s="2" t="str">
        <f>TEXT(LayoffsData[[#This Row],[date]],"yyyy-mm")</f>
        <v>2022-07</v>
      </c>
      <c r="H1750" s="1" t="s">
        <v>37</v>
      </c>
      <c r="I1750" s="1" t="s">
        <v>80</v>
      </c>
      <c r="J1750">
        <v>766</v>
      </c>
    </row>
    <row r="1751" spans="1:10" x14ac:dyDescent="0.25">
      <c r="A1751" s="1" t="s">
        <v>1687</v>
      </c>
      <c r="B1751" s="1" t="s">
        <v>658</v>
      </c>
      <c r="C1751" s="1" t="s">
        <v>15</v>
      </c>
      <c r="D1751">
        <v>250</v>
      </c>
      <c r="E1751">
        <v>0.13</v>
      </c>
      <c r="F1751" s="2">
        <v>44788</v>
      </c>
      <c r="G1751" s="2" t="str">
        <f>TEXT(LayoffsData[[#This Row],[date]],"yyyy-mm")</f>
        <v>2022-08</v>
      </c>
      <c r="H1751" s="1" t="s">
        <v>11</v>
      </c>
      <c r="I1751" s="1" t="s">
        <v>17</v>
      </c>
      <c r="J1751">
        <v>791</v>
      </c>
    </row>
    <row r="1752" spans="1:10" x14ac:dyDescent="0.25">
      <c r="A1752" s="1" t="s">
        <v>1687</v>
      </c>
      <c r="B1752" s="1" t="s">
        <v>658</v>
      </c>
      <c r="C1752" s="1" t="s">
        <v>15</v>
      </c>
      <c r="D1752">
        <v>500</v>
      </c>
      <c r="F1752" s="2">
        <v>44879</v>
      </c>
      <c r="G1752" s="2" t="str">
        <f>TEXT(LayoffsData[[#This Row],[date]],"yyyy-mm")</f>
        <v>2022-11</v>
      </c>
      <c r="H1752" s="1" t="s">
        <v>11</v>
      </c>
      <c r="I1752" s="1" t="s">
        <v>17</v>
      </c>
      <c r="J1752">
        <v>791</v>
      </c>
    </row>
    <row r="1753" spans="1:10" x14ac:dyDescent="0.25">
      <c r="A1753" s="1" t="s">
        <v>1688</v>
      </c>
      <c r="B1753" s="1" t="s">
        <v>44</v>
      </c>
      <c r="C1753" s="1" t="s">
        <v>51</v>
      </c>
      <c r="D1753">
        <v>300</v>
      </c>
      <c r="E1753">
        <v>1</v>
      </c>
      <c r="F1753" s="2">
        <v>44685</v>
      </c>
      <c r="G1753" s="2" t="str">
        <f>TEXT(LayoffsData[[#This Row],[date]],"yyyy-mm")</f>
        <v>2022-05</v>
      </c>
      <c r="H1753" s="1" t="s">
        <v>131</v>
      </c>
      <c r="I1753" s="1" t="s">
        <v>46</v>
      </c>
      <c r="J1753">
        <v>3</v>
      </c>
    </row>
    <row r="1754" spans="1:10" x14ac:dyDescent="0.25">
      <c r="A1754" s="1" t="s">
        <v>1689</v>
      </c>
      <c r="B1754" s="1" t="s">
        <v>1690</v>
      </c>
      <c r="C1754" s="1" t="s">
        <v>108</v>
      </c>
      <c r="E1754">
        <v>0.1</v>
      </c>
      <c r="F1754" s="2">
        <v>44875</v>
      </c>
      <c r="G1754" s="2" t="str">
        <f>TEXT(LayoffsData[[#This Row],[date]],"yyyy-mm")</f>
        <v>2022-11</v>
      </c>
      <c r="H1754" s="1" t="s">
        <v>28</v>
      </c>
      <c r="I1754" s="1" t="s">
        <v>17</v>
      </c>
      <c r="J1754">
        <v>200</v>
      </c>
    </row>
    <row r="1755" spans="1:10" x14ac:dyDescent="0.25">
      <c r="A1755" s="1" t="s">
        <v>1691</v>
      </c>
      <c r="B1755" s="1" t="s">
        <v>44</v>
      </c>
      <c r="C1755" s="1" t="s">
        <v>108</v>
      </c>
      <c r="D1755">
        <v>27</v>
      </c>
      <c r="E1755">
        <v>0.12</v>
      </c>
      <c r="F1755" s="2">
        <v>44746</v>
      </c>
      <c r="G1755" s="2" t="str">
        <f>TEXT(LayoffsData[[#This Row],[date]],"yyyy-mm")</f>
        <v>2022-07</v>
      </c>
      <c r="H1755" s="1" t="s">
        <v>28</v>
      </c>
      <c r="I1755" s="1" t="s">
        <v>46</v>
      </c>
      <c r="J1755">
        <v>69</v>
      </c>
    </row>
    <row r="1756" spans="1:10" x14ac:dyDescent="0.25">
      <c r="A1756" s="1" t="s">
        <v>1692</v>
      </c>
      <c r="B1756" s="1" t="s">
        <v>14</v>
      </c>
      <c r="C1756" s="1" t="s">
        <v>20</v>
      </c>
      <c r="E1756">
        <v>0.14000000000000001</v>
      </c>
      <c r="F1756" s="2">
        <v>44718</v>
      </c>
      <c r="G1756" s="2" t="str">
        <f>TEXT(LayoffsData[[#This Row],[date]],"yyyy-mm")</f>
        <v>2022-06</v>
      </c>
      <c r="H1756" s="1" t="s">
        <v>28</v>
      </c>
      <c r="I1756" s="1" t="s">
        <v>17</v>
      </c>
      <c r="J1756">
        <v>152</v>
      </c>
    </row>
    <row r="1757" spans="1:10" x14ac:dyDescent="0.25">
      <c r="A1757" s="1" t="s">
        <v>1693</v>
      </c>
      <c r="B1757" s="1" t="s">
        <v>522</v>
      </c>
      <c r="C1757" s="1" t="s">
        <v>108</v>
      </c>
      <c r="D1757">
        <v>30</v>
      </c>
      <c r="E1757">
        <v>0.1</v>
      </c>
      <c r="F1757" s="2">
        <v>44775</v>
      </c>
      <c r="G1757" s="2" t="str">
        <f>TEXT(LayoffsData[[#This Row],[date]],"yyyy-mm")</f>
        <v>2022-08</v>
      </c>
      <c r="H1757" s="1" t="s">
        <v>24</v>
      </c>
      <c r="I1757" s="1" t="s">
        <v>523</v>
      </c>
      <c r="J1757">
        <v>26</v>
      </c>
    </row>
    <row r="1758" spans="1:10" x14ac:dyDescent="0.25">
      <c r="A1758" s="1" t="s">
        <v>1693</v>
      </c>
      <c r="B1758" s="1" t="s">
        <v>522</v>
      </c>
      <c r="C1758" s="1" t="s">
        <v>108</v>
      </c>
      <c r="D1758">
        <v>54</v>
      </c>
      <c r="E1758">
        <v>0.2</v>
      </c>
      <c r="F1758" s="2">
        <v>44775</v>
      </c>
      <c r="G1758" s="2" t="str">
        <f>TEXT(LayoffsData[[#This Row],[date]],"yyyy-mm")</f>
        <v>2022-08</v>
      </c>
      <c r="H1758" s="1" t="s">
        <v>24</v>
      </c>
      <c r="I1758" s="1" t="s">
        <v>523</v>
      </c>
      <c r="J1758">
        <v>26</v>
      </c>
    </row>
    <row r="1759" spans="1:10" x14ac:dyDescent="0.25">
      <c r="A1759" s="1" t="s">
        <v>1694</v>
      </c>
      <c r="B1759" s="1" t="s">
        <v>9</v>
      </c>
      <c r="C1759" s="1" t="s">
        <v>68</v>
      </c>
      <c r="D1759">
        <v>17</v>
      </c>
      <c r="E1759">
        <v>0.2</v>
      </c>
      <c r="F1759" s="2">
        <v>43922</v>
      </c>
      <c r="G1759" s="2" t="str">
        <f>TEXT(LayoffsData[[#This Row],[date]],"yyyy-mm")</f>
        <v>2020-04</v>
      </c>
      <c r="H1759" s="1" t="s">
        <v>24</v>
      </c>
      <c r="I1759" s="1" t="s">
        <v>12</v>
      </c>
      <c r="J1759">
        <v>50</v>
      </c>
    </row>
    <row r="1760" spans="1:10" x14ac:dyDescent="0.25">
      <c r="A1760" s="1" t="s">
        <v>1695</v>
      </c>
      <c r="B1760" s="1" t="s">
        <v>26</v>
      </c>
      <c r="C1760" s="1" t="s">
        <v>84</v>
      </c>
      <c r="E1760">
        <v>1</v>
      </c>
      <c r="F1760" s="2">
        <v>43906</v>
      </c>
      <c r="G1760" s="2" t="str">
        <f>TEXT(LayoffsData[[#This Row],[date]],"yyyy-mm")</f>
        <v>2020-03</v>
      </c>
      <c r="H1760" s="1" t="s">
        <v>131</v>
      </c>
      <c r="I1760" s="1" t="s">
        <v>17</v>
      </c>
      <c r="J1760">
        <v>5</v>
      </c>
    </row>
    <row r="1761" spans="1:10" x14ac:dyDescent="0.25">
      <c r="A1761" s="1" t="s">
        <v>1695</v>
      </c>
      <c r="B1761" s="1" t="s">
        <v>26</v>
      </c>
      <c r="C1761" s="1" t="s">
        <v>84</v>
      </c>
      <c r="E1761">
        <v>1</v>
      </c>
      <c r="F1761" s="2">
        <v>43910</v>
      </c>
      <c r="G1761" s="2" t="str">
        <f>TEXT(LayoffsData[[#This Row],[date]],"yyyy-mm")</f>
        <v>2020-03</v>
      </c>
      <c r="H1761" s="1" t="s">
        <v>131</v>
      </c>
      <c r="I1761" s="1" t="s">
        <v>17</v>
      </c>
      <c r="J1761">
        <v>5</v>
      </c>
    </row>
    <row r="1762" spans="1:10" x14ac:dyDescent="0.25">
      <c r="A1762" s="1" t="s">
        <v>1696</v>
      </c>
      <c r="B1762" s="1" t="s">
        <v>26</v>
      </c>
      <c r="C1762" s="1" t="s">
        <v>48</v>
      </c>
      <c r="D1762">
        <v>221</v>
      </c>
      <c r="E1762">
        <v>0.08</v>
      </c>
      <c r="F1762" s="2">
        <v>44972</v>
      </c>
      <c r="G1762" s="2" t="str">
        <f>TEXT(LayoffsData[[#This Row],[date]],"yyyy-mm")</f>
        <v>2023-02</v>
      </c>
      <c r="H1762" s="1" t="s">
        <v>450</v>
      </c>
      <c r="I1762" s="1" t="s">
        <v>17</v>
      </c>
      <c r="J1762">
        <v>1100</v>
      </c>
    </row>
    <row r="1763" spans="1:10" x14ac:dyDescent="0.25">
      <c r="A1763" s="1" t="s">
        <v>1697</v>
      </c>
      <c r="B1763" s="1" t="s">
        <v>235</v>
      </c>
      <c r="C1763" s="1" t="s">
        <v>68</v>
      </c>
      <c r="E1763">
        <v>0.2</v>
      </c>
      <c r="F1763" s="2">
        <v>44630</v>
      </c>
      <c r="G1763" s="2" t="str">
        <f>TEXT(LayoffsData[[#This Row],[date]],"yyyy-mm")</f>
        <v>2022-03</v>
      </c>
      <c r="H1763" s="1" t="s">
        <v>11</v>
      </c>
      <c r="I1763" s="1" t="s">
        <v>17</v>
      </c>
      <c r="J1763">
        <v>301</v>
      </c>
    </row>
    <row r="1764" spans="1:10" x14ac:dyDescent="0.25">
      <c r="A1764" s="1" t="s">
        <v>1698</v>
      </c>
      <c r="B1764" s="1" t="s">
        <v>134</v>
      </c>
      <c r="C1764" s="1" t="s">
        <v>36</v>
      </c>
      <c r="D1764">
        <v>21</v>
      </c>
      <c r="E1764">
        <v>0.25</v>
      </c>
      <c r="F1764" s="2">
        <v>44953</v>
      </c>
      <c r="G1764" s="2" t="str">
        <f>TEXT(LayoffsData[[#This Row],[date]],"yyyy-mm")</f>
        <v>2023-01</v>
      </c>
      <c r="H1764" s="1" t="s">
        <v>21</v>
      </c>
      <c r="I1764" s="1" t="s">
        <v>12</v>
      </c>
      <c r="J1764">
        <v>45</v>
      </c>
    </row>
    <row r="1765" spans="1:10" x14ac:dyDescent="0.25">
      <c r="A1765" s="1" t="s">
        <v>1699</v>
      </c>
      <c r="B1765" s="1" t="s">
        <v>79</v>
      </c>
      <c r="C1765" s="1" t="s">
        <v>10</v>
      </c>
      <c r="D1765">
        <v>150</v>
      </c>
      <c r="E1765">
        <v>0.36</v>
      </c>
      <c r="F1765" s="2">
        <v>44904</v>
      </c>
      <c r="G1765" s="2" t="str">
        <f>TEXT(LayoffsData[[#This Row],[date]],"yyyy-mm")</f>
        <v>2022-12</v>
      </c>
      <c r="H1765" s="1" t="s">
        <v>57</v>
      </c>
      <c r="I1765" s="1" t="s">
        <v>80</v>
      </c>
    </row>
    <row r="1766" spans="1:10" x14ac:dyDescent="0.25">
      <c r="A1766" s="1" t="s">
        <v>1700</v>
      </c>
      <c r="B1766" s="1" t="s">
        <v>293</v>
      </c>
      <c r="C1766" s="1" t="s">
        <v>27</v>
      </c>
      <c r="D1766">
        <v>100</v>
      </c>
      <c r="F1766" s="2">
        <v>44897</v>
      </c>
      <c r="G1766" s="2" t="str">
        <f>TEXT(LayoffsData[[#This Row],[date]],"yyyy-mm")</f>
        <v>2022-12</v>
      </c>
      <c r="H1766" s="1" t="s">
        <v>37</v>
      </c>
      <c r="I1766" s="1" t="s">
        <v>69</v>
      </c>
      <c r="J1766">
        <v>1700</v>
      </c>
    </row>
    <row r="1767" spans="1:10" x14ac:dyDescent="0.25">
      <c r="A1767" s="1" t="s">
        <v>1700</v>
      </c>
      <c r="B1767" s="1" t="s">
        <v>293</v>
      </c>
      <c r="C1767" s="1" t="s">
        <v>27</v>
      </c>
      <c r="D1767">
        <v>500</v>
      </c>
      <c r="E1767">
        <v>0.2</v>
      </c>
      <c r="F1767" s="2">
        <v>44942</v>
      </c>
      <c r="G1767" s="2" t="str">
        <f>TEXT(LayoffsData[[#This Row],[date]],"yyyy-mm")</f>
        <v>2023-01</v>
      </c>
      <c r="H1767" s="1" t="s">
        <v>414</v>
      </c>
      <c r="I1767" s="1" t="s">
        <v>69</v>
      </c>
      <c r="J1767">
        <v>1700</v>
      </c>
    </row>
    <row r="1768" spans="1:10" x14ac:dyDescent="0.25">
      <c r="A1768" s="1" t="s">
        <v>1700</v>
      </c>
      <c r="B1768" s="1" t="s">
        <v>293</v>
      </c>
      <c r="C1768" s="1" t="s">
        <v>20</v>
      </c>
      <c r="D1768">
        <v>101</v>
      </c>
      <c r="E1768">
        <v>0.25</v>
      </c>
      <c r="F1768" s="2">
        <v>43971</v>
      </c>
      <c r="G1768" s="2" t="str">
        <f>TEXT(LayoffsData[[#This Row],[date]],"yyyy-mm")</f>
        <v>2020-05</v>
      </c>
      <c r="H1768" s="1" t="s">
        <v>33</v>
      </c>
      <c r="I1768" s="1" t="s">
        <v>69</v>
      </c>
      <c r="J1768">
        <v>222</v>
      </c>
    </row>
    <row r="1769" spans="1:10" x14ac:dyDescent="0.25">
      <c r="A1769" s="1" t="s">
        <v>1701</v>
      </c>
      <c r="B1769" s="1" t="s">
        <v>14</v>
      </c>
      <c r="C1769" s="1" t="s">
        <v>20</v>
      </c>
      <c r="D1769">
        <v>18</v>
      </c>
      <c r="F1769" s="2">
        <v>44013</v>
      </c>
      <c r="G1769" s="2" t="str">
        <f>TEXT(LayoffsData[[#This Row],[date]],"yyyy-mm")</f>
        <v>2020-07</v>
      </c>
      <c r="H1769" s="1" t="s">
        <v>33</v>
      </c>
      <c r="I1769" s="1" t="s">
        <v>17</v>
      </c>
      <c r="J1769">
        <v>38</v>
      </c>
    </row>
    <row r="1770" spans="1:10" x14ac:dyDescent="0.25">
      <c r="A1770" s="1" t="s">
        <v>1702</v>
      </c>
      <c r="B1770" s="1" t="s">
        <v>14</v>
      </c>
      <c r="C1770" s="1" t="s">
        <v>51</v>
      </c>
      <c r="D1770">
        <v>29</v>
      </c>
      <c r="F1770" s="2">
        <v>44714</v>
      </c>
      <c r="G1770" s="2" t="str">
        <f>TEXT(LayoffsData[[#This Row],[date]],"yyyy-mm")</f>
        <v>2022-06</v>
      </c>
      <c r="H1770" s="1" t="s">
        <v>21</v>
      </c>
      <c r="I1770" s="1" t="s">
        <v>17</v>
      </c>
      <c r="J1770">
        <v>28</v>
      </c>
    </row>
    <row r="1771" spans="1:10" x14ac:dyDescent="0.25">
      <c r="A1771" s="1" t="s">
        <v>1703</v>
      </c>
      <c r="B1771" s="1" t="s">
        <v>55</v>
      </c>
      <c r="C1771" s="1" t="s">
        <v>51</v>
      </c>
      <c r="D1771">
        <v>43</v>
      </c>
      <c r="F1771" s="2">
        <v>44771</v>
      </c>
      <c r="G1771" s="2" t="str">
        <f>TEXT(LayoffsData[[#This Row],[date]],"yyyy-mm")</f>
        <v>2022-07</v>
      </c>
      <c r="H1771" s="1" t="s">
        <v>24</v>
      </c>
      <c r="I1771" s="1" t="s">
        <v>17</v>
      </c>
      <c r="J1771">
        <v>58</v>
      </c>
    </row>
    <row r="1772" spans="1:10" x14ac:dyDescent="0.25">
      <c r="A1772" s="1" t="s">
        <v>1704</v>
      </c>
      <c r="B1772" s="1" t="s">
        <v>9</v>
      </c>
      <c r="C1772" s="1" t="s">
        <v>84</v>
      </c>
      <c r="D1772">
        <v>22</v>
      </c>
      <c r="F1772" s="2">
        <v>44771</v>
      </c>
      <c r="G1772" s="2" t="str">
        <f>TEXT(LayoffsData[[#This Row],[date]],"yyyy-mm")</f>
        <v>2022-07</v>
      </c>
      <c r="H1772" s="1" t="s">
        <v>37</v>
      </c>
      <c r="I1772" s="1" t="s">
        <v>12</v>
      </c>
      <c r="J1772">
        <v>11</v>
      </c>
    </row>
    <row r="1773" spans="1:10" x14ac:dyDescent="0.25">
      <c r="A1773" s="1" t="s">
        <v>1705</v>
      </c>
      <c r="B1773" s="1" t="s">
        <v>14</v>
      </c>
      <c r="C1773" s="1" t="s">
        <v>10</v>
      </c>
      <c r="F1773" s="2">
        <v>44782</v>
      </c>
      <c r="G1773" s="2" t="str">
        <f>TEXT(LayoffsData[[#This Row],[date]],"yyyy-mm")</f>
        <v>2022-08</v>
      </c>
      <c r="H1773" s="1" t="s">
        <v>11</v>
      </c>
      <c r="I1773" s="1" t="s">
        <v>17</v>
      </c>
      <c r="J1773">
        <v>504</v>
      </c>
    </row>
    <row r="1774" spans="1:10" x14ac:dyDescent="0.25">
      <c r="A1774" s="1" t="s">
        <v>1706</v>
      </c>
      <c r="B1774" s="1" t="s">
        <v>76</v>
      </c>
      <c r="C1774" s="1" t="s">
        <v>108</v>
      </c>
      <c r="E1774">
        <v>7.0000000000000007E-2</v>
      </c>
      <c r="F1774" s="2">
        <v>44798</v>
      </c>
      <c r="G1774" s="2" t="str">
        <f>TEXT(LayoffsData[[#This Row],[date]],"yyyy-mm")</f>
        <v>2022-08</v>
      </c>
      <c r="H1774" s="1" t="s">
        <v>16</v>
      </c>
      <c r="I1774" s="1" t="s">
        <v>17</v>
      </c>
      <c r="J1774">
        <v>330</v>
      </c>
    </row>
    <row r="1775" spans="1:10" x14ac:dyDescent="0.25">
      <c r="A1775" s="1" t="s">
        <v>1707</v>
      </c>
      <c r="B1775" s="1" t="s">
        <v>14</v>
      </c>
      <c r="C1775" s="1" t="s">
        <v>108</v>
      </c>
      <c r="D1775">
        <v>60</v>
      </c>
      <c r="E1775">
        <v>0.2</v>
      </c>
      <c r="F1775" s="2">
        <v>44868</v>
      </c>
      <c r="G1775" s="2" t="str">
        <f>TEXT(LayoffsData[[#This Row],[date]],"yyyy-mm")</f>
        <v>2022-11</v>
      </c>
      <c r="H1775" s="1" t="s">
        <v>16</v>
      </c>
      <c r="I1775" s="1" t="s">
        <v>17</v>
      </c>
      <c r="J1775">
        <v>154</v>
      </c>
    </row>
    <row r="1776" spans="1:10" x14ac:dyDescent="0.25">
      <c r="A1776" s="1" t="s">
        <v>1708</v>
      </c>
      <c r="B1776" s="1" t="s">
        <v>26</v>
      </c>
      <c r="C1776" s="1" t="s">
        <v>29</v>
      </c>
      <c r="D1776">
        <v>20</v>
      </c>
      <c r="E1776">
        <v>0.5</v>
      </c>
      <c r="F1776" s="2">
        <v>43949</v>
      </c>
      <c r="G1776" s="2" t="str">
        <f>TEXT(LayoffsData[[#This Row],[date]],"yyyy-mm")</f>
        <v>2020-04</v>
      </c>
      <c r="H1776" s="1" t="s">
        <v>131</v>
      </c>
      <c r="I1776" s="1" t="s">
        <v>17</v>
      </c>
      <c r="J1776">
        <v>2</v>
      </c>
    </row>
    <row r="1777" spans="1:10" x14ac:dyDescent="0.25">
      <c r="A1777" s="1" t="s">
        <v>1709</v>
      </c>
      <c r="B1777" s="1" t="s">
        <v>14</v>
      </c>
      <c r="C1777" s="1" t="s">
        <v>29</v>
      </c>
      <c r="D1777">
        <v>48</v>
      </c>
      <c r="E1777">
        <v>0.3</v>
      </c>
      <c r="F1777" s="2">
        <v>44782</v>
      </c>
      <c r="G1777" s="2" t="str">
        <f>TEXT(LayoffsData[[#This Row],[date]],"yyyy-mm")</f>
        <v>2022-08</v>
      </c>
      <c r="H1777" s="1" t="s">
        <v>28</v>
      </c>
      <c r="I1777" s="1" t="s">
        <v>17</v>
      </c>
      <c r="J1777">
        <v>114</v>
      </c>
    </row>
    <row r="1778" spans="1:10" x14ac:dyDescent="0.25">
      <c r="A1778" s="1" t="s">
        <v>1710</v>
      </c>
      <c r="B1778" s="1" t="s">
        <v>67</v>
      </c>
      <c r="C1778" s="1" t="s">
        <v>29</v>
      </c>
      <c r="D1778">
        <v>200</v>
      </c>
      <c r="E1778">
        <v>0.4</v>
      </c>
      <c r="F1778" s="2">
        <v>43936</v>
      </c>
      <c r="G1778" s="2" t="str">
        <f>TEXT(LayoffsData[[#This Row],[date]],"yyyy-mm")</f>
        <v>2020-04</v>
      </c>
      <c r="H1778" s="1" t="s">
        <v>28</v>
      </c>
      <c r="I1778" s="1" t="s">
        <v>69</v>
      </c>
      <c r="J1778">
        <v>19</v>
      </c>
    </row>
    <row r="1779" spans="1:10" x14ac:dyDescent="0.25">
      <c r="A1779" s="1" t="s">
        <v>1711</v>
      </c>
      <c r="B1779" s="1" t="s">
        <v>120</v>
      </c>
      <c r="C1779" s="1" t="s">
        <v>51</v>
      </c>
      <c r="F1779" s="2">
        <v>44879</v>
      </c>
      <c r="G1779" s="2" t="str">
        <f>TEXT(LayoffsData[[#This Row],[date]],"yyyy-mm")</f>
        <v>2022-11</v>
      </c>
      <c r="H1779" s="1" t="s">
        <v>37</v>
      </c>
      <c r="I1779" s="1" t="s">
        <v>121</v>
      </c>
    </row>
    <row r="1780" spans="1:10" x14ac:dyDescent="0.25">
      <c r="A1780" s="1" t="s">
        <v>1711</v>
      </c>
      <c r="B1780" s="1" t="s">
        <v>120</v>
      </c>
      <c r="C1780" s="1" t="s">
        <v>51</v>
      </c>
      <c r="F1780" s="2">
        <v>44822</v>
      </c>
      <c r="G1780" s="2" t="str">
        <f>TEXT(LayoffsData[[#This Row],[date]],"yyyy-mm")</f>
        <v>2022-09</v>
      </c>
      <c r="H1780" s="1" t="s">
        <v>37</v>
      </c>
      <c r="I1780" s="1" t="s">
        <v>121</v>
      </c>
    </row>
    <row r="1781" spans="1:10" x14ac:dyDescent="0.25">
      <c r="A1781" s="1" t="s">
        <v>1711</v>
      </c>
      <c r="B1781" s="1" t="s">
        <v>101</v>
      </c>
      <c r="C1781" s="1" t="s">
        <v>51</v>
      </c>
      <c r="F1781" s="2">
        <v>44726</v>
      </c>
      <c r="G1781" s="2" t="str">
        <f>TEXT(LayoffsData[[#This Row],[date]],"yyyy-mm")</f>
        <v>2022-06</v>
      </c>
      <c r="H1781" s="1" t="s">
        <v>37</v>
      </c>
      <c r="I1781" s="1" t="s">
        <v>101</v>
      </c>
    </row>
    <row r="1782" spans="1:10" x14ac:dyDescent="0.25">
      <c r="A1782" s="1" t="s">
        <v>1712</v>
      </c>
      <c r="B1782" s="1" t="s">
        <v>1713</v>
      </c>
      <c r="C1782" s="1" t="s">
        <v>29</v>
      </c>
      <c r="D1782">
        <v>30</v>
      </c>
      <c r="F1782" s="2">
        <v>44057</v>
      </c>
      <c r="G1782" s="2" t="str">
        <f>TEXT(LayoffsData[[#This Row],[date]],"yyyy-mm")</f>
        <v>2020-08</v>
      </c>
      <c r="H1782" s="1" t="s">
        <v>11</v>
      </c>
      <c r="I1782" s="1" t="s">
        <v>12</v>
      </c>
      <c r="J1782">
        <v>122</v>
      </c>
    </row>
    <row r="1783" spans="1:10" x14ac:dyDescent="0.25">
      <c r="A1783" s="1" t="s">
        <v>1712</v>
      </c>
      <c r="B1783" s="1" t="s">
        <v>1713</v>
      </c>
      <c r="C1783" s="1" t="s">
        <v>29</v>
      </c>
      <c r="D1783">
        <v>50</v>
      </c>
      <c r="F1783" s="2">
        <v>44748</v>
      </c>
      <c r="G1783" s="2" t="str">
        <f>TEXT(LayoffsData[[#This Row],[date]],"yyyy-mm")</f>
        <v>2022-07</v>
      </c>
      <c r="H1783" s="1" t="s">
        <v>11</v>
      </c>
      <c r="I1783" s="1" t="s">
        <v>12</v>
      </c>
      <c r="J1783">
        <v>122</v>
      </c>
    </row>
    <row r="1784" spans="1:10" x14ac:dyDescent="0.25">
      <c r="A1784" s="1" t="s">
        <v>1712</v>
      </c>
      <c r="B1784" s="1" t="s">
        <v>1713</v>
      </c>
      <c r="C1784" s="1" t="s">
        <v>29</v>
      </c>
      <c r="D1784">
        <v>70</v>
      </c>
      <c r="F1784" s="2">
        <v>44805</v>
      </c>
      <c r="G1784" s="2" t="str">
        <f>TEXT(LayoffsData[[#This Row],[date]],"yyyy-mm")</f>
        <v>2022-09</v>
      </c>
      <c r="H1784" s="1" t="s">
        <v>11</v>
      </c>
      <c r="I1784" s="1" t="s">
        <v>12</v>
      </c>
      <c r="J1784">
        <v>122</v>
      </c>
    </row>
    <row r="1785" spans="1:10" x14ac:dyDescent="0.25">
      <c r="A1785" s="1" t="s">
        <v>1712</v>
      </c>
      <c r="B1785" s="1" t="s">
        <v>1713</v>
      </c>
      <c r="C1785" s="1" t="s">
        <v>29</v>
      </c>
      <c r="D1785">
        <v>1000</v>
      </c>
      <c r="E1785">
        <v>0.1</v>
      </c>
      <c r="F1785" s="2">
        <v>44768</v>
      </c>
      <c r="G1785" s="2" t="str">
        <f>TEXT(LayoffsData[[#This Row],[date]],"yyyy-mm")</f>
        <v>2022-07</v>
      </c>
      <c r="H1785" s="1" t="s">
        <v>11</v>
      </c>
      <c r="I1785" s="1" t="s">
        <v>12</v>
      </c>
      <c r="J1785">
        <v>122</v>
      </c>
    </row>
    <row r="1786" spans="1:10" x14ac:dyDescent="0.25">
      <c r="A1786" s="1" t="s">
        <v>1714</v>
      </c>
      <c r="B1786" s="1" t="s">
        <v>293</v>
      </c>
      <c r="C1786" s="1" t="s">
        <v>29</v>
      </c>
      <c r="E1786">
        <v>1</v>
      </c>
      <c r="F1786" s="2">
        <v>44795</v>
      </c>
      <c r="G1786" s="2" t="str">
        <f>TEXT(LayoffsData[[#This Row],[date]],"yyyy-mm")</f>
        <v>2022-08</v>
      </c>
      <c r="H1786" s="1" t="s">
        <v>37</v>
      </c>
      <c r="I1786" s="1" t="s">
        <v>69</v>
      </c>
      <c r="J1786">
        <v>56</v>
      </c>
    </row>
    <row r="1787" spans="1:10" x14ac:dyDescent="0.25">
      <c r="A1787" s="1" t="s">
        <v>1715</v>
      </c>
      <c r="B1787" s="1" t="s">
        <v>76</v>
      </c>
      <c r="C1787" s="1" t="s">
        <v>20</v>
      </c>
      <c r="D1787">
        <v>52</v>
      </c>
      <c r="E1787">
        <v>0.12</v>
      </c>
      <c r="F1787" s="2">
        <v>43922</v>
      </c>
      <c r="G1787" s="2" t="str">
        <f>TEXT(LayoffsData[[#This Row],[date]],"yyyy-mm")</f>
        <v>2020-04</v>
      </c>
      <c r="H1787" s="1" t="s">
        <v>33</v>
      </c>
      <c r="I1787" s="1" t="s">
        <v>17</v>
      </c>
      <c r="J1787">
        <v>159</v>
      </c>
    </row>
    <row r="1788" spans="1:10" x14ac:dyDescent="0.25">
      <c r="A1788" s="1" t="s">
        <v>1716</v>
      </c>
      <c r="B1788" s="1" t="s">
        <v>14</v>
      </c>
      <c r="C1788" s="1" t="s">
        <v>29</v>
      </c>
      <c r="D1788">
        <v>360</v>
      </c>
      <c r="F1788" s="2">
        <v>44951</v>
      </c>
      <c r="G1788" s="2" t="str">
        <f>TEXT(LayoffsData[[#This Row],[date]],"yyyy-mm")</f>
        <v>2023-01</v>
      </c>
      <c r="H1788" s="1" t="s">
        <v>57</v>
      </c>
      <c r="I1788" s="1" t="s">
        <v>17</v>
      </c>
      <c r="J1788">
        <v>50</v>
      </c>
    </row>
    <row r="1789" spans="1:10" x14ac:dyDescent="0.25">
      <c r="A1789" s="1" t="s">
        <v>1716</v>
      </c>
      <c r="B1789" s="1" t="s">
        <v>14</v>
      </c>
      <c r="C1789" s="1" t="s">
        <v>29</v>
      </c>
      <c r="D1789">
        <v>800</v>
      </c>
      <c r="F1789" s="2">
        <v>44221</v>
      </c>
      <c r="G1789" s="2" t="str">
        <f>TEXT(LayoffsData[[#This Row],[date]],"yyyy-mm")</f>
        <v>2021-01</v>
      </c>
      <c r="H1789" s="1" t="s">
        <v>57</v>
      </c>
      <c r="I1789" s="1" t="s">
        <v>17</v>
      </c>
      <c r="J1789">
        <v>50</v>
      </c>
    </row>
    <row r="1790" spans="1:10" x14ac:dyDescent="0.25">
      <c r="A1790" s="1" t="s">
        <v>1717</v>
      </c>
      <c r="B1790" s="1" t="s">
        <v>370</v>
      </c>
      <c r="C1790" s="1" t="s">
        <v>10</v>
      </c>
      <c r="D1790">
        <v>40</v>
      </c>
      <c r="F1790" s="2">
        <v>43923</v>
      </c>
      <c r="G1790" s="2" t="str">
        <f>TEXT(LayoffsData[[#This Row],[date]],"yyyy-mm")</f>
        <v>2020-04</v>
      </c>
      <c r="H1790" s="1" t="s">
        <v>28</v>
      </c>
      <c r="I1790" s="1" t="s">
        <v>69</v>
      </c>
      <c r="J1790">
        <v>122</v>
      </c>
    </row>
    <row r="1791" spans="1:10" x14ac:dyDescent="0.25">
      <c r="A1791" s="1" t="s">
        <v>1718</v>
      </c>
      <c r="B1791" s="1" t="s">
        <v>14</v>
      </c>
      <c r="C1791" s="1" t="s">
        <v>174</v>
      </c>
      <c r="F1791" s="2">
        <v>44853</v>
      </c>
      <c r="G1791" s="2" t="str">
        <f>TEXT(LayoffsData[[#This Row],[date]],"yyyy-mm")</f>
        <v>2022-10</v>
      </c>
      <c r="H1791" s="1" t="s">
        <v>37</v>
      </c>
      <c r="I1791" s="1" t="s">
        <v>17</v>
      </c>
      <c r="J1791">
        <v>313</v>
      </c>
    </row>
    <row r="1792" spans="1:10" x14ac:dyDescent="0.25">
      <c r="A1792" s="1" t="s">
        <v>1718</v>
      </c>
      <c r="B1792" s="1" t="s">
        <v>14</v>
      </c>
      <c r="C1792" s="1" t="s">
        <v>174</v>
      </c>
      <c r="E1792">
        <v>0.1</v>
      </c>
      <c r="F1792" s="2">
        <v>44713</v>
      </c>
      <c r="G1792" s="2" t="str">
        <f>TEXT(LayoffsData[[#This Row],[date]],"yyyy-mm")</f>
        <v>2022-06</v>
      </c>
      <c r="H1792" s="1" t="s">
        <v>37</v>
      </c>
      <c r="I1792" s="1" t="s">
        <v>17</v>
      </c>
      <c r="J1792">
        <v>313</v>
      </c>
    </row>
    <row r="1793" spans="1:10" x14ac:dyDescent="0.25">
      <c r="A1793" s="1" t="s">
        <v>1719</v>
      </c>
      <c r="B1793" s="1" t="s">
        <v>26</v>
      </c>
      <c r="C1793" s="1" t="s">
        <v>15</v>
      </c>
      <c r="D1793">
        <v>110</v>
      </c>
      <c r="E1793">
        <v>0.4</v>
      </c>
      <c r="F1793" s="2">
        <v>44740</v>
      </c>
      <c r="G1793" s="2" t="str">
        <f>TEXT(LayoffsData[[#This Row],[date]],"yyyy-mm")</f>
        <v>2022-06</v>
      </c>
      <c r="H1793" s="1" t="s">
        <v>28</v>
      </c>
      <c r="I1793" s="1" t="s">
        <v>17</v>
      </c>
      <c r="J1793">
        <v>163</v>
      </c>
    </row>
    <row r="1794" spans="1:10" x14ac:dyDescent="0.25">
      <c r="A1794" s="1" t="s">
        <v>1720</v>
      </c>
      <c r="B1794" s="1" t="s">
        <v>14</v>
      </c>
      <c r="C1794" s="1" t="s">
        <v>172</v>
      </c>
      <c r="F1794" s="2">
        <v>43965</v>
      </c>
      <c r="G1794" s="2" t="str">
        <f>TEXT(LayoffsData[[#This Row],[date]],"yyyy-mm")</f>
        <v>2020-05</v>
      </c>
      <c r="H1794" s="1" t="s">
        <v>33</v>
      </c>
      <c r="I1794" s="1" t="s">
        <v>17</v>
      </c>
      <c r="J1794">
        <v>106</v>
      </c>
    </row>
    <row r="1795" spans="1:10" x14ac:dyDescent="0.25">
      <c r="A1795" s="1" t="s">
        <v>1721</v>
      </c>
      <c r="B1795" s="1" t="s">
        <v>1722</v>
      </c>
      <c r="C1795" s="1" t="s">
        <v>149</v>
      </c>
      <c r="D1795">
        <v>64</v>
      </c>
      <c r="F1795" s="2">
        <v>44676</v>
      </c>
      <c r="G1795" s="2" t="str">
        <f>TEXT(LayoffsData[[#This Row],[date]],"yyyy-mm")</f>
        <v>2022-04</v>
      </c>
      <c r="H1795" s="1" t="s">
        <v>57</v>
      </c>
      <c r="I1795" s="1" t="s">
        <v>251</v>
      </c>
      <c r="J1795">
        <v>277</v>
      </c>
    </row>
    <row r="1796" spans="1:10" x14ac:dyDescent="0.25">
      <c r="A1796" s="1" t="s">
        <v>1723</v>
      </c>
      <c r="B1796" s="1" t="s">
        <v>1724</v>
      </c>
      <c r="C1796" s="1" t="s">
        <v>172</v>
      </c>
      <c r="F1796" s="2">
        <v>44867</v>
      </c>
      <c r="G1796" s="2" t="str">
        <f>TEXT(LayoffsData[[#This Row],[date]],"yyyy-mm")</f>
        <v>2022-11</v>
      </c>
      <c r="H1796" s="1" t="s">
        <v>57</v>
      </c>
      <c r="I1796" s="1" t="s">
        <v>1373</v>
      </c>
      <c r="J1796">
        <v>8</v>
      </c>
    </row>
    <row r="1797" spans="1:10" x14ac:dyDescent="0.25">
      <c r="A1797" s="1" t="s">
        <v>1725</v>
      </c>
      <c r="B1797" s="1" t="s">
        <v>32</v>
      </c>
      <c r="C1797" s="1" t="s">
        <v>149</v>
      </c>
      <c r="D1797">
        <v>120</v>
      </c>
      <c r="E1797">
        <v>0.1</v>
      </c>
      <c r="F1797" s="2">
        <v>44881</v>
      </c>
      <c r="G1797" s="2" t="str">
        <f>TEXT(LayoffsData[[#This Row],[date]],"yyyy-mm")</f>
        <v>2022-11</v>
      </c>
      <c r="H1797" s="1" t="s">
        <v>11</v>
      </c>
      <c r="I1797" s="1" t="s">
        <v>17</v>
      </c>
      <c r="J1797">
        <v>235</v>
      </c>
    </row>
    <row r="1798" spans="1:10" x14ac:dyDescent="0.25">
      <c r="A1798" s="1" t="s">
        <v>1726</v>
      </c>
      <c r="B1798" s="1" t="s">
        <v>32</v>
      </c>
      <c r="C1798" s="1" t="s">
        <v>20</v>
      </c>
      <c r="D1798">
        <v>6</v>
      </c>
      <c r="F1798" s="2">
        <v>43944</v>
      </c>
      <c r="G1798" s="2" t="str">
        <f>TEXT(LayoffsData[[#This Row],[date]],"yyyy-mm")</f>
        <v>2020-04</v>
      </c>
      <c r="H1798" s="1" t="s">
        <v>28</v>
      </c>
      <c r="I1798" s="1" t="s">
        <v>17</v>
      </c>
      <c r="J1798">
        <v>68</v>
      </c>
    </row>
    <row r="1799" spans="1:10" x14ac:dyDescent="0.25">
      <c r="A1799" s="1" t="s">
        <v>1727</v>
      </c>
      <c r="B1799" s="1" t="s">
        <v>71</v>
      </c>
      <c r="C1799" s="1" t="s">
        <v>68</v>
      </c>
      <c r="E1799">
        <v>1</v>
      </c>
      <c r="F1799" s="2">
        <v>44203</v>
      </c>
      <c r="G1799" s="2" t="str">
        <f>TEXT(LayoffsData[[#This Row],[date]],"yyyy-mm")</f>
        <v>2021-01</v>
      </c>
      <c r="H1799" s="1" t="s">
        <v>57</v>
      </c>
      <c r="I1799" s="1" t="s">
        <v>17</v>
      </c>
      <c r="J1799">
        <v>15</v>
      </c>
    </row>
    <row r="1800" spans="1:10" x14ac:dyDescent="0.25">
      <c r="A1800" s="1" t="s">
        <v>1728</v>
      </c>
      <c r="B1800" s="1" t="s">
        <v>115</v>
      </c>
      <c r="C1800" s="1" t="s">
        <v>51</v>
      </c>
      <c r="D1800">
        <v>150</v>
      </c>
      <c r="E1800">
        <v>1</v>
      </c>
      <c r="F1800" s="2">
        <v>44811</v>
      </c>
      <c r="G1800" s="2" t="str">
        <f>TEXT(LayoffsData[[#This Row],[date]],"yyyy-mm")</f>
        <v>2022-09</v>
      </c>
      <c r="H1800" s="1" t="s">
        <v>37</v>
      </c>
      <c r="I1800" s="1" t="s">
        <v>116</v>
      </c>
      <c r="J1800">
        <v>173</v>
      </c>
    </row>
    <row r="1801" spans="1:10" x14ac:dyDescent="0.25">
      <c r="A1801" s="1" t="s">
        <v>1729</v>
      </c>
      <c r="B1801" s="1" t="s">
        <v>62</v>
      </c>
      <c r="C1801" s="1" t="s">
        <v>149</v>
      </c>
      <c r="D1801">
        <v>150</v>
      </c>
      <c r="F1801" s="2">
        <v>44846</v>
      </c>
      <c r="G1801" s="2" t="str">
        <f>TEXT(LayoffsData[[#This Row],[date]],"yyyy-mm")</f>
        <v>2022-10</v>
      </c>
      <c r="H1801" s="1" t="s">
        <v>11</v>
      </c>
      <c r="I1801" s="1" t="s">
        <v>64</v>
      </c>
      <c r="J1801">
        <v>1500</v>
      </c>
    </row>
    <row r="1802" spans="1:10" x14ac:dyDescent="0.25">
      <c r="A1802" s="1" t="s">
        <v>1730</v>
      </c>
      <c r="B1802" s="1" t="s">
        <v>14</v>
      </c>
      <c r="C1802" s="1" t="s">
        <v>20</v>
      </c>
      <c r="F1802" s="2">
        <v>43944</v>
      </c>
      <c r="G1802" s="2" t="str">
        <f>TEXT(LayoffsData[[#This Row],[date]],"yyyy-mm")</f>
        <v>2020-04</v>
      </c>
      <c r="H1802" s="1" t="s">
        <v>24</v>
      </c>
      <c r="I1802" s="1" t="s">
        <v>17</v>
      </c>
      <c r="J1802">
        <v>50</v>
      </c>
    </row>
    <row r="1803" spans="1:10" x14ac:dyDescent="0.25">
      <c r="A1803" s="1" t="s">
        <v>1731</v>
      </c>
      <c r="B1803" s="1" t="s">
        <v>120</v>
      </c>
      <c r="C1803" s="1" t="s">
        <v>29</v>
      </c>
      <c r="D1803">
        <v>160</v>
      </c>
      <c r="E1803">
        <v>0.08</v>
      </c>
      <c r="F1803" s="2">
        <v>44887</v>
      </c>
      <c r="G1803" s="2" t="str">
        <f>TEXT(LayoffsData[[#This Row],[date]],"yyyy-mm")</f>
        <v>2022-11</v>
      </c>
      <c r="H1803" s="1" t="s">
        <v>24</v>
      </c>
      <c r="I1803" s="1" t="s">
        <v>121</v>
      </c>
      <c r="J1803">
        <v>92</v>
      </c>
    </row>
    <row r="1804" spans="1:10" x14ac:dyDescent="0.25">
      <c r="A1804" s="1" t="s">
        <v>1732</v>
      </c>
      <c r="B1804" s="1" t="s">
        <v>55</v>
      </c>
      <c r="C1804" s="1" t="s">
        <v>598</v>
      </c>
      <c r="D1804">
        <v>130</v>
      </c>
      <c r="E1804">
        <v>0.15</v>
      </c>
      <c r="F1804" s="2">
        <v>44951</v>
      </c>
      <c r="G1804" s="2" t="str">
        <f>TEXT(LayoffsData[[#This Row],[date]],"yyyy-mm")</f>
        <v>2023-01</v>
      </c>
      <c r="H1804" s="1" t="s">
        <v>33</v>
      </c>
      <c r="I1804" s="1" t="s">
        <v>17</v>
      </c>
      <c r="J1804">
        <v>171</v>
      </c>
    </row>
    <row r="1805" spans="1:10" x14ac:dyDescent="0.25">
      <c r="A1805" s="1" t="s">
        <v>1733</v>
      </c>
      <c r="B1805" s="1" t="s">
        <v>32</v>
      </c>
      <c r="C1805" s="1" t="s">
        <v>63</v>
      </c>
      <c r="D1805">
        <v>475</v>
      </c>
      <c r="E1805">
        <v>0.08</v>
      </c>
      <c r="F1805" s="2">
        <v>44991</v>
      </c>
      <c r="G1805" s="2" t="str">
        <f>TEXT(LayoffsData[[#This Row],[date]],"yyyy-mm")</f>
        <v>2023-03</v>
      </c>
      <c r="H1805" s="1" t="s">
        <v>11</v>
      </c>
      <c r="I1805" s="1" t="s">
        <v>17</v>
      </c>
      <c r="J1805">
        <v>525</v>
      </c>
    </row>
    <row r="1806" spans="1:10" x14ac:dyDescent="0.25">
      <c r="A1806" s="1" t="s">
        <v>1734</v>
      </c>
      <c r="B1806" s="1" t="s">
        <v>32</v>
      </c>
      <c r="C1806" s="1" t="s">
        <v>74</v>
      </c>
      <c r="D1806">
        <v>80</v>
      </c>
      <c r="E1806">
        <v>0.09</v>
      </c>
      <c r="F1806" s="2">
        <v>43944</v>
      </c>
      <c r="G1806" s="2" t="str">
        <f>TEXT(LayoffsData[[#This Row],[date]],"yyyy-mm")</f>
        <v>2020-04</v>
      </c>
      <c r="H1806" s="1" t="s">
        <v>86</v>
      </c>
      <c r="I1806" s="1" t="s">
        <v>17</v>
      </c>
      <c r="J1806">
        <v>274</v>
      </c>
    </row>
    <row r="1807" spans="1:10" x14ac:dyDescent="0.25">
      <c r="A1807" s="1" t="s">
        <v>1735</v>
      </c>
      <c r="B1807" s="1" t="s">
        <v>235</v>
      </c>
      <c r="C1807" s="1" t="s">
        <v>20</v>
      </c>
      <c r="D1807">
        <v>40</v>
      </c>
      <c r="F1807" s="2">
        <v>43921</v>
      </c>
      <c r="G1807" s="2" t="str">
        <f>TEXT(LayoffsData[[#This Row],[date]],"yyyy-mm")</f>
        <v>2020-03</v>
      </c>
      <c r="H1807" s="1" t="s">
        <v>37</v>
      </c>
      <c r="I1807" s="1" t="s">
        <v>17</v>
      </c>
      <c r="J1807">
        <v>55</v>
      </c>
    </row>
    <row r="1808" spans="1:10" x14ac:dyDescent="0.25">
      <c r="A1808" s="1" t="s">
        <v>1736</v>
      </c>
      <c r="B1808" s="1" t="s">
        <v>168</v>
      </c>
      <c r="C1808" s="1" t="s">
        <v>20</v>
      </c>
      <c r="D1808">
        <v>30</v>
      </c>
      <c r="E1808">
        <v>0.04</v>
      </c>
      <c r="F1808" s="2">
        <v>44769</v>
      </c>
      <c r="G1808" s="2" t="str">
        <f>TEXT(LayoffsData[[#This Row],[date]],"yyyy-mm")</f>
        <v>2022-07</v>
      </c>
      <c r="H1808" s="1" t="s">
        <v>16</v>
      </c>
      <c r="I1808" s="1" t="s">
        <v>170</v>
      </c>
      <c r="J1808">
        <v>60</v>
      </c>
    </row>
    <row r="1809" spans="1:10" x14ac:dyDescent="0.25">
      <c r="A1809" s="1" t="s">
        <v>1737</v>
      </c>
      <c r="B1809" s="1" t="s">
        <v>14</v>
      </c>
      <c r="C1809" s="1" t="s">
        <v>147</v>
      </c>
      <c r="D1809">
        <v>31</v>
      </c>
      <c r="E1809">
        <v>0.08</v>
      </c>
      <c r="F1809" s="2">
        <v>44796</v>
      </c>
      <c r="G1809" s="2" t="str">
        <f>TEXT(LayoffsData[[#This Row],[date]],"yyyy-mm")</f>
        <v>2022-08</v>
      </c>
      <c r="H1809" s="1" t="s">
        <v>28</v>
      </c>
      <c r="I1809" s="1" t="s">
        <v>17</v>
      </c>
      <c r="J1809">
        <v>114</v>
      </c>
    </row>
    <row r="1810" spans="1:10" x14ac:dyDescent="0.25">
      <c r="A1810" s="1" t="s">
        <v>1738</v>
      </c>
      <c r="B1810" s="1" t="s">
        <v>1739</v>
      </c>
      <c r="C1810" s="1" t="s">
        <v>149</v>
      </c>
      <c r="D1810">
        <v>80</v>
      </c>
      <c r="F1810" s="2">
        <v>44845</v>
      </c>
      <c r="G1810" s="2" t="str">
        <f>TEXT(LayoffsData[[#This Row],[date]],"yyyy-mm")</f>
        <v>2022-10</v>
      </c>
      <c r="H1810" s="1" t="s">
        <v>21</v>
      </c>
      <c r="I1810" s="1" t="s">
        <v>350</v>
      </c>
      <c r="J1810">
        <v>20</v>
      </c>
    </row>
    <row r="1811" spans="1:10" x14ac:dyDescent="0.25">
      <c r="A1811" s="1" t="s">
        <v>1740</v>
      </c>
      <c r="B1811" s="1" t="s">
        <v>32</v>
      </c>
      <c r="C1811" s="1" t="s">
        <v>41</v>
      </c>
      <c r="F1811" s="2">
        <v>44796</v>
      </c>
      <c r="G1811" s="2" t="str">
        <f>TEXT(LayoffsData[[#This Row],[date]],"yyyy-mm")</f>
        <v>2022-08</v>
      </c>
      <c r="H1811" s="1" t="s">
        <v>37</v>
      </c>
      <c r="I1811" s="1" t="s">
        <v>17</v>
      </c>
      <c r="J1811">
        <v>136</v>
      </c>
    </row>
    <row r="1812" spans="1:10" x14ac:dyDescent="0.25">
      <c r="A1812" s="1" t="s">
        <v>1740</v>
      </c>
      <c r="B1812" s="1" t="s">
        <v>32</v>
      </c>
      <c r="C1812" s="1" t="s">
        <v>41</v>
      </c>
      <c r="D1812">
        <v>31</v>
      </c>
      <c r="F1812" s="2">
        <v>44713</v>
      </c>
      <c r="G1812" s="2" t="str">
        <f>TEXT(LayoffsData[[#This Row],[date]],"yyyy-mm")</f>
        <v>2022-06</v>
      </c>
      <c r="H1812" s="1" t="s">
        <v>37</v>
      </c>
      <c r="I1812" s="1" t="s">
        <v>17</v>
      </c>
      <c r="J1812">
        <v>136</v>
      </c>
    </row>
    <row r="1813" spans="1:10" x14ac:dyDescent="0.25">
      <c r="A1813" s="1" t="s">
        <v>1741</v>
      </c>
      <c r="B1813" s="1" t="s">
        <v>14</v>
      </c>
      <c r="C1813" s="1" t="s">
        <v>27</v>
      </c>
      <c r="F1813" s="2">
        <v>44802</v>
      </c>
      <c r="G1813" s="2" t="str">
        <f>TEXT(LayoffsData[[#This Row],[date]],"yyyy-mm")</f>
        <v>2022-08</v>
      </c>
      <c r="H1813" s="1" t="s">
        <v>11</v>
      </c>
      <c r="I1813" s="1" t="s">
        <v>17</v>
      </c>
      <c r="J1813">
        <v>287</v>
      </c>
    </row>
    <row r="1814" spans="1:10" x14ac:dyDescent="0.25">
      <c r="A1814" s="1" t="s">
        <v>1741</v>
      </c>
      <c r="B1814" s="1" t="s">
        <v>14</v>
      </c>
      <c r="C1814" s="1" t="s">
        <v>27</v>
      </c>
      <c r="D1814">
        <v>21</v>
      </c>
      <c r="F1814" s="2">
        <v>43935</v>
      </c>
      <c r="G1814" s="2" t="str">
        <f>TEXT(LayoffsData[[#This Row],[date]],"yyyy-mm")</f>
        <v>2020-04</v>
      </c>
      <c r="H1814" s="1" t="s">
        <v>33</v>
      </c>
      <c r="I1814" s="1" t="s">
        <v>17</v>
      </c>
      <c r="J1814">
        <v>132</v>
      </c>
    </row>
    <row r="1815" spans="1:10" x14ac:dyDescent="0.25">
      <c r="A1815" s="1" t="s">
        <v>1741</v>
      </c>
      <c r="B1815" s="1" t="s">
        <v>14</v>
      </c>
      <c r="C1815" s="1" t="s">
        <v>27</v>
      </c>
      <c r="D1815">
        <v>70</v>
      </c>
      <c r="E1815">
        <v>0.1</v>
      </c>
      <c r="F1815" s="2">
        <v>44701</v>
      </c>
      <c r="G1815" s="2" t="str">
        <f>TEXT(LayoffsData[[#This Row],[date]],"yyyy-mm")</f>
        <v>2022-05</v>
      </c>
      <c r="H1815" s="1" t="s">
        <v>11</v>
      </c>
      <c r="I1815" s="1" t="s">
        <v>17</v>
      </c>
      <c r="J1815">
        <v>287</v>
      </c>
    </row>
    <row r="1816" spans="1:10" x14ac:dyDescent="0.25">
      <c r="A1816" s="1" t="s">
        <v>1742</v>
      </c>
      <c r="B1816" s="1" t="s">
        <v>1743</v>
      </c>
      <c r="C1816" s="1" t="s">
        <v>51</v>
      </c>
      <c r="D1816">
        <v>350</v>
      </c>
      <c r="F1816" s="2">
        <v>44813</v>
      </c>
      <c r="G1816" s="2" t="str">
        <f>TEXT(LayoffsData[[#This Row],[date]],"yyyy-mm")</f>
        <v>2022-09</v>
      </c>
      <c r="H1816" s="1" t="s">
        <v>57</v>
      </c>
      <c r="I1816" s="1" t="s">
        <v>12</v>
      </c>
      <c r="J1816">
        <v>6</v>
      </c>
    </row>
    <row r="1817" spans="1:10" x14ac:dyDescent="0.25">
      <c r="A1817" s="1" t="s">
        <v>1744</v>
      </c>
      <c r="B1817" s="1" t="s">
        <v>293</v>
      </c>
      <c r="C1817" s="1" t="s">
        <v>53</v>
      </c>
      <c r="D1817">
        <v>115</v>
      </c>
      <c r="F1817" s="2">
        <v>44938</v>
      </c>
      <c r="G1817" s="2" t="str">
        <f>TEXT(LayoffsData[[#This Row],[date]],"yyyy-mm")</f>
        <v>2023-01</v>
      </c>
      <c r="H1817" s="1" t="s">
        <v>24</v>
      </c>
      <c r="I1817" s="1" t="s">
        <v>69</v>
      </c>
      <c r="J1817">
        <v>28</v>
      </c>
    </row>
    <row r="1818" spans="1:10" x14ac:dyDescent="0.25">
      <c r="A1818" s="1" t="s">
        <v>1745</v>
      </c>
      <c r="B1818" s="1" t="s">
        <v>1746</v>
      </c>
      <c r="C1818" s="1" t="s">
        <v>84</v>
      </c>
      <c r="D1818">
        <v>300</v>
      </c>
      <c r="E1818">
        <v>0.2</v>
      </c>
      <c r="F1818" s="2">
        <v>44026</v>
      </c>
      <c r="G1818" s="2" t="str">
        <f>TEXT(LayoffsData[[#This Row],[date]],"yyyy-mm")</f>
        <v>2020-07</v>
      </c>
      <c r="H1818" s="1" t="s">
        <v>57</v>
      </c>
      <c r="I1818" s="1" t="s">
        <v>201</v>
      </c>
      <c r="J1818">
        <v>197</v>
      </c>
    </row>
    <row r="1819" spans="1:10" x14ac:dyDescent="0.25">
      <c r="A1819" s="1" t="s">
        <v>1747</v>
      </c>
      <c r="B1819" s="1" t="s">
        <v>655</v>
      </c>
      <c r="C1819" s="1" t="s">
        <v>174</v>
      </c>
      <c r="D1819">
        <v>50</v>
      </c>
      <c r="E1819">
        <v>0.25</v>
      </c>
      <c r="F1819" s="2">
        <v>43921</v>
      </c>
      <c r="G1819" s="2" t="str">
        <f>TEXT(LayoffsData[[#This Row],[date]],"yyyy-mm")</f>
        <v>2020-03</v>
      </c>
      <c r="H1819" s="1" t="s">
        <v>57</v>
      </c>
      <c r="I1819" s="1" t="s">
        <v>17</v>
      </c>
    </row>
    <row r="1820" spans="1:10" x14ac:dyDescent="0.25">
      <c r="A1820" s="1" t="s">
        <v>1748</v>
      </c>
      <c r="B1820" s="1" t="s">
        <v>32</v>
      </c>
      <c r="C1820" s="1" t="s">
        <v>68</v>
      </c>
      <c r="F1820" s="2">
        <v>43929</v>
      </c>
      <c r="G1820" s="2" t="str">
        <f>TEXT(LayoffsData[[#This Row],[date]],"yyyy-mm")</f>
        <v>2020-04</v>
      </c>
      <c r="H1820" s="1" t="s">
        <v>21</v>
      </c>
      <c r="I1820" s="1" t="s">
        <v>17</v>
      </c>
      <c r="J1820">
        <v>35</v>
      </c>
    </row>
    <row r="1821" spans="1:10" x14ac:dyDescent="0.25">
      <c r="A1821" s="1" t="s">
        <v>1749</v>
      </c>
      <c r="B1821" s="1" t="s">
        <v>278</v>
      </c>
      <c r="C1821" s="1" t="s">
        <v>108</v>
      </c>
      <c r="F1821" s="2">
        <v>44778</v>
      </c>
      <c r="G1821" s="2" t="str">
        <f>TEXT(LayoffsData[[#This Row],[date]],"yyyy-mm")</f>
        <v>2022-08</v>
      </c>
      <c r="H1821" s="1" t="s">
        <v>24</v>
      </c>
      <c r="I1821" s="1" t="s">
        <v>17</v>
      </c>
      <c r="J1821">
        <v>76</v>
      </c>
    </row>
    <row r="1822" spans="1:10" x14ac:dyDescent="0.25">
      <c r="A1822" s="1" t="s">
        <v>1750</v>
      </c>
      <c r="B1822" s="1" t="s">
        <v>71</v>
      </c>
      <c r="C1822" s="1" t="s">
        <v>149</v>
      </c>
      <c r="F1822" s="2">
        <v>44763</v>
      </c>
      <c r="G1822" s="2" t="str">
        <f>TEXT(LayoffsData[[#This Row],[date]],"yyyy-mm")</f>
        <v>2022-07</v>
      </c>
      <c r="H1822" s="1" t="s">
        <v>105</v>
      </c>
      <c r="I1822" s="1" t="s">
        <v>17</v>
      </c>
    </row>
    <row r="1823" spans="1:10" x14ac:dyDescent="0.25">
      <c r="A1823" s="1" t="s">
        <v>1751</v>
      </c>
      <c r="B1823" s="1" t="s">
        <v>594</v>
      </c>
      <c r="C1823" s="1" t="s">
        <v>63</v>
      </c>
      <c r="D1823">
        <v>120</v>
      </c>
      <c r="E1823">
        <v>0.4</v>
      </c>
      <c r="F1823" s="2">
        <v>44938</v>
      </c>
      <c r="G1823" s="2" t="str">
        <f>TEXT(LayoffsData[[#This Row],[date]],"yyyy-mm")</f>
        <v>2023-01</v>
      </c>
      <c r="H1823" s="1" t="s">
        <v>86</v>
      </c>
      <c r="I1823" s="1" t="s">
        <v>17</v>
      </c>
      <c r="J1823">
        <v>410</v>
      </c>
    </row>
    <row r="1824" spans="1:10" x14ac:dyDescent="0.25">
      <c r="A1824" s="1" t="s">
        <v>1752</v>
      </c>
      <c r="B1824" s="1" t="s">
        <v>55</v>
      </c>
      <c r="C1824" s="1" t="s">
        <v>149</v>
      </c>
      <c r="D1824">
        <v>85</v>
      </c>
      <c r="E1824">
        <v>0.03</v>
      </c>
      <c r="F1824" s="2">
        <v>44973</v>
      </c>
      <c r="G1824" s="2" t="str">
        <f>TEXT(LayoffsData[[#This Row],[date]],"yyyy-mm")</f>
        <v>2023-02</v>
      </c>
      <c r="H1824" s="1" t="s">
        <v>11</v>
      </c>
      <c r="I1824" s="1" t="s">
        <v>17</v>
      </c>
      <c r="J1824">
        <v>152</v>
      </c>
    </row>
    <row r="1825" spans="1:10" x14ac:dyDescent="0.25">
      <c r="A1825" s="1" t="s">
        <v>1753</v>
      </c>
      <c r="B1825" s="1" t="s">
        <v>79</v>
      </c>
      <c r="C1825" s="1" t="s">
        <v>68</v>
      </c>
      <c r="D1825">
        <v>100</v>
      </c>
      <c r="E1825">
        <v>0.1</v>
      </c>
      <c r="F1825" s="2">
        <v>44804</v>
      </c>
      <c r="G1825" s="2" t="str">
        <f>TEXT(LayoffsData[[#This Row],[date]],"yyyy-mm")</f>
        <v>2022-08</v>
      </c>
      <c r="H1825" s="1" t="s">
        <v>37</v>
      </c>
      <c r="I1825" s="1" t="s">
        <v>80</v>
      </c>
      <c r="J1825">
        <v>188</v>
      </c>
    </row>
    <row r="1826" spans="1:10" x14ac:dyDescent="0.25">
      <c r="A1826" s="1" t="s">
        <v>1753</v>
      </c>
      <c r="B1826" s="1" t="s">
        <v>79</v>
      </c>
      <c r="C1826" s="1" t="s">
        <v>68</v>
      </c>
      <c r="D1826">
        <v>100</v>
      </c>
      <c r="E1826">
        <v>0.15</v>
      </c>
      <c r="F1826" s="2">
        <v>44867</v>
      </c>
      <c r="G1826" s="2" t="str">
        <f>TEXT(LayoffsData[[#This Row],[date]],"yyyy-mm")</f>
        <v>2022-11</v>
      </c>
      <c r="H1826" s="1" t="s">
        <v>37</v>
      </c>
      <c r="I1826" s="1" t="s">
        <v>80</v>
      </c>
      <c r="J1826">
        <v>188</v>
      </c>
    </row>
    <row r="1827" spans="1:10" x14ac:dyDescent="0.25">
      <c r="A1827" s="1" t="s">
        <v>1754</v>
      </c>
      <c r="B1827" s="1" t="s">
        <v>1755</v>
      </c>
      <c r="C1827" s="1" t="s">
        <v>147</v>
      </c>
      <c r="F1827" s="2">
        <v>44804</v>
      </c>
      <c r="G1827" s="2" t="str">
        <f>TEXT(LayoffsData[[#This Row],[date]],"yyyy-mm")</f>
        <v>2022-08</v>
      </c>
      <c r="H1827" s="1" t="s">
        <v>37</v>
      </c>
      <c r="I1827" s="1" t="s">
        <v>17</v>
      </c>
      <c r="J1827">
        <v>221</v>
      </c>
    </row>
    <row r="1828" spans="1:10" x14ac:dyDescent="0.25">
      <c r="A1828" s="1" t="s">
        <v>1756</v>
      </c>
      <c r="B1828" s="1" t="s">
        <v>26</v>
      </c>
      <c r="C1828" s="1" t="s">
        <v>27</v>
      </c>
      <c r="D1828">
        <v>1280</v>
      </c>
      <c r="E1828">
        <v>0.2</v>
      </c>
      <c r="F1828" s="2">
        <v>44804</v>
      </c>
      <c r="G1828" s="2" t="str">
        <f>TEXT(LayoffsData[[#This Row],[date]],"yyyy-mm")</f>
        <v>2022-08</v>
      </c>
      <c r="H1828" s="1" t="s">
        <v>11</v>
      </c>
      <c r="I1828" s="1" t="s">
        <v>17</v>
      </c>
      <c r="J1828">
        <v>4900</v>
      </c>
    </row>
    <row r="1829" spans="1:10" x14ac:dyDescent="0.25">
      <c r="A1829" s="1" t="s">
        <v>1757</v>
      </c>
      <c r="B1829" s="1" t="s">
        <v>92</v>
      </c>
      <c r="C1829" s="1" t="s">
        <v>68</v>
      </c>
      <c r="F1829" s="2">
        <v>43921</v>
      </c>
      <c r="G1829" s="2" t="str">
        <f>TEXT(LayoffsData[[#This Row],[date]],"yyyy-mm")</f>
        <v>2020-03</v>
      </c>
      <c r="H1829" s="1" t="s">
        <v>37</v>
      </c>
      <c r="I1829" s="1" t="s">
        <v>17</v>
      </c>
    </row>
    <row r="1830" spans="1:10" x14ac:dyDescent="0.25">
      <c r="A1830" s="1" t="s">
        <v>1758</v>
      </c>
      <c r="B1830" s="1" t="s">
        <v>14</v>
      </c>
      <c r="C1830" s="1" t="s">
        <v>174</v>
      </c>
      <c r="E1830">
        <v>0.1</v>
      </c>
      <c r="F1830" s="2">
        <v>44789</v>
      </c>
      <c r="G1830" s="2" t="str">
        <f>TEXT(LayoffsData[[#This Row],[date]],"yyyy-mm")</f>
        <v>2022-08</v>
      </c>
      <c r="H1830" s="1" t="s">
        <v>33</v>
      </c>
      <c r="I1830" s="1" t="s">
        <v>17</v>
      </c>
      <c r="J1830">
        <v>253</v>
      </c>
    </row>
    <row r="1831" spans="1:10" x14ac:dyDescent="0.25">
      <c r="A1831" s="1" t="s">
        <v>1758</v>
      </c>
      <c r="B1831" s="1" t="s">
        <v>14</v>
      </c>
      <c r="C1831" s="1" t="s">
        <v>174</v>
      </c>
      <c r="E1831">
        <v>0.15</v>
      </c>
      <c r="F1831" s="2">
        <v>44868</v>
      </c>
      <c r="G1831" s="2" t="str">
        <f>TEXT(LayoffsData[[#This Row],[date]],"yyyy-mm")</f>
        <v>2022-11</v>
      </c>
      <c r="H1831" s="1" t="s">
        <v>33</v>
      </c>
      <c r="I1831" s="1" t="s">
        <v>17</v>
      </c>
      <c r="J1831">
        <v>253</v>
      </c>
    </row>
    <row r="1832" spans="1:10" x14ac:dyDescent="0.25">
      <c r="A1832" s="1" t="s">
        <v>1759</v>
      </c>
      <c r="B1832" s="1" t="s">
        <v>32</v>
      </c>
      <c r="C1832" s="1" t="s">
        <v>20</v>
      </c>
      <c r="D1832">
        <v>100</v>
      </c>
      <c r="E1832">
        <v>0.3</v>
      </c>
      <c r="F1832" s="2">
        <v>44941</v>
      </c>
      <c r="G1832" s="2" t="str">
        <f>TEXT(LayoffsData[[#This Row],[date]],"yyyy-mm")</f>
        <v>2023-01</v>
      </c>
      <c r="H1832" s="1" t="s">
        <v>28</v>
      </c>
      <c r="I1832" s="1" t="s">
        <v>17</v>
      </c>
      <c r="J1832">
        <v>104</v>
      </c>
    </row>
    <row r="1833" spans="1:10" x14ac:dyDescent="0.25">
      <c r="A1833" s="1" t="s">
        <v>1760</v>
      </c>
      <c r="B1833" s="1" t="s">
        <v>9</v>
      </c>
      <c r="C1833" s="1" t="s">
        <v>84</v>
      </c>
      <c r="F1833" s="2">
        <v>44028</v>
      </c>
      <c r="G1833" s="2" t="str">
        <f>TEXT(LayoffsData[[#This Row],[date]],"yyyy-mm")</f>
        <v>2020-07</v>
      </c>
      <c r="H1833" s="1" t="s">
        <v>21</v>
      </c>
      <c r="I1833" s="1" t="s">
        <v>12</v>
      </c>
      <c r="J1833">
        <v>22</v>
      </c>
    </row>
    <row r="1834" spans="1:10" x14ac:dyDescent="0.25">
      <c r="A1834" s="1" t="s">
        <v>1761</v>
      </c>
      <c r="B1834" s="1" t="s">
        <v>200</v>
      </c>
      <c r="C1834" s="1" t="s">
        <v>74</v>
      </c>
      <c r="D1834">
        <v>40</v>
      </c>
      <c r="F1834" s="2">
        <v>44959</v>
      </c>
      <c r="G1834" s="2" t="str">
        <f>TEXT(LayoffsData[[#This Row],[date]],"yyyy-mm")</f>
        <v>2023-02</v>
      </c>
      <c r="H1834" s="1" t="s">
        <v>24</v>
      </c>
      <c r="I1834" s="1" t="s">
        <v>17</v>
      </c>
      <c r="J1834">
        <v>55</v>
      </c>
    </row>
    <row r="1835" spans="1:10" x14ac:dyDescent="0.25">
      <c r="A1835" s="1" t="s">
        <v>1762</v>
      </c>
      <c r="B1835" s="1" t="s">
        <v>73</v>
      </c>
      <c r="C1835" s="1" t="s">
        <v>172</v>
      </c>
      <c r="D1835">
        <v>30</v>
      </c>
      <c r="F1835" s="2">
        <v>44742</v>
      </c>
      <c r="G1835" s="2" t="str">
        <f>TEXT(LayoffsData[[#This Row],[date]],"yyyy-mm")</f>
        <v>2022-06</v>
      </c>
      <c r="H1835" s="1" t="s">
        <v>86</v>
      </c>
      <c r="I1835" s="1" t="s">
        <v>17</v>
      </c>
      <c r="J1835">
        <v>849</v>
      </c>
    </row>
    <row r="1836" spans="1:10" x14ac:dyDescent="0.25">
      <c r="A1836" s="1" t="s">
        <v>1762</v>
      </c>
      <c r="B1836" s="1" t="s">
        <v>73</v>
      </c>
      <c r="C1836" s="1" t="s">
        <v>172</v>
      </c>
      <c r="D1836">
        <v>198</v>
      </c>
      <c r="E1836">
        <v>0.14000000000000001</v>
      </c>
      <c r="F1836" s="2">
        <v>44858</v>
      </c>
      <c r="G1836" s="2" t="str">
        <f>TEXT(LayoffsData[[#This Row],[date]],"yyyy-mm")</f>
        <v>2022-10</v>
      </c>
      <c r="H1836" s="1" t="s">
        <v>86</v>
      </c>
      <c r="I1836" s="1" t="s">
        <v>17</v>
      </c>
      <c r="J1836">
        <v>849</v>
      </c>
    </row>
    <row r="1837" spans="1:10" x14ac:dyDescent="0.25">
      <c r="A1837" s="1" t="s">
        <v>1763</v>
      </c>
      <c r="B1837" s="1" t="s">
        <v>509</v>
      </c>
      <c r="C1837" s="1" t="s">
        <v>68</v>
      </c>
      <c r="D1837">
        <v>69</v>
      </c>
      <c r="E1837">
        <v>0.13</v>
      </c>
      <c r="F1837" s="2">
        <v>44729</v>
      </c>
      <c r="G1837" s="2" t="str">
        <f>TEXT(LayoffsData[[#This Row],[date]],"yyyy-mm")</f>
        <v>2022-06</v>
      </c>
      <c r="H1837" s="1" t="s">
        <v>16</v>
      </c>
      <c r="I1837" s="1" t="s">
        <v>17</v>
      </c>
      <c r="J1837">
        <v>646</v>
      </c>
    </row>
    <row r="1838" spans="1:10" x14ac:dyDescent="0.25">
      <c r="A1838" s="1" t="s">
        <v>1763</v>
      </c>
      <c r="B1838" s="1" t="s">
        <v>509</v>
      </c>
      <c r="C1838" s="1" t="s">
        <v>68</v>
      </c>
      <c r="D1838">
        <v>104</v>
      </c>
      <c r="E1838">
        <v>0.19</v>
      </c>
      <c r="F1838" s="2">
        <v>44931</v>
      </c>
      <c r="G1838" s="2" t="str">
        <f>TEXT(LayoffsData[[#This Row],[date]],"yyyy-mm")</f>
        <v>2023-01</v>
      </c>
      <c r="H1838" s="1" t="s">
        <v>16</v>
      </c>
      <c r="I1838" s="1" t="s">
        <v>17</v>
      </c>
      <c r="J1838">
        <v>646</v>
      </c>
    </row>
    <row r="1839" spans="1:10" x14ac:dyDescent="0.25">
      <c r="A1839" s="1" t="s">
        <v>1764</v>
      </c>
      <c r="B1839" s="1" t="s">
        <v>14</v>
      </c>
      <c r="C1839" s="1" t="s">
        <v>68</v>
      </c>
      <c r="F1839" s="2">
        <v>44956</v>
      </c>
      <c r="G1839" s="2" t="str">
        <f>TEXT(LayoffsData[[#This Row],[date]],"yyyy-mm")</f>
        <v>2023-01</v>
      </c>
      <c r="H1839" s="1" t="s">
        <v>11</v>
      </c>
      <c r="I1839" s="1" t="s">
        <v>17</v>
      </c>
      <c r="J1839">
        <v>3000</v>
      </c>
    </row>
    <row r="1840" spans="1:10" x14ac:dyDescent="0.25">
      <c r="A1840" s="1" t="s">
        <v>1764</v>
      </c>
      <c r="B1840" s="1" t="s">
        <v>14</v>
      </c>
      <c r="C1840" s="1" t="s">
        <v>68</v>
      </c>
      <c r="D1840">
        <v>112</v>
      </c>
      <c r="E1840">
        <v>7.0000000000000007E-2</v>
      </c>
      <c r="F1840" s="2">
        <v>43971</v>
      </c>
      <c r="G1840" s="2" t="str">
        <f>TEXT(LayoffsData[[#This Row],[date]],"yyyy-mm")</f>
        <v>2020-05</v>
      </c>
      <c r="H1840" s="1" t="s">
        <v>105</v>
      </c>
      <c r="I1840" s="1" t="s">
        <v>17</v>
      </c>
      <c r="J1840">
        <v>2500</v>
      </c>
    </row>
    <row r="1841" spans="1:10" x14ac:dyDescent="0.25">
      <c r="A1841" s="1" t="s">
        <v>1765</v>
      </c>
      <c r="B1841" s="1" t="s">
        <v>1766</v>
      </c>
      <c r="C1841" s="1" t="s">
        <v>74</v>
      </c>
      <c r="D1841">
        <v>200</v>
      </c>
      <c r="E1841">
        <v>0.04</v>
      </c>
      <c r="F1841" s="2">
        <v>44957</v>
      </c>
      <c r="G1841" s="2" t="str">
        <f>TEXT(LayoffsData[[#This Row],[date]],"yyyy-mm")</f>
        <v>2023-01</v>
      </c>
      <c r="H1841" s="1" t="s">
        <v>11</v>
      </c>
      <c r="I1841" s="1" t="s">
        <v>80</v>
      </c>
      <c r="J1841">
        <v>344</v>
      </c>
    </row>
    <row r="1842" spans="1:10" x14ac:dyDescent="0.25">
      <c r="A1842" s="1" t="s">
        <v>1767</v>
      </c>
      <c r="B1842" s="1" t="s">
        <v>14</v>
      </c>
      <c r="C1842" s="1" t="s">
        <v>20</v>
      </c>
      <c r="D1842">
        <v>300</v>
      </c>
      <c r="E1842">
        <v>0.5</v>
      </c>
      <c r="F1842" s="2">
        <v>43924</v>
      </c>
      <c r="G1842" s="2" t="str">
        <f>TEXT(LayoffsData[[#This Row],[date]],"yyyy-mm")</f>
        <v>2020-04</v>
      </c>
      <c r="H1842" s="1" t="s">
        <v>33</v>
      </c>
      <c r="I1842" s="1" t="s">
        <v>17</v>
      </c>
      <c r="J1842">
        <v>162</v>
      </c>
    </row>
    <row r="1843" spans="1:10" x14ac:dyDescent="0.25">
      <c r="A1843" s="1" t="s">
        <v>1768</v>
      </c>
      <c r="B1843" s="1" t="s">
        <v>79</v>
      </c>
      <c r="C1843" s="1" t="s">
        <v>68</v>
      </c>
      <c r="E1843">
        <v>0.1</v>
      </c>
      <c r="F1843" s="2">
        <v>44833</v>
      </c>
      <c r="G1843" s="2" t="str">
        <f>TEXT(LayoffsData[[#This Row],[date]],"yyyy-mm")</f>
        <v>2022-09</v>
      </c>
      <c r="H1843" s="1" t="s">
        <v>37</v>
      </c>
      <c r="I1843" s="1" t="s">
        <v>80</v>
      </c>
      <c r="J1843">
        <v>385</v>
      </c>
    </row>
    <row r="1844" spans="1:10" x14ac:dyDescent="0.25">
      <c r="A1844" s="1" t="s">
        <v>1769</v>
      </c>
      <c r="B1844" s="1" t="s">
        <v>168</v>
      </c>
      <c r="C1844" s="1" t="s">
        <v>53</v>
      </c>
      <c r="D1844">
        <v>120</v>
      </c>
      <c r="E1844">
        <v>1</v>
      </c>
      <c r="F1844" s="2">
        <v>44766</v>
      </c>
      <c r="G1844" s="2" t="str">
        <f>TEXT(LayoffsData[[#This Row],[date]],"yyyy-mm")</f>
        <v>2022-07</v>
      </c>
      <c r="H1844" s="1" t="s">
        <v>57</v>
      </c>
      <c r="I1844" s="1" t="s">
        <v>170</v>
      </c>
      <c r="J1844">
        <v>18</v>
      </c>
    </row>
    <row r="1845" spans="1:10" x14ac:dyDescent="0.25">
      <c r="A1845" s="1" t="s">
        <v>1770</v>
      </c>
      <c r="B1845" s="1" t="s">
        <v>14</v>
      </c>
      <c r="C1845" s="1" t="s">
        <v>84</v>
      </c>
      <c r="D1845">
        <v>100</v>
      </c>
      <c r="E1845">
        <v>0.14000000000000001</v>
      </c>
      <c r="F1845" s="2">
        <v>44986</v>
      </c>
      <c r="G1845" s="2" t="str">
        <f>TEXT(LayoffsData[[#This Row],[date]],"yyyy-mm")</f>
        <v>2023-03</v>
      </c>
      <c r="H1845" s="1" t="s">
        <v>11</v>
      </c>
      <c r="I1845" s="1" t="s">
        <v>17</v>
      </c>
      <c r="J1845">
        <v>839</v>
      </c>
    </row>
    <row r="1846" spans="1:10" x14ac:dyDescent="0.25">
      <c r="A1846" s="1" t="s">
        <v>1770</v>
      </c>
      <c r="B1846" s="1" t="s">
        <v>14</v>
      </c>
      <c r="C1846" s="1" t="s">
        <v>84</v>
      </c>
      <c r="D1846">
        <v>250</v>
      </c>
      <c r="E1846">
        <v>0.21</v>
      </c>
      <c r="F1846" s="2">
        <v>44720</v>
      </c>
      <c r="G1846" s="2" t="str">
        <f>TEXT(LayoffsData[[#This Row],[date]],"yyyy-mm")</f>
        <v>2022-06</v>
      </c>
      <c r="H1846" s="1" t="s">
        <v>11</v>
      </c>
      <c r="I1846" s="1" t="s">
        <v>17</v>
      </c>
      <c r="J1846">
        <v>839</v>
      </c>
    </row>
    <row r="1847" spans="1:10" x14ac:dyDescent="0.25">
      <c r="A1847" s="1" t="s">
        <v>1770</v>
      </c>
      <c r="B1847" s="1" t="s">
        <v>14</v>
      </c>
      <c r="C1847" s="1" t="s">
        <v>84</v>
      </c>
      <c r="D1847">
        <v>400</v>
      </c>
      <c r="E1847">
        <v>0.33</v>
      </c>
      <c r="F1847" s="2">
        <v>43914</v>
      </c>
      <c r="G1847" s="2" t="str">
        <f>TEXT(LayoffsData[[#This Row],[date]],"yyyy-mm")</f>
        <v>2020-03</v>
      </c>
      <c r="H1847" s="1" t="s">
        <v>33</v>
      </c>
      <c r="I1847" s="1" t="s">
        <v>17</v>
      </c>
      <c r="J1847">
        <v>359</v>
      </c>
    </row>
    <row r="1848" spans="1:10" x14ac:dyDescent="0.25">
      <c r="A1848" s="1" t="s">
        <v>1771</v>
      </c>
      <c r="B1848" s="1" t="s">
        <v>128</v>
      </c>
      <c r="C1848" s="1" t="s">
        <v>15</v>
      </c>
      <c r="E1848">
        <v>0.15</v>
      </c>
      <c r="F1848" s="2">
        <v>44911</v>
      </c>
      <c r="G1848" s="2" t="str">
        <f>TEXT(LayoffsData[[#This Row],[date]],"yyyy-mm")</f>
        <v>2022-12</v>
      </c>
      <c r="H1848" s="1" t="s">
        <v>28</v>
      </c>
      <c r="I1848" s="1" t="s">
        <v>17</v>
      </c>
      <c r="J1848">
        <v>183</v>
      </c>
    </row>
    <row r="1849" spans="1:10" x14ac:dyDescent="0.25">
      <c r="A1849" s="1" t="s">
        <v>1772</v>
      </c>
      <c r="B1849" s="1" t="s">
        <v>195</v>
      </c>
      <c r="C1849" s="1" t="s">
        <v>10</v>
      </c>
      <c r="D1849">
        <v>300</v>
      </c>
      <c r="F1849" s="2">
        <v>44984</v>
      </c>
      <c r="G1849" s="2" t="str">
        <f>TEXT(LayoffsData[[#This Row],[date]],"yyyy-mm")</f>
        <v>2023-02</v>
      </c>
      <c r="H1849" s="1" t="s">
        <v>11</v>
      </c>
      <c r="I1849" s="1" t="s">
        <v>80</v>
      </c>
      <c r="J1849">
        <v>126</v>
      </c>
    </row>
    <row r="1850" spans="1:10" x14ac:dyDescent="0.25">
      <c r="A1850" s="1" t="s">
        <v>1773</v>
      </c>
      <c r="B1850" s="1" t="s">
        <v>32</v>
      </c>
      <c r="C1850" s="1" t="s">
        <v>27</v>
      </c>
      <c r="D1850">
        <v>174</v>
      </c>
      <c r="E1850">
        <v>0.12</v>
      </c>
      <c r="F1850" s="2">
        <v>44006</v>
      </c>
      <c r="G1850" s="2" t="str">
        <f>TEXT(LayoffsData[[#This Row],[date]],"yyyy-mm")</f>
        <v>2020-06</v>
      </c>
      <c r="H1850" s="1" t="s">
        <v>11</v>
      </c>
      <c r="I1850" s="1" t="s">
        <v>17</v>
      </c>
      <c r="J1850">
        <v>455</v>
      </c>
    </row>
    <row r="1851" spans="1:10" x14ac:dyDescent="0.25">
      <c r="A1851" s="1" t="s">
        <v>1774</v>
      </c>
      <c r="B1851" s="1" t="s">
        <v>1775</v>
      </c>
      <c r="C1851" s="1" t="s">
        <v>172</v>
      </c>
      <c r="D1851">
        <v>450</v>
      </c>
      <c r="E1851">
        <v>0.1</v>
      </c>
      <c r="F1851" s="2">
        <v>44944</v>
      </c>
      <c r="G1851" s="2" t="str">
        <f>TEXT(LayoffsData[[#This Row],[date]],"yyyy-mm")</f>
        <v>2023-01</v>
      </c>
      <c r="H1851" s="1" t="s">
        <v>57</v>
      </c>
      <c r="I1851" s="1" t="s">
        <v>17</v>
      </c>
      <c r="J1851">
        <v>125</v>
      </c>
    </row>
    <row r="1852" spans="1:10" x14ac:dyDescent="0.25">
      <c r="A1852" s="1" t="s">
        <v>1776</v>
      </c>
      <c r="B1852" s="1" t="s">
        <v>120</v>
      </c>
      <c r="C1852" s="1" t="s">
        <v>29</v>
      </c>
      <c r="E1852">
        <v>1</v>
      </c>
      <c r="F1852" s="2">
        <v>44035</v>
      </c>
      <c r="G1852" s="2" t="str">
        <f>TEXT(LayoffsData[[#This Row],[date]],"yyyy-mm")</f>
        <v>2020-07</v>
      </c>
      <c r="H1852" s="1" t="s">
        <v>24</v>
      </c>
      <c r="I1852" s="1" t="s">
        <v>121</v>
      </c>
      <c r="J1852">
        <v>27</v>
      </c>
    </row>
    <row r="1853" spans="1:10" x14ac:dyDescent="0.25">
      <c r="A1853" s="1" t="s">
        <v>1777</v>
      </c>
      <c r="B1853" s="1" t="s">
        <v>79</v>
      </c>
      <c r="C1853" s="1" t="s">
        <v>27</v>
      </c>
      <c r="E1853">
        <v>0.2</v>
      </c>
      <c r="F1853" s="2">
        <v>44776</v>
      </c>
      <c r="G1853" s="2" t="str">
        <f>TEXT(LayoffsData[[#This Row],[date]],"yyyy-mm")</f>
        <v>2022-08</v>
      </c>
      <c r="H1853" s="1" t="s">
        <v>37</v>
      </c>
      <c r="I1853" s="1" t="s">
        <v>80</v>
      </c>
      <c r="J1853">
        <v>542</v>
      </c>
    </row>
    <row r="1854" spans="1:10" x14ac:dyDescent="0.25">
      <c r="A1854" s="1" t="s">
        <v>1778</v>
      </c>
      <c r="B1854" s="1" t="s">
        <v>14</v>
      </c>
      <c r="C1854" s="1" t="s">
        <v>149</v>
      </c>
      <c r="D1854">
        <v>45</v>
      </c>
      <c r="E1854">
        <v>0.1</v>
      </c>
      <c r="F1854" s="2">
        <v>44875</v>
      </c>
      <c r="G1854" s="2" t="str">
        <f>TEXT(LayoffsData[[#This Row],[date]],"yyyy-mm")</f>
        <v>2022-11</v>
      </c>
      <c r="H1854" s="1" t="s">
        <v>11</v>
      </c>
      <c r="I1854" s="1" t="s">
        <v>17</v>
      </c>
      <c r="J1854">
        <v>326</v>
      </c>
    </row>
    <row r="1855" spans="1:10" x14ac:dyDescent="0.25">
      <c r="A1855" s="1" t="s">
        <v>1778</v>
      </c>
      <c r="B1855" s="1" t="s">
        <v>14</v>
      </c>
      <c r="C1855" s="1" t="s">
        <v>149</v>
      </c>
      <c r="D1855">
        <v>200</v>
      </c>
      <c r="E1855">
        <v>0.5</v>
      </c>
      <c r="F1855" s="2">
        <v>44931</v>
      </c>
      <c r="G1855" s="2" t="str">
        <f>TEXT(LayoffsData[[#This Row],[date]],"yyyy-mm")</f>
        <v>2023-01</v>
      </c>
      <c r="H1855" s="1" t="s">
        <v>11</v>
      </c>
      <c r="I1855" s="1" t="s">
        <v>17</v>
      </c>
      <c r="J1855">
        <v>326</v>
      </c>
    </row>
    <row r="1856" spans="1:10" x14ac:dyDescent="0.25">
      <c r="A1856" s="1" t="s">
        <v>1779</v>
      </c>
      <c r="B1856" s="1" t="s">
        <v>14</v>
      </c>
      <c r="C1856" s="1" t="s">
        <v>113</v>
      </c>
      <c r="D1856">
        <v>24</v>
      </c>
      <c r="E1856">
        <v>0.08</v>
      </c>
      <c r="F1856" s="2">
        <v>44733</v>
      </c>
      <c r="G1856" s="2" t="str">
        <f>TEXT(LayoffsData[[#This Row],[date]],"yyyy-mm")</f>
        <v>2022-06</v>
      </c>
      <c r="H1856" s="1" t="s">
        <v>33</v>
      </c>
      <c r="I1856" s="1" t="s">
        <v>17</v>
      </c>
      <c r="J1856">
        <v>248</v>
      </c>
    </row>
    <row r="1857" spans="1:10" x14ac:dyDescent="0.25">
      <c r="A1857" s="1" t="s">
        <v>1780</v>
      </c>
      <c r="B1857" s="1" t="s">
        <v>26</v>
      </c>
      <c r="C1857" s="1" t="s">
        <v>63</v>
      </c>
      <c r="F1857" s="2">
        <v>44067</v>
      </c>
      <c r="G1857" s="2" t="str">
        <f>TEXT(LayoffsData[[#This Row],[date]],"yyyy-mm")</f>
        <v>2020-08</v>
      </c>
      <c r="H1857" s="1" t="s">
        <v>57</v>
      </c>
      <c r="I1857" s="1" t="s">
        <v>17</v>
      </c>
      <c r="J1857">
        <v>10</v>
      </c>
    </row>
    <row r="1858" spans="1:10" x14ac:dyDescent="0.25">
      <c r="A1858" s="1" t="s">
        <v>1781</v>
      </c>
      <c r="B1858" s="1" t="s">
        <v>44</v>
      </c>
      <c r="C1858" s="1" t="s">
        <v>68</v>
      </c>
      <c r="F1858" s="2">
        <v>44945</v>
      </c>
      <c r="G1858" s="2" t="str">
        <f>TEXT(LayoffsData[[#This Row],[date]],"yyyy-mm")</f>
        <v>2023-01</v>
      </c>
      <c r="H1858" s="1" t="s">
        <v>21</v>
      </c>
      <c r="I1858" s="1" t="s">
        <v>46</v>
      </c>
      <c r="J1858">
        <v>41</v>
      </c>
    </row>
    <row r="1859" spans="1:10" x14ac:dyDescent="0.25">
      <c r="A1859" s="1" t="s">
        <v>1782</v>
      </c>
      <c r="B1859" s="1" t="s">
        <v>14</v>
      </c>
      <c r="C1859" s="1" t="s">
        <v>10</v>
      </c>
      <c r="E1859">
        <v>0.25</v>
      </c>
      <c r="F1859" s="2">
        <v>44569</v>
      </c>
      <c r="G1859" s="2" t="str">
        <f>TEXT(LayoffsData[[#This Row],[date]],"yyyy-mm")</f>
        <v>2022-01</v>
      </c>
      <c r="H1859" s="1" t="s">
        <v>57</v>
      </c>
      <c r="I1859" s="1" t="s">
        <v>17</v>
      </c>
      <c r="J1859">
        <v>8</v>
      </c>
    </row>
    <row r="1860" spans="1:10" x14ac:dyDescent="0.25">
      <c r="A1860" s="1" t="s">
        <v>1782</v>
      </c>
      <c r="B1860" s="1" t="s">
        <v>14</v>
      </c>
      <c r="C1860" s="1" t="s">
        <v>10</v>
      </c>
      <c r="D1860">
        <v>78</v>
      </c>
      <c r="E1860">
        <v>0.1</v>
      </c>
      <c r="F1860" s="2">
        <v>44834</v>
      </c>
      <c r="G1860" s="2" t="str">
        <f>TEXT(LayoffsData[[#This Row],[date]],"yyyy-mm")</f>
        <v>2022-09</v>
      </c>
      <c r="H1860" s="1" t="s">
        <v>57</v>
      </c>
      <c r="I1860" s="1" t="s">
        <v>17</v>
      </c>
      <c r="J1860">
        <v>8</v>
      </c>
    </row>
    <row r="1861" spans="1:10" x14ac:dyDescent="0.25">
      <c r="A1861" s="1" t="s">
        <v>1783</v>
      </c>
      <c r="B1861" s="1" t="s">
        <v>32</v>
      </c>
      <c r="C1861" s="1" t="s">
        <v>63</v>
      </c>
      <c r="D1861">
        <v>23</v>
      </c>
      <c r="F1861" s="2">
        <v>44762</v>
      </c>
      <c r="G1861" s="2" t="str">
        <f>TEXT(LayoffsData[[#This Row],[date]],"yyyy-mm")</f>
        <v>2022-07</v>
      </c>
      <c r="H1861" s="1" t="s">
        <v>33</v>
      </c>
      <c r="I1861" s="1" t="s">
        <v>17</v>
      </c>
      <c r="J1861">
        <v>159</v>
      </c>
    </row>
    <row r="1862" spans="1:10" x14ac:dyDescent="0.25">
      <c r="A1862" s="1" t="s">
        <v>1784</v>
      </c>
      <c r="B1862" s="1" t="s">
        <v>14</v>
      </c>
      <c r="C1862" s="1" t="s">
        <v>74</v>
      </c>
      <c r="D1862">
        <v>70</v>
      </c>
      <c r="E1862">
        <v>0.01</v>
      </c>
      <c r="F1862" s="2">
        <v>43998</v>
      </c>
      <c r="G1862" s="2" t="str">
        <f>TEXT(LayoffsData[[#This Row],[date]],"yyyy-mm")</f>
        <v>2020-06</v>
      </c>
      <c r="H1862" s="1" t="s">
        <v>11</v>
      </c>
      <c r="I1862" s="1" t="s">
        <v>17</v>
      </c>
      <c r="J1862">
        <v>40</v>
      </c>
    </row>
    <row r="1863" spans="1:10" x14ac:dyDescent="0.25">
      <c r="A1863" s="1" t="s">
        <v>1784</v>
      </c>
      <c r="B1863" s="1" t="s">
        <v>14</v>
      </c>
      <c r="C1863" s="1" t="s">
        <v>74</v>
      </c>
      <c r="D1863">
        <v>325</v>
      </c>
      <c r="E1863">
        <v>0.04</v>
      </c>
      <c r="F1863" s="2">
        <v>44958</v>
      </c>
      <c r="G1863" s="2" t="str">
        <f>TEXT(LayoffsData[[#This Row],[date]],"yyyy-mm")</f>
        <v>2023-02</v>
      </c>
      <c r="H1863" s="1" t="s">
        <v>11</v>
      </c>
      <c r="I1863" s="1" t="s">
        <v>17</v>
      </c>
      <c r="J1863">
        <v>2400</v>
      </c>
    </row>
    <row r="1864" spans="1:10" x14ac:dyDescent="0.25">
      <c r="A1864" s="1" t="s">
        <v>1785</v>
      </c>
      <c r="B1864" s="1" t="s">
        <v>200</v>
      </c>
      <c r="C1864" s="1" t="s">
        <v>10</v>
      </c>
      <c r="D1864">
        <v>57</v>
      </c>
      <c r="F1864" s="2">
        <v>44883</v>
      </c>
      <c r="G1864" s="2" t="str">
        <f>TEXT(LayoffsData[[#This Row],[date]],"yyyy-mm")</f>
        <v>2022-11</v>
      </c>
      <c r="H1864" s="1" t="s">
        <v>24</v>
      </c>
      <c r="I1864" s="1" t="s">
        <v>201</v>
      </c>
      <c r="J1864">
        <v>34</v>
      </c>
    </row>
    <row r="1865" spans="1:10" x14ac:dyDescent="0.25">
      <c r="A1865" s="1" t="s">
        <v>1786</v>
      </c>
      <c r="B1865" s="1" t="s">
        <v>76</v>
      </c>
      <c r="C1865" s="1" t="s">
        <v>10</v>
      </c>
      <c r="F1865" s="2">
        <v>43914</v>
      </c>
      <c r="G1865" s="2" t="str">
        <f>TEXT(LayoffsData[[#This Row],[date]],"yyyy-mm")</f>
        <v>2020-03</v>
      </c>
      <c r="H1865" s="1" t="s">
        <v>33</v>
      </c>
      <c r="I1865" s="1" t="s">
        <v>17</v>
      </c>
      <c r="J1865">
        <v>117</v>
      </c>
    </row>
    <row r="1866" spans="1:10" x14ac:dyDescent="0.25">
      <c r="A1866" s="1" t="s">
        <v>1786</v>
      </c>
      <c r="B1866" s="1" t="s">
        <v>76</v>
      </c>
      <c r="C1866" s="1" t="s">
        <v>10</v>
      </c>
      <c r="D1866">
        <v>40</v>
      </c>
      <c r="E1866">
        <v>0.21</v>
      </c>
      <c r="F1866" s="2">
        <v>43985</v>
      </c>
      <c r="G1866" s="2" t="str">
        <f>TEXT(LayoffsData[[#This Row],[date]],"yyyy-mm")</f>
        <v>2020-06</v>
      </c>
      <c r="H1866" s="1" t="s">
        <v>33</v>
      </c>
      <c r="I1866" s="1" t="s">
        <v>17</v>
      </c>
      <c r="J1866">
        <v>117</v>
      </c>
    </row>
    <row r="1867" spans="1:10" x14ac:dyDescent="0.25">
      <c r="A1867" s="1" t="s">
        <v>1787</v>
      </c>
      <c r="B1867" s="1" t="s">
        <v>62</v>
      </c>
      <c r="C1867" s="1" t="s">
        <v>63</v>
      </c>
      <c r="F1867" s="2">
        <v>44840</v>
      </c>
      <c r="G1867" s="2" t="str">
        <f>TEXT(LayoffsData[[#This Row],[date]],"yyyy-mm")</f>
        <v>2022-10</v>
      </c>
      <c r="H1867" s="1" t="s">
        <v>11</v>
      </c>
      <c r="I1867" s="1" t="s">
        <v>64</v>
      </c>
      <c r="J1867">
        <v>2100</v>
      </c>
    </row>
    <row r="1868" spans="1:10" x14ac:dyDescent="0.25">
      <c r="A1868" s="1" t="s">
        <v>1787</v>
      </c>
      <c r="B1868" s="1" t="s">
        <v>62</v>
      </c>
      <c r="C1868" s="1" t="s">
        <v>63</v>
      </c>
      <c r="F1868" s="2">
        <v>44874</v>
      </c>
      <c r="G1868" s="2" t="str">
        <f>TEXT(LayoffsData[[#This Row],[date]],"yyyy-mm")</f>
        <v>2022-11</v>
      </c>
      <c r="H1868" s="1" t="s">
        <v>11</v>
      </c>
      <c r="I1868" s="1" t="s">
        <v>64</v>
      </c>
      <c r="J1868">
        <v>2100</v>
      </c>
    </row>
    <row r="1869" spans="1:10" x14ac:dyDescent="0.25">
      <c r="A1869" s="1" t="s">
        <v>1787</v>
      </c>
      <c r="B1869" s="1" t="s">
        <v>62</v>
      </c>
      <c r="C1869" s="1" t="s">
        <v>63</v>
      </c>
      <c r="D1869">
        <v>600</v>
      </c>
      <c r="E1869">
        <v>0.06</v>
      </c>
      <c r="F1869" s="2">
        <v>44949</v>
      </c>
      <c r="G1869" s="2" t="str">
        <f>TEXT(LayoffsData[[#This Row],[date]],"yyyy-mm")</f>
        <v>2023-01</v>
      </c>
      <c r="H1869" s="1" t="s">
        <v>11</v>
      </c>
      <c r="I1869" s="1" t="s">
        <v>64</v>
      </c>
      <c r="J1869">
        <v>2100</v>
      </c>
    </row>
    <row r="1870" spans="1:10" x14ac:dyDescent="0.25">
      <c r="A1870" s="1" t="s">
        <v>1788</v>
      </c>
      <c r="B1870" s="1" t="s">
        <v>137</v>
      </c>
      <c r="C1870" s="1" t="s">
        <v>29</v>
      </c>
      <c r="F1870" s="2">
        <v>44861</v>
      </c>
      <c r="G1870" s="2" t="str">
        <f>TEXT(LayoffsData[[#This Row],[date]],"yyyy-mm")</f>
        <v>2022-10</v>
      </c>
      <c r="H1870" s="1" t="s">
        <v>94</v>
      </c>
      <c r="I1870" s="1" t="s">
        <v>17</v>
      </c>
    </row>
    <row r="1871" spans="1:10" x14ac:dyDescent="0.25">
      <c r="A1871" s="1" t="s">
        <v>1789</v>
      </c>
      <c r="B1871" s="1" t="s">
        <v>14</v>
      </c>
      <c r="C1871" s="1" t="s">
        <v>29</v>
      </c>
      <c r="F1871" s="2">
        <v>44754</v>
      </c>
      <c r="G1871" s="2" t="str">
        <f>TEXT(LayoffsData[[#This Row],[date]],"yyyy-mm")</f>
        <v>2022-07</v>
      </c>
      <c r="H1871" s="1" t="s">
        <v>37</v>
      </c>
      <c r="I1871" s="1" t="s">
        <v>17</v>
      </c>
      <c r="J1871">
        <v>61</v>
      </c>
    </row>
    <row r="1872" spans="1:10" x14ac:dyDescent="0.25">
      <c r="A1872" s="1" t="s">
        <v>1790</v>
      </c>
      <c r="B1872" s="1" t="s">
        <v>182</v>
      </c>
      <c r="C1872" s="1" t="s">
        <v>48</v>
      </c>
      <c r="D1872">
        <v>37</v>
      </c>
      <c r="E1872">
        <v>0.23</v>
      </c>
      <c r="F1872" s="2">
        <v>44896</v>
      </c>
      <c r="G1872" s="2" t="str">
        <f>TEXT(LayoffsData[[#This Row],[date]],"yyyy-mm")</f>
        <v>2022-12</v>
      </c>
      <c r="H1872" s="1" t="s">
        <v>11</v>
      </c>
      <c r="I1872" s="1" t="s">
        <v>17</v>
      </c>
      <c r="J1872">
        <v>32</v>
      </c>
    </row>
    <row r="1873" spans="1:10" x14ac:dyDescent="0.25">
      <c r="A1873" s="1" t="s">
        <v>1791</v>
      </c>
      <c r="B1873" s="1" t="s">
        <v>1792</v>
      </c>
      <c r="C1873" s="1" t="s">
        <v>51</v>
      </c>
      <c r="E1873">
        <v>0.35</v>
      </c>
      <c r="F1873" s="2">
        <v>44862</v>
      </c>
      <c r="G1873" s="2" t="str">
        <f>TEXT(LayoffsData[[#This Row],[date]],"yyyy-mm")</f>
        <v>2022-10</v>
      </c>
      <c r="H1873" s="1" t="s">
        <v>28</v>
      </c>
      <c r="I1873" s="1" t="s">
        <v>80</v>
      </c>
      <c r="J1873">
        <v>11</v>
      </c>
    </row>
    <row r="1874" spans="1:10" x14ac:dyDescent="0.25">
      <c r="A1874" s="1" t="s">
        <v>1793</v>
      </c>
      <c r="B1874" s="1" t="s">
        <v>32</v>
      </c>
      <c r="C1874" s="1" t="s">
        <v>53</v>
      </c>
      <c r="F1874" s="2">
        <v>44007</v>
      </c>
      <c r="G1874" s="2" t="str">
        <f>TEXT(LayoffsData[[#This Row],[date]],"yyyy-mm")</f>
        <v>2020-06</v>
      </c>
      <c r="H1874" s="1" t="s">
        <v>86</v>
      </c>
      <c r="I1874" s="1" t="s">
        <v>17</v>
      </c>
      <c r="J1874">
        <v>228</v>
      </c>
    </row>
    <row r="1875" spans="1:10" x14ac:dyDescent="0.25">
      <c r="A1875" s="1" t="s">
        <v>1793</v>
      </c>
      <c r="B1875" s="1" t="s">
        <v>32</v>
      </c>
      <c r="C1875" s="1" t="s">
        <v>53</v>
      </c>
      <c r="D1875">
        <v>50</v>
      </c>
      <c r="F1875" s="2">
        <v>44734</v>
      </c>
      <c r="G1875" s="2" t="str">
        <f>TEXT(LayoffsData[[#This Row],[date]],"yyyy-mm")</f>
        <v>2022-06</v>
      </c>
      <c r="H1875" s="1" t="s">
        <v>11</v>
      </c>
      <c r="I1875" s="1" t="s">
        <v>17</v>
      </c>
      <c r="J1875">
        <v>429</v>
      </c>
    </row>
    <row r="1876" spans="1:10" x14ac:dyDescent="0.25">
      <c r="A1876" s="1" t="s">
        <v>1793</v>
      </c>
      <c r="B1876" s="1" t="s">
        <v>32</v>
      </c>
      <c r="C1876" s="1" t="s">
        <v>53</v>
      </c>
      <c r="D1876">
        <v>100</v>
      </c>
      <c r="E1876">
        <v>0.04</v>
      </c>
      <c r="F1876" s="2">
        <v>44972</v>
      </c>
      <c r="G1876" s="2" t="str">
        <f>TEXT(LayoffsData[[#This Row],[date]],"yyyy-mm")</f>
        <v>2023-02</v>
      </c>
      <c r="H1876" s="1" t="s">
        <v>11</v>
      </c>
      <c r="I1876" s="1" t="s">
        <v>17</v>
      </c>
      <c r="J1876">
        <v>429</v>
      </c>
    </row>
    <row r="1877" spans="1:10" x14ac:dyDescent="0.25">
      <c r="A1877" s="1" t="s">
        <v>1794</v>
      </c>
      <c r="B1877" s="1" t="s">
        <v>73</v>
      </c>
      <c r="C1877" s="1" t="s">
        <v>51</v>
      </c>
      <c r="D1877">
        <v>4</v>
      </c>
      <c r="E1877">
        <v>0.12</v>
      </c>
      <c r="F1877" s="2">
        <v>43929</v>
      </c>
      <c r="G1877" s="2" t="str">
        <f>TEXT(LayoffsData[[#This Row],[date]],"yyyy-mm")</f>
        <v>2020-04</v>
      </c>
      <c r="H1877" s="1" t="s">
        <v>21</v>
      </c>
      <c r="I1877" s="1" t="s">
        <v>17</v>
      </c>
      <c r="J1877">
        <v>26</v>
      </c>
    </row>
    <row r="1878" spans="1:10" x14ac:dyDescent="0.25">
      <c r="A1878" s="1" t="s">
        <v>1795</v>
      </c>
      <c r="B1878" s="1" t="s">
        <v>32</v>
      </c>
      <c r="C1878" s="1" t="s">
        <v>74</v>
      </c>
      <c r="D1878">
        <v>30</v>
      </c>
      <c r="E1878">
        <v>0.18</v>
      </c>
      <c r="F1878" s="2">
        <v>44748</v>
      </c>
      <c r="G1878" s="2" t="str">
        <f>TEXT(LayoffsData[[#This Row],[date]],"yyyy-mm")</f>
        <v>2022-07</v>
      </c>
      <c r="H1878" s="1" t="s">
        <v>24</v>
      </c>
      <c r="I1878" s="1" t="s">
        <v>17</v>
      </c>
      <c r="J1878">
        <v>77</v>
      </c>
    </row>
    <row r="1879" spans="1:10" x14ac:dyDescent="0.25">
      <c r="A1879" s="1" t="s">
        <v>1796</v>
      </c>
      <c r="B1879" s="1" t="s">
        <v>241</v>
      </c>
      <c r="C1879" s="1" t="s">
        <v>174</v>
      </c>
      <c r="F1879" s="2">
        <v>43937</v>
      </c>
      <c r="G1879" s="2" t="str">
        <f>TEXT(LayoffsData[[#This Row],[date]],"yyyy-mm")</f>
        <v>2020-04</v>
      </c>
      <c r="H1879" s="1" t="s">
        <v>21</v>
      </c>
      <c r="I1879" s="1" t="s">
        <v>17</v>
      </c>
      <c r="J1879">
        <v>2</v>
      </c>
    </row>
    <row r="1880" spans="1:10" x14ac:dyDescent="0.25">
      <c r="A1880" s="1" t="s">
        <v>1797</v>
      </c>
      <c r="B1880" s="1" t="s">
        <v>73</v>
      </c>
      <c r="C1880" s="1" t="s">
        <v>15</v>
      </c>
      <c r="E1880">
        <v>0.6</v>
      </c>
      <c r="F1880" s="2">
        <v>44896</v>
      </c>
      <c r="G1880" s="2" t="str">
        <f>TEXT(LayoffsData[[#This Row],[date]],"yyyy-mm")</f>
        <v>2022-12</v>
      </c>
      <c r="H1880" s="1" t="s">
        <v>11</v>
      </c>
      <c r="I1880" s="1" t="s">
        <v>17</v>
      </c>
      <c r="J1880">
        <v>229</v>
      </c>
    </row>
    <row r="1881" spans="1:10" x14ac:dyDescent="0.25">
      <c r="A1881" s="1" t="s">
        <v>1798</v>
      </c>
      <c r="B1881" s="1" t="s">
        <v>134</v>
      </c>
      <c r="C1881" s="1" t="s">
        <v>29</v>
      </c>
      <c r="D1881">
        <v>138</v>
      </c>
      <c r="E1881">
        <v>7.0000000000000007E-2</v>
      </c>
      <c r="F1881" s="2">
        <v>44953</v>
      </c>
      <c r="G1881" s="2" t="str">
        <f>TEXT(LayoffsData[[#This Row],[date]],"yyyy-mm")</f>
        <v>2023-01</v>
      </c>
      <c r="H1881" s="1" t="s">
        <v>21</v>
      </c>
      <c r="I1881" s="1" t="s">
        <v>12</v>
      </c>
    </row>
    <row r="1882" spans="1:10" x14ac:dyDescent="0.25">
      <c r="A1882" s="1" t="s">
        <v>1799</v>
      </c>
      <c r="B1882" s="1" t="s">
        <v>32</v>
      </c>
      <c r="C1882" s="1" t="s">
        <v>165</v>
      </c>
      <c r="D1882">
        <v>40</v>
      </c>
      <c r="E1882">
        <v>0.15</v>
      </c>
      <c r="F1882" s="2">
        <v>43956</v>
      </c>
      <c r="G1882" s="2" t="str">
        <f>TEXT(LayoffsData[[#This Row],[date]],"yyyy-mm")</f>
        <v>2020-05</v>
      </c>
      <c r="H1882" s="1" t="s">
        <v>33</v>
      </c>
      <c r="I1882" s="1" t="s">
        <v>17</v>
      </c>
      <c r="J1882">
        <v>68</v>
      </c>
    </row>
    <row r="1883" spans="1:10" x14ac:dyDescent="0.25">
      <c r="A1883" s="1" t="s">
        <v>1800</v>
      </c>
      <c r="B1883" s="1" t="s">
        <v>73</v>
      </c>
      <c r="C1883" s="1" t="s">
        <v>149</v>
      </c>
      <c r="E1883">
        <v>0.5</v>
      </c>
      <c r="F1883" s="2">
        <v>44854</v>
      </c>
      <c r="G1883" s="2" t="str">
        <f>TEXT(LayoffsData[[#This Row],[date]],"yyyy-mm")</f>
        <v>2022-10</v>
      </c>
      <c r="H1883" s="1" t="s">
        <v>11</v>
      </c>
      <c r="I1883" s="1" t="s">
        <v>17</v>
      </c>
      <c r="J1883">
        <v>260</v>
      </c>
    </row>
    <row r="1884" spans="1:10" x14ac:dyDescent="0.25">
      <c r="A1884" s="1" t="s">
        <v>1800</v>
      </c>
      <c r="B1884" s="1" t="s">
        <v>73</v>
      </c>
      <c r="C1884" s="1" t="s">
        <v>149</v>
      </c>
      <c r="D1884">
        <v>100</v>
      </c>
      <c r="E1884">
        <v>0.24</v>
      </c>
      <c r="F1884" s="2">
        <v>44944</v>
      </c>
      <c r="G1884" s="2" t="str">
        <f>TEXT(LayoffsData[[#This Row],[date]],"yyyy-mm")</f>
        <v>2023-01</v>
      </c>
      <c r="H1884" s="1" t="s">
        <v>11</v>
      </c>
      <c r="I1884" s="1" t="s">
        <v>17</v>
      </c>
      <c r="J1884">
        <v>260</v>
      </c>
    </row>
    <row r="1885" spans="1:10" x14ac:dyDescent="0.25">
      <c r="A1885" s="1" t="s">
        <v>1801</v>
      </c>
      <c r="B1885" s="1" t="s">
        <v>14</v>
      </c>
      <c r="C1885" s="1" t="s">
        <v>10</v>
      </c>
      <c r="E1885">
        <v>0.11</v>
      </c>
      <c r="F1885" s="2">
        <v>44721</v>
      </c>
      <c r="G1885" s="2" t="str">
        <f>TEXT(LayoffsData[[#This Row],[date]],"yyyy-mm")</f>
        <v>2022-06</v>
      </c>
      <c r="H1885" s="1" t="s">
        <v>24</v>
      </c>
      <c r="I1885" s="1" t="s">
        <v>17</v>
      </c>
      <c r="J1885">
        <v>197</v>
      </c>
    </row>
    <row r="1886" spans="1:10" x14ac:dyDescent="0.25">
      <c r="A1886" s="1" t="s">
        <v>1802</v>
      </c>
      <c r="B1886" s="1" t="s">
        <v>1497</v>
      </c>
      <c r="C1886" s="1" t="s">
        <v>10</v>
      </c>
      <c r="D1886">
        <v>30</v>
      </c>
      <c r="F1886" s="2">
        <v>43920</v>
      </c>
      <c r="G1886" s="2" t="str">
        <f>TEXT(LayoffsData[[#This Row],[date]],"yyyy-mm")</f>
        <v>2020-03</v>
      </c>
      <c r="H1886" s="1" t="s">
        <v>21</v>
      </c>
      <c r="I1886" s="1" t="s">
        <v>1498</v>
      </c>
      <c r="J1886">
        <v>82</v>
      </c>
    </row>
    <row r="1887" spans="1:10" x14ac:dyDescent="0.25">
      <c r="A1887" s="1" t="s">
        <v>1803</v>
      </c>
      <c r="B1887" s="1" t="s">
        <v>32</v>
      </c>
      <c r="C1887" s="1" t="s">
        <v>68</v>
      </c>
      <c r="D1887">
        <v>32</v>
      </c>
      <c r="E1887">
        <v>0.08</v>
      </c>
      <c r="F1887" s="2">
        <v>44901</v>
      </c>
      <c r="G1887" s="2" t="str">
        <f>TEXT(LayoffsData[[#This Row],[date]],"yyyy-mm")</f>
        <v>2022-12</v>
      </c>
      <c r="H1887" s="1" t="s">
        <v>37</v>
      </c>
      <c r="I1887" s="1" t="s">
        <v>17</v>
      </c>
      <c r="J1887">
        <v>480</v>
      </c>
    </row>
    <row r="1888" spans="1:10" x14ac:dyDescent="0.25">
      <c r="A1888" s="1" t="s">
        <v>1804</v>
      </c>
      <c r="B1888" s="1" t="s">
        <v>32</v>
      </c>
      <c r="C1888" s="1" t="s">
        <v>68</v>
      </c>
      <c r="D1888">
        <v>40</v>
      </c>
      <c r="E1888">
        <v>0.08</v>
      </c>
      <c r="F1888" s="2">
        <v>44742</v>
      </c>
      <c r="G1888" s="2" t="str">
        <f>TEXT(LayoffsData[[#This Row],[date]],"yyyy-mm")</f>
        <v>2022-06</v>
      </c>
      <c r="H1888" s="1" t="s">
        <v>37</v>
      </c>
      <c r="I1888" s="1" t="s">
        <v>17</v>
      </c>
      <c r="J1888">
        <v>480</v>
      </c>
    </row>
    <row r="1889" spans="1:10" x14ac:dyDescent="0.25">
      <c r="A1889" s="1" t="s">
        <v>1805</v>
      </c>
      <c r="B1889" s="1" t="s">
        <v>101</v>
      </c>
      <c r="C1889" s="1" t="s">
        <v>68</v>
      </c>
      <c r="D1889">
        <v>31</v>
      </c>
      <c r="E1889">
        <v>0.14000000000000001</v>
      </c>
      <c r="F1889" s="2">
        <v>44721</v>
      </c>
      <c r="G1889" s="2" t="str">
        <f>TEXT(LayoffsData[[#This Row],[date]],"yyyy-mm")</f>
        <v>2022-06</v>
      </c>
      <c r="H1889" s="1" t="s">
        <v>33</v>
      </c>
      <c r="I1889" s="1" t="s">
        <v>101</v>
      </c>
      <c r="J1889">
        <v>61</v>
      </c>
    </row>
    <row r="1890" spans="1:10" x14ac:dyDescent="0.25">
      <c r="A1890" s="1" t="s">
        <v>1806</v>
      </c>
      <c r="B1890" s="1" t="s">
        <v>1807</v>
      </c>
      <c r="C1890" s="1" t="s">
        <v>68</v>
      </c>
      <c r="D1890">
        <v>24</v>
      </c>
      <c r="F1890" s="2">
        <v>44981</v>
      </c>
      <c r="G1890" s="2" t="str">
        <f>TEXT(LayoffsData[[#This Row],[date]],"yyyy-mm")</f>
        <v>2023-02</v>
      </c>
      <c r="H1890" s="1" t="s">
        <v>33</v>
      </c>
      <c r="I1890" s="1" t="s">
        <v>17</v>
      </c>
      <c r="J1890">
        <v>263</v>
      </c>
    </row>
    <row r="1891" spans="1:10" x14ac:dyDescent="0.25">
      <c r="A1891" s="1" t="s">
        <v>1808</v>
      </c>
      <c r="B1891" s="1" t="s">
        <v>1500</v>
      </c>
      <c r="C1891" s="1" t="s">
        <v>84</v>
      </c>
      <c r="D1891">
        <v>221</v>
      </c>
      <c r="E1891">
        <v>1</v>
      </c>
      <c r="F1891" s="2">
        <v>43971</v>
      </c>
      <c r="G1891" s="2" t="str">
        <f>TEXT(LayoffsData[[#This Row],[date]],"yyyy-mm")</f>
        <v>2020-05</v>
      </c>
      <c r="H1891" s="1" t="s">
        <v>24</v>
      </c>
      <c r="I1891" s="1" t="s">
        <v>17</v>
      </c>
      <c r="J1891">
        <v>62</v>
      </c>
    </row>
    <row r="1892" spans="1:10" x14ac:dyDescent="0.25">
      <c r="A1892" s="1" t="s">
        <v>1809</v>
      </c>
      <c r="B1892" s="1" t="s">
        <v>232</v>
      </c>
      <c r="C1892" s="1" t="s">
        <v>113</v>
      </c>
      <c r="D1892">
        <v>23</v>
      </c>
      <c r="E1892">
        <v>0.3</v>
      </c>
      <c r="F1892" s="2">
        <v>44775</v>
      </c>
      <c r="G1892" s="2" t="str">
        <f>TEXT(LayoffsData[[#This Row],[date]],"yyyy-mm")</f>
        <v>2022-08</v>
      </c>
      <c r="H1892" s="1" t="s">
        <v>24</v>
      </c>
      <c r="I1892" s="1" t="s">
        <v>17</v>
      </c>
      <c r="J1892">
        <v>75</v>
      </c>
    </row>
    <row r="1893" spans="1:10" x14ac:dyDescent="0.25">
      <c r="A1893" s="1" t="s">
        <v>1810</v>
      </c>
      <c r="B1893" s="1" t="s">
        <v>200</v>
      </c>
      <c r="C1893" s="1" t="s">
        <v>147</v>
      </c>
      <c r="D1893">
        <v>28</v>
      </c>
      <c r="E1893">
        <v>0.2</v>
      </c>
      <c r="F1893" s="2">
        <v>44761</v>
      </c>
      <c r="G1893" s="2" t="str">
        <f>TEXT(LayoffsData[[#This Row],[date]],"yyyy-mm")</f>
        <v>2022-07</v>
      </c>
      <c r="H1893" s="1" t="s">
        <v>37</v>
      </c>
      <c r="I1893" s="1" t="s">
        <v>201</v>
      </c>
    </row>
    <row r="1894" spans="1:10" x14ac:dyDescent="0.25">
      <c r="A1894" s="1" t="s">
        <v>1811</v>
      </c>
      <c r="B1894" s="1" t="s">
        <v>14</v>
      </c>
      <c r="C1894" s="1" t="s">
        <v>29</v>
      </c>
      <c r="E1894">
        <v>0.2</v>
      </c>
      <c r="F1894" s="2">
        <v>44931</v>
      </c>
      <c r="G1894" s="2" t="str">
        <f>TEXT(LayoffsData[[#This Row],[date]],"yyyy-mm")</f>
        <v>2023-01</v>
      </c>
      <c r="H1894" s="1" t="s">
        <v>11</v>
      </c>
      <c r="I1894" s="1" t="s">
        <v>17</v>
      </c>
      <c r="J1894">
        <v>79</v>
      </c>
    </row>
    <row r="1895" spans="1:10" x14ac:dyDescent="0.25">
      <c r="A1895" s="1" t="s">
        <v>1811</v>
      </c>
      <c r="B1895" s="1" t="s">
        <v>14</v>
      </c>
      <c r="C1895" s="1" t="s">
        <v>29</v>
      </c>
      <c r="D1895">
        <v>330</v>
      </c>
      <c r="E1895">
        <v>0.15</v>
      </c>
      <c r="F1895" s="2">
        <v>44721</v>
      </c>
      <c r="G1895" s="2" t="str">
        <f>TEXT(LayoffsData[[#This Row],[date]],"yyyy-mm")</f>
        <v>2022-06</v>
      </c>
      <c r="H1895" s="1" t="s">
        <v>11</v>
      </c>
      <c r="I1895" s="1" t="s">
        <v>17</v>
      </c>
      <c r="J1895">
        <v>79</v>
      </c>
    </row>
    <row r="1896" spans="1:10" x14ac:dyDescent="0.25">
      <c r="A1896" s="1" t="s">
        <v>1811</v>
      </c>
      <c r="B1896" s="1" t="s">
        <v>14</v>
      </c>
      <c r="C1896" s="1" t="s">
        <v>29</v>
      </c>
      <c r="D1896">
        <v>1400</v>
      </c>
      <c r="E1896">
        <v>0.18</v>
      </c>
      <c r="F1896" s="2">
        <v>43983</v>
      </c>
      <c r="G1896" s="2" t="str">
        <f>TEXT(LayoffsData[[#This Row],[date]],"yyyy-mm")</f>
        <v>2020-06</v>
      </c>
      <c r="H1896" s="1" t="s">
        <v>11</v>
      </c>
      <c r="I1896" s="1" t="s">
        <v>17</v>
      </c>
      <c r="J1896">
        <v>79</v>
      </c>
    </row>
    <row r="1897" spans="1:10" x14ac:dyDescent="0.25">
      <c r="A1897" s="1" t="s">
        <v>1812</v>
      </c>
      <c r="B1897" s="1" t="s">
        <v>14</v>
      </c>
      <c r="C1897" s="1" t="s">
        <v>29</v>
      </c>
      <c r="E1897">
        <v>1</v>
      </c>
      <c r="F1897" s="2">
        <v>43997</v>
      </c>
      <c r="G1897" s="2" t="str">
        <f>TEXT(LayoffsData[[#This Row],[date]],"yyyy-mm")</f>
        <v>2020-06</v>
      </c>
      <c r="H1897" s="1" t="s">
        <v>24</v>
      </c>
      <c r="I1897" s="1" t="s">
        <v>17</v>
      </c>
      <c r="J1897">
        <v>10</v>
      </c>
    </row>
    <row r="1898" spans="1:10" x14ac:dyDescent="0.25">
      <c r="A1898" s="1" t="s">
        <v>1813</v>
      </c>
      <c r="B1898" s="1" t="s">
        <v>226</v>
      </c>
      <c r="C1898" s="1" t="s">
        <v>29</v>
      </c>
      <c r="D1898">
        <v>80</v>
      </c>
      <c r="F1898" s="2">
        <v>44740</v>
      </c>
      <c r="G1898" s="2" t="str">
        <f>TEXT(LayoffsData[[#This Row],[date]],"yyyy-mm")</f>
        <v>2022-06</v>
      </c>
      <c r="H1898" s="1" t="s">
        <v>16</v>
      </c>
      <c r="I1898" s="1" t="s">
        <v>17</v>
      </c>
      <c r="J1898">
        <v>690</v>
      </c>
    </row>
    <row r="1899" spans="1:10" x14ac:dyDescent="0.25">
      <c r="A1899" s="1" t="s">
        <v>1813</v>
      </c>
      <c r="B1899" s="1" t="s">
        <v>226</v>
      </c>
      <c r="C1899" s="1" t="s">
        <v>29</v>
      </c>
      <c r="D1899">
        <v>100</v>
      </c>
      <c r="E1899">
        <v>0.12</v>
      </c>
      <c r="F1899" s="2">
        <v>43944</v>
      </c>
      <c r="G1899" s="2" t="str">
        <f>TEXT(LayoffsData[[#This Row],[date]],"yyyy-mm")</f>
        <v>2020-04</v>
      </c>
      <c r="H1899" s="1" t="s">
        <v>28</v>
      </c>
      <c r="I1899" s="1" t="s">
        <v>17</v>
      </c>
      <c r="J1899">
        <v>160</v>
      </c>
    </row>
    <row r="1900" spans="1:10" x14ac:dyDescent="0.25">
      <c r="A1900" s="1" t="s">
        <v>1813</v>
      </c>
      <c r="B1900" s="1" t="s">
        <v>226</v>
      </c>
      <c r="C1900" s="1" t="s">
        <v>29</v>
      </c>
      <c r="D1900">
        <v>120</v>
      </c>
      <c r="E1900">
        <v>0.08</v>
      </c>
      <c r="F1900" s="2">
        <v>44740</v>
      </c>
      <c r="G1900" s="2" t="str">
        <f>TEXT(LayoffsData[[#This Row],[date]],"yyyy-mm")</f>
        <v>2022-06</v>
      </c>
      <c r="H1900" s="1" t="s">
        <v>16</v>
      </c>
      <c r="I1900" s="1" t="s">
        <v>17</v>
      </c>
      <c r="J1900">
        <v>690</v>
      </c>
    </row>
    <row r="1901" spans="1:10" x14ac:dyDescent="0.25">
      <c r="A1901" s="1" t="s">
        <v>1814</v>
      </c>
      <c r="B1901" s="1" t="s">
        <v>35</v>
      </c>
      <c r="C1901" s="1" t="s">
        <v>68</v>
      </c>
      <c r="D1901">
        <v>1300</v>
      </c>
      <c r="E1901">
        <v>0.2</v>
      </c>
      <c r="F1901" s="2">
        <v>43963</v>
      </c>
      <c r="G1901" s="2" t="str">
        <f>TEXT(LayoffsData[[#This Row],[date]],"yyyy-mm")</f>
        <v>2020-05</v>
      </c>
      <c r="H1901" s="1" t="s">
        <v>11</v>
      </c>
      <c r="I1901" s="1" t="s">
        <v>38</v>
      </c>
    </row>
    <row r="1902" spans="1:10" x14ac:dyDescent="0.25">
      <c r="A1902" s="1" t="s">
        <v>1815</v>
      </c>
      <c r="B1902" s="1" t="s">
        <v>120</v>
      </c>
      <c r="C1902" s="1" t="s">
        <v>51</v>
      </c>
      <c r="D1902">
        <v>250</v>
      </c>
      <c r="E1902">
        <v>1</v>
      </c>
      <c r="F1902" s="2">
        <v>43946</v>
      </c>
      <c r="G1902" s="2" t="str">
        <f>TEXT(LayoffsData[[#This Row],[date]],"yyyy-mm")</f>
        <v>2020-04</v>
      </c>
      <c r="H1902" s="1" t="s">
        <v>21</v>
      </c>
      <c r="I1902" s="1" t="s">
        <v>121</v>
      </c>
    </row>
    <row r="1903" spans="1:10" x14ac:dyDescent="0.25">
      <c r="A1903" s="1" t="s">
        <v>1816</v>
      </c>
      <c r="B1903" s="1" t="s">
        <v>213</v>
      </c>
      <c r="C1903" s="1" t="s">
        <v>108</v>
      </c>
      <c r="D1903">
        <v>59</v>
      </c>
      <c r="E1903">
        <v>0.08</v>
      </c>
      <c r="F1903" s="2">
        <v>44714</v>
      </c>
      <c r="G1903" s="2" t="str">
        <f>TEXT(LayoffsData[[#This Row],[date]],"yyyy-mm")</f>
        <v>2022-06</v>
      </c>
      <c r="H1903" s="1" t="s">
        <v>33</v>
      </c>
      <c r="I1903" s="1" t="s">
        <v>17</v>
      </c>
      <c r="J1903">
        <v>325</v>
      </c>
    </row>
    <row r="1904" spans="1:10" x14ac:dyDescent="0.25">
      <c r="A1904" s="1" t="s">
        <v>1817</v>
      </c>
      <c r="B1904" s="1" t="s">
        <v>40</v>
      </c>
      <c r="C1904" s="1" t="s">
        <v>63</v>
      </c>
      <c r="E1904">
        <v>0.25</v>
      </c>
      <c r="F1904" s="2">
        <v>44883</v>
      </c>
      <c r="G1904" s="2" t="str">
        <f>TEXT(LayoffsData[[#This Row],[date]],"yyyy-mm")</f>
        <v>2022-11</v>
      </c>
      <c r="H1904" s="1" t="s">
        <v>57</v>
      </c>
      <c r="I1904" s="1" t="s">
        <v>17</v>
      </c>
      <c r="J1904">
        <v>18</v>
      </c>
    </row>
    <row r="1905" spans="1:10" x14ac:dyDescent="0.25">
      <c r="A1905" s="1" t="s">
        <v>1818</v>
      </c>
      <c r="B1905" s="1" t="s">
        <v>62</v>
      </c>
      <c r="C1905" s="1" t="s">
        <v>63</v>
      </c>
      <c r="D1905">
        <v>100</v>
      </c>
      <c r="E1905">
        <v>0.1</v>
      </c>
      <c r="F1905" s="2">
        <v>44637</v>
      </c>
      <c r="G1905" s="2" t="str">
        <f>TEXT(LayoffsData[[#This Row],[date]],"yyyy-mm")</f>
        <v>2022-03</v>
      </c>
      <c r="H1905" s="1" t="s">
        <v>11</v>
      </c>
      <c r="I1905" s="1" t="s">
        <v>64</v>
      </c>
      <c r="J1905">
        <v>275</v>
      </c>
    </row>
    <row r="1906" spans="1:10" x14ac:dyDescent="0.25">
      <c r="A1906" s="1" t="s">
        <v>1819</v>
      </c>
      <c r="B1906" s="1" t="s">
        <v>14</v>
      </c>
      <c r="C1906" s="1" t="s">
        <v>506</v>
      </c>
      <c r="E1906">
        <v>0.14000000000000001</v>
      </c>
      <c r="F1906" s="2">
        <v>44896</v>
      </c>
      <c r="G1906" s="2" t="str">
        <f>TEXT(LayoffsData[[#This Row],[date]],"yyyy-mm")</f>
        <v>2022-12</v>
      </c>
      <c r="H1906" s="1" t="s">
        <v>86</v>
      </c>
      <c r="I1906" s="1" t="s">
        <v>17</v>
      </c>
      <c r="J1906">
        <v>151</v>
      </c>
    </row>
    <row r="1907" spans="1:10" x14ac:dyDescent="0.25">
      <c r="A1907" s="1" t="s">
        <v>1820</v>
      </c>
      <c r="B1907" s="1" t="s">
        <v>232</v>
      </c>
      <c r="C1907" s="1" t="s">
        <v>113</v>
      </c>
      <c r="D1907">
        <v>20</v>
      </c>
      <c r="E1907">
        <v>0.12</v>
      </c>
      <c r="F1907" s="2">
        <v>44742</v>
      </c>
      <c r="G1907" s="2" t="str">
        <f>TEXT(LayoffsData[[#This Row],[date]],"yyyy-mm")</f>
        <v>2022-06</v>
      </c>
      <c r="H1907" s="1" t="s">
        <v>24</v>
      </c>
      <c r="I1907" s="1" t="s">
        <v>17</v>
      </c>
      <c r="J1907">
        <v>58</v>
      </c>
    </row>
    <row r="1908" spans="1:10" x14ac:dyDescent="0.25">
      <c r="A1908" s="1" t="s">
        <v>1821</v>
      </c>
      <c r="B1908" s="1" t="s">
        <v>168</v>
      </c>
      <c r="C1908" s="1" t="s">
        <v>63</v>
      </c>
      <c r="E1908">
        <v>0.2</v>
      </c>
      <c r="F1908" s="2">
        <v>44735</v>
      </c>
      <c r="G1908" s="2" t="str">
        <f>TEXT(LayoffsData[[#This Row],[date]],"yyyy-mm")</f>
        <v>2022-06</v>
      </c>
      <c r="H1908" s="1" t="s">
        <v>24</v>
      </c>
      <c r="I1908" s="1" t="s">
        <v>170</v>
      </c>
      <c r="J1908">
        <v>111</v>
      </c>
    </row>
    <row r="1909" spans="1:10" x14ac:dyDescent="0.25">
      <c r="A1909" s="1" t="s">
        <v>1821</v>
      </c>
      <c r="B1909" s="1" t="s">
        <v>168</v>
      </c>
      <c r="C1909" s="1" t="s">
        <v>63</v>
      </c>
      <c r="D1909">
        <v>40</v>
      </c>
      <c r="E1909">
        <v>0.2</v>
      </c>
      <c r="F1909" s="2">
        <v>44936</v>
      </c>
      <c r="G1909" s="2" t="str">
        <f>TEXT(LayoffsData[[#This Row],[date]],"yyyy-mm")</f>
        <v>2023-01</v>
      </c>
      <c r="H1909" s="1" t="s">
        <v>24</v>
      </c>
      <c r="I1909" s="1" t="s">
        <v>170</v>
      </c>
      <c r="J1909">
        <v>111</v>
      </c>
    </row>
    <row r="1910" spans="1:10" x14ac:dyDescent="0.25">
      <c r="A1910" s="1" t="s">
        <v>1822</v>
      </c>
      <c r="B1910" s="1" t="s">
        <v>14</v>
      </c>
      <c r="C1910" s="1" t="s">
        <v>74</v>
      </c>
      <c r="F1910" s="2">
        <v>44063</v>
      </c>
      <c r="G1910" s="2" t="str">
        <f>TEXT(LayoffsData[[#This Row],[date]],"yyyy-mm")</f>
        <v>2020-08</v>
      </c>
      <c r="H1910" s="1" t="s">
        <v>28</v>
      </c>
      <c r="I1910" s="1" t="s">
        <v>17</v>
      </c>
      <c r="J1910">
        <v>76</v>
      </c>
    </row>
    <row r="1911" spans="1:10" x14ac:dyDescent="0.25">
      <c r="A1911" s="1" t="s">
        <v>1823</v>
      </c>
      <c r="B1911" s="1" t="s">
        <v>200</v>
      </c>
      <c r="C1911" s="1" t="s">
        <v>74</v>
      </c>
      <c r="F1911" s="2">
        <v>44915</v>
      </c>
      <c r="G1911" s="2" t="str">
        <f>TEXT(LayoffsData[[#This Row],[date]],"yyyy-mm")</f>
        <v>2022-12</v>
      </c>
      <c r="H1911" s="1" t="s">
        <v>37</v>
      </c>
      <c r="I1911" s="1" t="s">
        <v>201</v>
      </c>
      <c r="J1911">
        <v>63</v>
      </c>
    </row>
    <row r="1912" spans="1:10" x14ac:dyDescent="0.25">
      <c r="A1912" s="1" t="s">
        <v>1824</v>
      </c>
      <c r="B1912" s="1" t="s">
        <v>14</v>
      </c>
      <c r="C1912" s="1" t="s">
        <v>68</v>
      </c>
      <c r="D1912">
        <v>50</v>
      </c>
      <c r="F1912" s="2">
        <v>44792</v>
      </c>
      <c r="G1912" s="2" t="str">
        <f>TEXT(LayoffsData[[#This Row],[date]],"yyyy-mm")</f>
        <v>2022-08</v>
      </c>
      <c r="H1912" s="1" t="s">
        <v>414</v>
      </c>
      <c r="I1912" s="1" t="s">
        <v>17</v>
      </c>
      <c r="J1912">
        <v>2300</v>
      </c>
    </row>
    <row r="1913" spans="1:10" x14ac:dyDescent="0.25">
      <c r="A1913" s="1" t="s">
        <v>1824</v>
      </c>
      <c r="B1913" s="1" t="s">
        <v>14</v>
      </c>
      <c r="C1913" s="1" t="s">
        <v>68</v>
      </c>
      <c r="D1913">
        <v>1000</v>
      </c>
      <c r="E1913">
        <v>0.14000000000000001</v>
      </c>
      <c r="F1913" s="2">
        <v>44868</v>
      </c>
      <c r="G1913" s="2" t="str">
        <f>TEXT(LayoffsData[[#This Row],[date]],"yyyy-mm")</f>
        <v>2022-11</v>
      </c>
      <c r="H1913" s="1" t="s">
        <v>414</v>
      </c>
      <c r="I1913" s="1" t="s">
        <v>17</v>
      </c>
      <c r="J1913">
        <v>2300</v>
      </c>
    </row>
    <row r="1914" spans="1:10" x14ac:dyDescent="0.25">
      <c r="A1914" s="1" t="s">
        <v>1825</v>
      </c>
      <c r="B1914" s="1" t="s">
        <v>14</v>
      </c>
      <c r="C1914" s="1" t="s">
        <v>124</v>
      </c>
      <c r="D1914">
        <v>40</v>
      </c>
      <c r="F1914" s="2">
        <v>44980</v>
      </c>
      <c r="G1914" s="2" t="str">
        <f>TEXT(LayoffsData[[#This Row],[date]],"yyyy-mm")</f>
        <v>2023-02</v>
      </c>
      <c r="H1914" s="1" t="s">
        <v>24</v>
      </c>
      <c r="I1914" s="1" t="s">
        <v>17</v>
      </c>
      <c r="J1914">
        <v>76</v>
      </c>
    </row>
    <row r="1915" spans="1:10" x14ac:dyDescent="0.25">
      <c r="A1915" s="1" t="s">
        <v>1826</v>
      </c>
      <c r="B1915" s="1" t="s">
        <v>14</v>
      </c>
      <c r="C1915" s="1" t="s">
        <v>27</v>
      </c>
      <c r="F1915" s="2">
        <v>44777</v>
      </c>
      <c r="G1915" s="2" t="str">
        <f>TEXT(LayoffsData[[#This Row],[date]],"yyyy-mm")</f>
        <v>2022-08</v>
      </c>
      <c r="H1915" s="1" t="s">
        <v>57</v>
      </c>
      <c r="I1915" s="1" t="s">
        <v>17</v>
      </c>
      <c r="J1915">
        <v>59</v>
      </c>
    </row>
    <row r="1916" spans="1:10" x14ac:dyDescent="0.25">
      <c r="A1916" s="1" t="s">
        <v>1826</v>
      </c>
      <c r="B1916" s="1" t="s">
        <v>14</v>
      </c>
      <c r="C1916" s="1" t="s">
        <v>27</v>
      </c>
      <c r="D1916">
        <v>200</v>
      </c>
      <c r="F1916" s="2">
        <v>43979</v>
      </c>
      <c r="G1916" s="2" t="str">
        <f>TEXT(LayoffsData[[#This Row],[date]],"yyyy-mm")</f>
        <v>2020-05</v>
      </c>
      <c r="H1916" s="1" t="s">
        <v>57</v>
      </c>
      <c r="I1916" s="1" t="s">
        <v>17</v>
      </c>
      <c r="J1916">
        <v>19</v>
      </c>
    </row>
    <row r="1917" spans="1:10" x14ac:dyDescent="0.25">
      <c r="A1917" s="1" t="s">
        <v>1827</v>
      </c>
      <c r="B1917" s="1" t="s">
        <v>14</v>
      </c>
      <c r="C1917" s="1" t="s">
        <v>41</v>
      </c>
      <c r="F1917" s="2">
        <v>44868</v>
      </c>
      <c r="G1917" s="2" t="str">
        <f>TEXT(LayoffsData[[#This Row],[date]],"yyyy-mm")</f>
        <v>2022-11</v>
      </c>
      <c r="H1917" s="1" t="s">
        <v>24</v>
      </c>
      <c r="I1917" s="1" t="s">
        <v>17</v>
      </c>
      <c r="J1917">
        <v>50</v>
      </c>
    </row>
    <row r="1918" spans="1:10" x14ac:dyDescent="0.25">
      <c r="A1918" s="1" t="s">
        <v>1827</v>
      </c>
      <c r="B1918" s="1" t="s">
        <v>14</v>
      </c>
      <c r="C1918" s="1" t="s">
        <v>41</v>
      </c>
      <c r="D1918">
        <v>33</v>
      </c>
      <c r="E1918">
        <v>0.4</v>
      </c>
      <c r="F1918" s="2">
        <v>44725</v>
      </c>
      <c r="G1918" s="2" t="str">
        <f>TEXT(LayoffsData[[#This Row],[date]],"yyyy-mm")</f>
        <v>2022-06</v>
      </c>
      <c r="H1918" s="1" t="s">
        <v>24</v>
      </c>
      <c r="I1918" s="1" t="s">
        <v>17</v>
      </c>
      <c r="J1918">
        <v>50</v>
      </c>
    </row>
    <row r="1919" spans="1:10" x14ac:dyDescent="0.25">
      <c r="A1919" s="1" t="s">
        <v>1828</v>
      </c>
      <c r="B1919" s="1" t="s">
        <v>79</v>
      </c>
      <c r="C1919" s="1" t="s">
        <v>41</v>
      </c>
      <c r="D1919">
        <v>70</v>
      </c>
      <c r="F1919" s="2">
        <v>44895</v>
      </c>
      <c r="G1919" s="2" t="str">
        <f>TEXT(LayoffsData[[#This Row],[date]],"yyyy-mm")</f>
        <v>2022-11</v>
      </c>
      <c r="H1919" s="1" t="s">
        <v>21</v>
      </c>
      <c r="I1919" s="1" t="s">
        <v>80</v>
      </c>
      <c r="J1919">
        <v>64</v>
      </c>
    </row>
    <row r="1920" spans="1:10" x14ac:dyDescent="0.25">
      <c r="A1920" s="1" t="s">
        <v>1829</v>
      </c>
      <c r="B1920" s="1" t="s">
        <v>14</v>
      </c>
      <c r="C1920" s="1" t="s">
        <v>27</v>
      </c>
      <c r="E1920">
        <v>0.17</v>
      </c>
      <c r="F1920" s="2">
        <v>44757</v>
      </c>
      <c r="G1920" s="2" t="str">
        <f>TEXT(LayoffsData[[#This Row],[date]],"yyyy-mm")</f>
        <v>2022-07</v>
      </c>
      <c r="H1920" s="1" t="s">
        <v>28</v>
      </c>
      <c r="I1920" s="1" t="s">
        <v>17</v>
      </c>
      <c r="J1920">
        <v>40</v>
      </c>
    </row>
    <row r="1921" spans="1:10" x14ac:dyDescent="0.25">
      <c r="A1921" s="1" t="s">
        <v>1830</v>
      </c>
      <c r="B1921" s="1" t="s">
        <v>14</v>
      </c>
      <c r="C1921" s="1" t="s">
        <v>172</v>
      </c>
      <c r="D1921">
        <v>19</v>
      </c>
      <c r="E1921">
        <v>0.25</v>
      </c>
      <c r="F1921" s="2">
        <v>44984</v>
      </c>
      <c r="G1921" s="2" t="str">
        <f>TEXT(LayoffsData[[#This Row],[date]],"yyyy-mm")</f>
        <v>2023-02</v>
      </c>
      <c r="H1921" s="1" t="s">
        <v>24</v>
      </c>
      <c r="I1921" s="1" t="s">
        <v>17</v>
      </c>
      <c r="J1921">
        <v>126</v>
      </c>
    </row>
    <row r="1922" spans="1:10" x14ac:dyDescent="0.25">
      <c r="A1922" s="1" t="s">
        <v>1831</v>
      </c>
      <c r="B1922" s="1" t="s">
        <v>1201</v>
      </c>
      <c r="C1922" s="1" t="s">
        <v>149</v>
      </c>
      <c r="D1922">
        <v>30</v>
      </c>
      <c r="E1922">
        <v>0.2</v>
      </c>
      <c r="F1922" s="2">
        <v>43946</v>
      </c>
      <c r="G1922" s="2" t="str">
        <f>TEXT(LayoffsData[[#This Row],[date]],"yyyy-mm")</f>
        <v>2020-04</v>
      </c>
      <c r="H1922" s="1" t="s">
        <v>24</v>
      </c>
      <c r="I1922" s="1" t="s">
        <v>17</v>
      </c>
      <c r="J1922">
        <v>17</v>
      </c>
    </row>
    <row r="1923" spans="1:10" x14ac:dyDescent="0.25">
      <c r="A1923" s="1" t="s">
        <v>1832</v>
      </c>
      <c r="B1923" s="1" t="s">
        <v>26</v>
      </c>
      <c r="C1923" s="1" t="s">
        <v>124</v>
      </c>
      <c r="F1923" s="2">
        <v>44258</v>
      </c>
      <c r="G1923" s="2" t="str">
        <f>TEXT(LayoffsData[[#This Row],[date]],"yyyy-mm")</f>
        <v>2021-03</v>
      </c>
      <c r="H1923" s="1" t="s">
        <v>24</v>
      </c>
      <c r="I1923" s="1" t="s">
        <v>17</v>
      </c>
    </row>
    <row r="1924" spans="1:10" x14ac:dyDescent="0.25">
      <c r="A1924" s="1" t="s">
        <v>1832</v>
      </c>
      <c r="B1924" s="1" t="s">
        <v>26</v>
      </c>
      <c r="C1924" s="1" t="s">
        <v>124</v>
      </c>
      <c r="E1924">
        <v>1</v>
      </c>
      <c r="F1924" s="2">
        <v>44694</v>
      </c>
      <c r="G1924" s="2" t="str">
        <f>TEXT(LayoffsData[[#This Row],[date]],"yyyy-mm")</f>
        <v>2022-05</v>
      </c>
      <c r="H1924" s="1" t="s">
        <v>24</v>
      </c>
      <c r="I1924" s="1" t="s">
        <v>17</v>
      </c>
    </row>
    <row r="1925" spans="1:10" x14ac:dyDescent="0.25">
      <c r="A1925" s="1" t="s">
        <v>1833</v>
      </c>
      <c r="B1925" s="1" t="s">
        <v>14</v>
      </c>
      <c r="C1925" s="1" t="s">
        <v>63</v>
      </c>
      <c r="D1925">
        <v>13</v>
      </c>
      <c r="E1925">
        <v>0.14000000000000001</v>
      </c>
      <c r="F1925" s="2">
        <v>44741</v>
      </c>
      <c r="G1925" s="2" t="str">
        <f>TEXT(LayoffsData[[#This Row],[date]],"yyyy-mm")</f>
        <v>2022-06</v>
      </c>
      <c r="H1925" s="1" t="s">
        <v>24</v>
      </c>
      <c r="I1925" s="1" t="s">
        <v>17</v>
      </c>
      <c r="J1925">
        <v>82</v>
      </c>
    </row>
    <row r="1926" spans="1:10" x14ac:dyDescent="0.25">
      <c r="A1926" s="1" t="s">
        <v>1834</v>
      </c>
      <c r="B1926" s="1" t="s">
        <v>14</v>
      </c>
      <c r="C1926" s="1" t="s">
        <v>15</v>
      </c>
      <c r="D1926">
        <v>101</v>
      </c>
      <c r="E1926">
        <v>1</v>
      </c>
      <c r="F1926" s="2">
        <v>44732</v>
      </c>
      <c r="G1926" s="2" t="str">
        <f>TEXT(LayoffsData[[#This Row],[date]],"yyyy-mm")</f>
        <v>2022-06</v>
      </c>
      <c r="H1926" s="1" t="s">
        <v>37</v>
      </c>
      <c r="I1926" s="1" t="s">
        <v>17</v>
      </c>
      <c r="J1926">
        <v>7</v>
      </c>
    </row>
    <row r="1927" spans="1:10" x14ac:dyDescent="0.25">
      <c r="A1927" s="1" t="s">
        <v>1835</v>
      </c>
      <c r="B1927" s="1" t="s">
        <v>200</v>
      </c>
      <c r="C1927" s="1" t="s">
        <v>68</v>
      </c>
      <c r="F1927" s="2">
        <v>44321</v>
      </c>
      <c r="G1927" s="2" t="str">
        <f>TEXT(LayoffsData[[#This Row],[date]],"yyyy-mm")</f>
        <v>2021-05</v>
      </c>
      <c r="H1927" s="1" t="s">
        <v>37</v>
      </c>
      <c r="I1927" s="1" t="s">
        <v>201</v>
      </c>
      <c r="J1927">
        <v>53</v>
      </c>
    </row>
    <row r="1928" spans="1:10" x14ac:dyDescent="0.25">
      <c r="A1928" s="1" t="s">
        <v>1835</v>
      </c>
      <c r="B1928" s="1" t="s">
        <v>35</v>
      </c>
      <c r="C1928" s="1" t="s">
        <v>68</v>
      </c>
      <c r="D1928">
        <v>100</v>
      </c>
      <c r="E1928">
        <v>0.03</v>
      </c>
      <c r="F1928" s="2">
        <v>44711</v>
      </c>
      <c r="G1928" s="2" t="str">
        <f>TEXT(LayoffsData[[#This Row],[date]],"yyyy-mm")</f>
        <v>2022-05</v>
      </c>
      <c r="H1928" s="1" t="s">
        <v>37</v>
      </c>
      <c r="I1928" s="1" t="s">
        <v>38</v>
      </c>
      <c r="J1928">
        <v>50</v>
      </c>
    </row>
    <row r="1929" spans="1:10" x14ac:dyDescent="0.25">
      <c r="A1929" s="1" t="s">
        <v>1836</v>
      </c>
      <c r="B1929" s="1" t="s">
        <v>14</v>
      </c>
      <c r="C1929" s="1" t="s">
        <v>174</v>
      </c>
      <c r="E1929">
        <v>0.15</v>
      </c>
      <c r="F1929" s="2">
        <v>44742</v>
      </c>
      <c r="G1929" s="2" t="str">
        <f>TEXT(LayoffsData[[#This Row],[date]],"yyyy-mm")</f>
        <v>2022-06</v>
      </c>
      <c r="H1929" s="1" t="s">
        <v>28</v>
      </c>
      <c r="I1929" s="1" t="s">
        <v>17</v>
      </c>
      <c r="J1929">
        <v>135</v>
      </c>
    </row>
    <row r="1930" spans="1:10" x14ac:dyDescent="0.25">
      <c r="A1930" s="1" t="s">
        <v>1837</v>
      </c>
      <c r="B1930" s="1" t="s">
        <v>213</v>
      </c>
      <c r="C1930" s="1" t="s">
        <v>68</v>
      </c>
      <c r="D1930">
        <v>90</v>
      </c>
      <c r="E1930">
        <v>0.23</v>
      </c>
      <c r="F1930" s="2">
        <v>44736</v>
      </c>
      <c r="G1930" s="2" t="str">
        <f>TEXT(LayoffsData[[#This Row],[date]],"yyyy-mm")</f>
        <v>2022-06</v>
      </c>
      <c r="H1930" s="1" t="s">
        <v>21</v>
      </c>
      <c r="I1930" s="1" t="s">
        <v>17</v>
      </c>
      <c r="J1930">
        <v>124</v>
      </c>
    </row>
    <row r="1931" spans="1:10" x14ac:dyDescent="0.25">
      <c r="A1931" s="1" t="s">
        <v>1838</v>
      </c>
      <c r="B1931" s="1" t="s">
        <v>32</v>
      </c>
      <c r="C1931" s="1" t="s">
        <v>20</v>
      </c>
      <c r="D1931">
        <v>24</v>
      </c>
      <c r="E1931">
        <v>0.13</v>
      </c>
      <c r="F1931" s="2">
        <v>44753</v>
      </c>
      <c r="G1931" s="2" t="str">
        <f>TEXT(LayoffsData[[#This Row],[date]],"yyyy-mm")</f>
        <v>2022-07</v>
      </c>
      <c r="H1931" s="1" t="s">
        <v>33</v>
      </c>
      <c r="I1931" s="1" t="s">
        <v>17</v>
      </c>
      <c r="J1931">
        <v>74</v>
      </c>
    </row>
    <row r="1932" spans="1:10" x14ac:dyDescent="0.25">
      <c r="A1932" s="1" t="s">
        <v>1839</v>
      </c>
      <c r="B1932" s="1" t="s">
        <v>14</v>
      </c>
      <c r="C1932" s="1" t="s">
        <v>27</v>
      </c>
      <c r="D1932">
        <v>23</v>
      </c>
      <c r="E1932">
        <v>0.22</v>
      </c>
      <c r="F1932" s="2">
        <v>44715</v>
      </c>
      <c r="G1932" s="2" t="str">
        <f>TEXT(LayoffsData[[#This Row],[date]],"yyyy-mm")</f>
        <v>2022-06</v>
      </c>
      <c r="H1932" s="1" t="s">
        <v>28</v>
      </c>
      <c r="I1932" s="1" t="s">
        <v>17</v>
      </c>
      <c r="J1932">
        <v>108</v>
      </c>
    </row>
    <row r="1933" spans="1:10" x14ac:dyDescent="0.25">
      <c r="A1933" s="1" t="s">
        <v>1840</v>
      </c>
      <c r="B1933" s="1" t="s">
        <v>293</v>
      </c>
      <c r="C1933" s="1" t="s">
        <v>41</v>
      </c>
      <c r="E1933">
        <v>1</v>
      </c>
      <c r="F1933" s="2">
        <v>44733</v>
      </c>
      <c r="G1933" s="2" t="str">
        <f>TEXT(LayoffsData[[#This Row],[date]],"yyyy-mm")</f>
        <v>2022-06</v>
      </c>
      <c r="H1933" s="1" t="s">
        <v>131</v>
      </c>
      <c r="I1933" s="1" t="s">
        <v>69</v>
      </c>
      <c r="J1933">
        <v>0</v>
      </c>
    </row>
    <row r="1934" spans="1:10" x14ac:dyDescent="0.25">
      <c r="A1934" s="1" t="s">
        <v>1841</v>
      </c>
      <c r="B1934" s="1" t="s">
        <v>192</v>
      </c>
      <c r="C1934" s="1" t="s">
        <v>124</v>
      </c>
      <c r="D1934">
        <v>30</v>
      </c>
      <c r="F1934" s="2">
        <v>44067</v>
      </c>
      <c r="G1934" s="2" t="str">
        <f>TEXT(LayoffsData[[#This Row],[date]],"yyyy-mm")</f>
        <v>2020-08</v>
      </c>
      <c r="H1934" s="1" t="s">
        <v>11</v>
      </c>
      <c r="I1934" s="1" t="s">
        <v>46</v>
      </c>
      <c r="J1934">
        <v>36</v>
      </c>
    </row>
    <row r="1935" spans="1:10" x14ac:dyDescent="0.25">
      <c r="A1935" s="1" t="s">
        <v>1842</v>
      </c>
      <c r="B1935" s="1" t="s">
        <v>73</v>
      </c>
      <c r="C1935" s="1" t="s">
        <v>10</v>
      </c>
      <c r="D1935">
        <v>35</v>
      </c>
      <c r="E1935">
        <v>7.0000000000000007E-2</v>
      </c>
      <c r="F1935" s="2">
        <v>44734</v>
      </c>
      <c r="G1935" s="2" t="str">
        <f>TEXT(LayoffsData[[#This Row],[date]],"yyyy-mm")</f>
        <v>2022-06</v>
      </c>
      <c r="H1935" s="1" t="s">
        <v>28</v>
      </c>
      <c r="I1935" s="1" t="s">
        <v>17</v>
      </c>
      <c r="J1935">
        <v>261</v>
      </c>
    </row>
    <row r="1936" spans="1:10" x14ac:dyDescent="0.25">
      <c r="A1936" s="1" t="s">
        <v>1843</v>
      </c>
      <c r="B1936" s="1" t="s">
        <v>1328</v>
      </c>
      <c r="C1936" s="1" t="s">
        <v>36</v>
      </c>
      <c r="E1936">
        <v>0.3</v>
      </c>
      <c r="F1936" s="2">
        <v>44932</v>
      </c>
      <c r="G1936" s="2" t="str">
        <f>TEXT(LayoffsData[[#This Row],[date]],"yyyy-mm")</f>
        <v>2023-01</v>
      </c>
      <c r="H1936" s="1" t="s">
        <v>21</v>
      </c>
      <c r="I1936" s="1" t="s">
        <v>17</v>
      </c>
      <c r="J1936">
        <v>9</v>
      </c>
    </row>
    <row r="1937" spans="1:10" x14ac:dyDescent="0.25">
      <c r="A1937" s="1" t="s">
        <v>1844</v>
      </c>
      <c r="B1937" s="1" t="s">
        <v>123</v>
      </c>
      <c r="C1937" s="1" t="s">
        <v>29</v>
      </c>
      <c r="D1937">
        <v>250</v>
      </c>
      <c r="E1937">
        <v>0.17</v>
      </c>
      <c r="F1937" s="2">
        <v>44727</v>
      </c>
      <c r="G1937" s="2" t="str">
        <f>TEXT(LayoffsData[[#This Row],[date]],"yyyy-mm")</f>
        <v>2022-06</v>
      </c>
      <c r="H1937" s="1" t="s">
        <v>28</v>
      </c>
      <c r="I1937" s="1" t="s">
        <v>125</v>
      </c>
      <c r="J1937">
        <v>169</v>
      </c>
    </row>
    <row r="1938" spans="1:10" x14ac:dyDescent="0.25">
      <c r="A1938" s="1" t="s">
        <v>1845</v>
      </c>
      <c r="B1938" s="1" t="s">
        <v>120</v>
      </c>
      <c r="C1938" s="1" t="s">
        <v>27</v>
      </c>
      <c r="E1938">
        <v>0.3</v>
      </c>
      <c r="F1938" s="2">
        <v>43936</v>
      </c>
      <c r="G1938" s="2" t="str">
        <f>TEXT(LayoffsData[[#This Row],[date]],"yyyy-mm")</f>
        <v>2020-04</v>
      </c>
      <c r="H1938" s="1" t="s">
        <v>21</v>
      </c>
      <c r="I1938" s="1" t="s">
        <v>121</v>
      </c>
      <c r="J1938">
        <v>7</v>
      </c>
    </row>
    <row r="1939" spans="1:10" x14ac:dyDescent="0.25">
      <c r="A1939" s="1" t="s">
        <v>1846</v>
      </c>
      <c r="B1939" s="1" t="s">
        <v>26</v>
      </c>
      <c r="C1939" s="1" t="s">
        <v>51</v>
      </c>
      <c r="F1939" s="2">
        <v>44782</v>
      </c>
      <c r="G1939" s="2" t="str">
        <f>TEXT(LayoffsData[[#This Row],[date]],"yyyy-mm")</f>
        <v>2022-08</v>
      </c>
      <c r="H1939" s="1" t="s">
        <v>11</v>
      </c>
      <c r="I1939" s="1" t="s">
        <v>17</v>
      </c>
      <c r="J1939">
        <v>478</v>
      </c>
    </row>
    <row r="1940" spans="1:10" x14ac:dyDescent="0.25">
      <c r="A1940" s="1" t="s">
        <v>1846</v>
      </c>
      <c r="B1940" s="1" t="s">
        <v>26</v>
      </c>
      <c r="C1940" s="1" t="s">
        <v>51</v>
      </c>
      <c r="D1940">
        <v>35</v>
      </c>
      <c r="E1940">
        <v>0.1</v>
      </c>
      <c r="F1940" s="2">
        <v>43938</v>
      </c>
      <c r="G1940" s="2" t="str">
        <f>TEXT(LayoffsData[[#This Row],[date]],"yyyy-mm")</f>
        <v>2020-04</v>
      </c>
      <c r="H1940" s="1" t="s">
        <v>904</v>
      </c>
      <c r="I1940" s="1" t="s">
        <v>17</v>
      </c>
      <c r="J1940">
        <v>478</v>
      </c>
    </row>
    <row r="1941" spans="1:10" x14ac:dyDescent="0.25">
      <c r="A1941" s="1" t="s">
        <v>1847</v>
      </c>
      <c r="B1941" s="1" t="s">
        <v>293</v>
      </c>
      <c r="C1941" s="1" t="s">
        <v>51</v>
      </c>
      <c r="D1941">
        <v>250</v>
      </c>
      <c r="E1941">
        <v>0.03</v>
      </c>
      <c r="F1941" s="2">
        <v>44903</v>
      </c>
      <c r="G1941" s="2" t="str">
        <f>TEXT(LayoffsData[[#This Row],[date]],"yyyy-mm")</f>
        <v>2022-12</v>
      </c>
      <c r="H1941" s="1" t="s">
        <v>37</v>
      </c>
      <c r="I1941" s="1" t="s">
        <v>69</v>
      </c>
      <c r="J1941">
        <v>3600</v>
      </c>
    </row>
    <row r="1942" spans="1:10" x14ac:dyDescent="0.25">
      <c r="A1942" s="1" t="s">
        <v>1847</v>
      </c>
      <c r="B1942" s="1" t="s">
        <v>293</v>
      </c>
      <c r="C1942" s="1" t="s">
        <v>51</v>
      </c>
      <c r="D1942">
        <v>350</v>
      </c>
      <c r="E1942">
        <v>0.05</v>
      </c>
      <c r="F1942" s="2">
        <v>44039</v>
      </c>
      <c r="G1942" s="2" t="str">
        <f>TEXT(LayoffsData[[#This Row],[date]],"yyyy-mm")</f>
        <v>2020-07</v>
      </c>
      <c r="H1942" s="1" t="s">
        <v>904</v>
      </c>
      <c r="I1942" s="1" t="s">
        <v>69</v>
      </c>
      <c r="J1942">
        <v>1600</v>
      </c>
    </row>
    <row r="1943" spans="1:10" x14ac:dyDescent="0.25">
      <c r="A1943" s="1" t="s">
        <v>1847</v>
      </c>
      <c r="B1943" s="1" t="s">
        <v>293</v>
      </c>
      <c r="C1943" s="1" t="s">
        <v>51</v>
      </c>
      <c r="D1943">
        <v>380</v>
      </c>
      <c r="E1943">
        <v>0.06</v>
      </c>
      <c r="F1943" s="2">
        <v>44946</v>
      </c>
      <c r="G1943" s="2" t="str">
        <f>TEXT(LayoffsData[[#This Row],[date]],"yyyy-mm")</f>
        <v>2023-01</v>
      </c>
      <c r="H1943" s="1" t="s">
        <v>37</v>
      </c>
      <c r="I1943" s="1" t="s">
        <v>69</v>
      </c>
      <c r="J1943">
        <v>3600</v>
      </c>
    </row>
    <row r="1944" spans="1:10" x14ac:dyDescent="0.25">
      <c r="A1944" s="1" t="s">
        <v>1847</v>
      </c>
      <c r="B1944" s="1" t="s">
        <v>293</v>
      </c>
      <c r="C1944" s="1" t="s">
        <v>51</v>
      </c>
      <c r="D1944">
        <v>800</v>
      </c>
      <c r="F1944" s="2">
        <v>43942</v>
      </c>
      <c r="G1944" s="2" t="str">
        <f>TEXT(LayoffsData[[#This Row],[date]],"yyyy-mm")</f>
        <v>2020-04</v>
      </c>
      <c r="H1944" s="1" t="s">
        <v>904</v>
      </c>
      <c r="I1944" s="1" t="s">
        <v>69</v>
      </c>
      <c r="J1944">
        <v>1600</v>
      </c>
    </row>
    <row r="1945" spans="1:10" x14ac:dyDescent="0.25">
      <c r="A1945" s="1" t="s">
        <v>1847</v>
      </c>
      <c r="B1945" s="1" t="s">
        <v>293</v>
      </c>
      <c r="C1945" s="1" t="s">
        <v>51</v>
      </c>
      <c r="D1945">
        <v>1100</v>
      </c>
      <c r="E1945">
        <v>0.14000000000000001</v>
      </c>
      <c r="F1945" s="2">
        <v>43969</v>
      </c>
      <c r="G1945" s="2" t="str">
        <f>TEXT(LayoffsData[[#This Row],[date]],"yyyy-mm")</f>
        <v>2020-05</v>
      </c>
      <c r="H1945" s="1" t="s">
        <v>904</v>
      </c>
      <c r="I1945" s="1" t="s">
        <v>69</v>
      </c>
      <c r="J1945">
        <v>1600</v>
      </c>
    </row>
    <row r="1946" spans="1:10" x14ac:dyDescent="0.25">
      <c r="A1946" s="1" t="s">
        <v>1848</v>
      </c>
      <c r="B1946" s="1" t="s">
        <v>14</v>
      </c>
      <c r="C1946" s="1" t="s">
        <v>41</v>
      </c>
      <c r="F1946" s="2">
        <v>44079</v>
      </c>
      <c r="G1946" s="2" t="str">
        <f>TEXT(LayoffsData[[#This Row],[date]],"yyyy-mm")</f>
        <v>2020-09</v>
      </c>
      <c r="H1946" s="1" t="s">
        <v>24</v>
      </c>
      <c r="I1946" s="1" t="s">
        <v>17</v>
      </c>
      <c r="J1946">
        <v>23</v>
      </c>
    </row>
    <row r="1947" spans="1:10" x14ac:dyDescent="0.25">
      <c r="A1947" s="1" t="s">
        <v>1849</v>
      </c>
      <c r="B1947" s="1" t="s">
        <v>431</v>
      </c>
      <c r="C1947" s="1" t="s">
        <v>10</v>
      </c>
      <c r="E1947">
        <v>0.5</v>
      </c>
      <c r="F1947" s="2">
        <v>44888</v>
      </c>
      <c r="G1947" s="2" t="str">
        <f>TEXT(LayoffsData[[#This Row],[date]],"yyyy-mm")</f>
        <v>2022-11</v>
      </c>
      <c r="H1947" s="1" t="s">
        <v>11</v>
      </c>
      <c r="I1947" s="1" t="s">
        <v>432</v>
      </c>
      <c r="J1947">
        <v>264</v>
      </c>
    </row>
    <row r="1948" spans="1:10" x14ac:dyDescent="0.25">
      <c r="A1948" s="1" t="s">
        <v>1849</v>
      </c>
      <c r="B1948" s="1" t="s">
        <v>244</v>
      </c>
      <c r="C1948" s="1" t="s">
        <v>10</v>
      </c>
      <c r="D1948">
        <v>400</v>
      </c>
      <c r="E1948">
        <v>0.32</v>
      </c>
      <c r="F1948" s="2">
        <v>44711</v>
      </c>
      <c r="G1948" s="2" t="str">
        <f>TEXT(LayoffsData[[#This Row],[date]],"yyyy-mm")</f>
        <v>2022-05</v>
      </c>
      <c r="H1948" s="1" t="s">
        <v>11</v>
      </c>
      <c r="I1948" s="1" t="s">
        <v>245</v>
      </c>
      <c r="J1948">
        <v>132</v>
      </c>
    </row>
    <row r="1949" spans="1:10" x14ac:dyDescent="0.25">
      <c r="A1949" s="1" t="s">
        <v>1850</v>
      </c>
      <c r="B1949" s="1" t="s">
        <v>9</v>
      </c>
      <c r="C1949" s="1" t="s">
        <v>108</v>
      </c>
      <c r="D1949">
        <v>10</v>
      </c>
      <c r="E1949">
        <v>0.3</v>
      </c>
      <c r="F1949" s="2">
        <v>44727</v>
      </c>
      <c r="G1949" s="2" t="str">
        <f>TEXT(LayoffsData[[#This Row],[date]],"yyyy-mm")</f>
        <v>2022-06</v>
      </c>
      <c r="H1949" s="1" t="s">
        <v>21</v>
      </c>
      <c r="I1949" s="1" t="s">
        <v>12</v>
      </c>
      <c r="J1949">
        <v>20</v>
      </c>
    </row>
    <row r="1950" spans="1:10" x14ac:dyDescent="0.25">
      <c r="A1950" s="1" t="s">
        <v>1851</v>
      </c>
      <c r="B1950" s="1" t="s">
        <v>192</v>
      </c>
      <c r="C1950" s="1" t="s">
        <v>36</v>
      </c>
      <c r="D1950">
        <v>74</v>
      </c>
      <c r="E1950">
        <v>0.21</v>
      </c>
      <c r="F1950" s="2">
        <v>44790</v>
      </c>
      <c r="G1950" s="2" t="str">
        <f>TEXT(LayoffsData[[#This Row],[date]],"yyyy-mm")</f>
        <v>2022-08</v>
      </c>
      <c r="H1950" s="1" t="s">
        <v>37</v>
      </c>
      <c r="I1950" s="1" t="s">
        <v>46</v>
      </c>
    </row>
    <row r="1951" spans="1:10" x14ac:dyDescent="0.25">
      <c r="A1951" s="1" t="s">
        <v>1851</v>
      </c>
      <c r="B1951" s="1" t="s">
        <v>192</v>
      </c>
      <c r="C1951" s="1" t="s">
        <v>36</v>
      </c>
      <c r="D1951">
        <v>90</v>
      </c>
      <c r="E1951">
        <v>0.4</v>
      </c>
      <c r="F1951" s="2">
        <v>44900</v>
      </c>
      <c r="G1951" s="2" t="str">
        <f>TEXT(LayoffsData[[#This Row],[date]],"yyyy-mm")</f>
        <v>2022-12</v>
      </c>
      <c r="H1951" s="1" t="s">
        <v>37</v>
      </c>
      <c r="I1951" s="1" t="s">
        <v>46</v>
      </c>
    </row>
    <row r="1952" spans="1:10" x14ac:dyDescent="0.25">
      <c r="A1952" s="1" t="s">
        <v>1852</v>
      </c>
      <c r="B1952" s="1" t="s">
        <v>273</v>
      </c>
      <c r="C1952" s="1" t="s">
        <v>149</v>
      </c>
      <c r="E1952">
        <v>0.13</v>
      </c>
      <c r="F1952" s="2">
        <v>44882</v>
      </c>
      <c r="G1952" s="2" t="str">
        <f>TEXT(LayoffsData[[#This Row],[date]],"yyyy-mm")</f>
        <v>2022-11</v>
      </c>
      <c r="H1952" s="1" t="s">
        <v>28</v>
      </c>
      <c r="I1952" s="1" t="s">
        <v>12</v>
      </c>
      <c r="J1952">
        <v>148</v>
      </c>
    </row>
    <row r="1953" spans="1:10" x14ac:dyDescent="0.25">
      <c r="A1953" s="1" t="s">
        <v>1853</v>
      </c>
      <c r="B1953" s="1" t="s">
        <v>200</v>
      </c>
      <c r="C1953" s="1" t="s">
        <v>63</v>
      </c>
      <c r="D1953">
        <v>200</v>
      </c>
      <c r="E1953">
        <v>0.12</v>
      </c>
      <c r="F1953" s="2">
        <v>44979</v>
      </c>
      <c r="G1953" s="2" t="str">
        <f>TEXT(LayoffsData[[#This Row],[date]],"yyyy-mm")</f>
        <v>2023-02</v>
      </c>
      <c r="H1953" s="1" t="s">
        <v>37</v>
      </c>
      <c r="I1953" s="1" t="s">
        <v>201</v>
      </c>
    </row>
    <row r="1954" spans="1:10" x14ac:dyDescent="0.25">
      <c r="A1954" s="1" t="s">
        <v>1854</v>
      </c>
      <c r="B1954" s="1" t="s">
        <v>14</v>
      </c>
      <c r="C1954" s="1" t="s">
        <v>68</v>
      </c>
      <c r="D1954">
        <v>63</v>
      </c>
      <c r="E1954">
        <v>0.48</v>
      </c>
      <c r="F1954" s="2">
        <v>43994</v>
      </c>
      <c r="G1954" s="2" t="str">
        <f>TEXT(LayoffsData[[#This Row],[date]],"yyyy-mm")</f>
        <v>2020-06</v>
      </c>
      <c r="H1954" s="1" t="s">
        <v>24</v>
      </c>
      <c r="I1954" s="1" t="s">
        <v>17</v>
      </c>
      <c r="J1954">
        <v>50</v>
      </c>
    </row>
    <row r="1955" spans="1:10" x14ac:dyDescent="0.25">
      <c r="A1955" s="1" t="s">
        <v>1855</v>
      </c>
      <c r="B1955" s="1" t="s">
        <v>370</v>
      </c>
      <c r="C1955" s="1" t="s">
        <v>15</v>
      </c>
      <c r="D1955">
        <v>30</v>
      </c>
      <c r="E1955">
        <v>0.3</v>
      </c>
      <c r="F1955" s="2">
        <v>44855</v>
      </c>
      <c r="G1955" s="2" t="str">
        <f>TEXT(LayoffsData[[#This Row],[date]],"yyyy-mm")</f>
        <v>2022-10</v>
      </c>
      <c r="H1955" s="1" t="s">
        <v>21</v>
      </c>
      <c r="I1955" s="1" t="s">
        <v>69</v>
      </c>
      <c r="J1955">
        <v>4</v>
      </c>
    </row>
    <row r="1956" spans="1:10" x14ac:dyDescent="0.25">
      <c r="A1956" s="1" t="s">
        <v>1856</v>
      </c>
      <c r="B1956" s="1" t="s">
        <v>92</v>
      </c>
      <c r="C1956" s="1" t="s">
        <v>51</v>
      </c>
      <c r="D1956">
        <v>5</v>
      </c>
      <c r="E1956">
        <v>7.0000000000000007E-2</v>
      </c>
      <c r="F1956" s="2">
        <v>43923</v>
      </c>
      <c r="G1956" s="2" t="str">
        <f>TEXT(LayoffsData[[#This Row],[date]],"yyyy-mm")</f>
        <v>2020-04</v>
      </c>
      <c r="H1956" s="1" t="s">
        <v>21</v>
      </c>
      <c r="I1956" s="1" t="s">
        <v>17</v>
      </c>
      <c r="J1956">
        <v>6</v>
      </c>
    </row>
    <row r="1957" spans="1:10" x14ac:dyDescent="0.25">
      <c r="A1957" s="1" t="s">
        <v>1857</v>
      </c>
      <c r="B1957" s="1" t="s">
        <v>73</v>
      </c>
      <c r="C1957" s="1" t="s">
        <v>15</v>
      </c>
      <c r="E1957">
        <v>0.25</v>
      </c>
      <c r="F1957" s="2">
        <v>44896</v>
      </c>
      <c r="G1957" s="2" t="str">
        <f>TEXT(LayoffsData[[#This Row],[date]],"yyyy-mm")</f>
        <v>2022-12</v>
      </c>
      <c r="H1957" s="1" t="s">
        <v>11</v>
      </c>
      <c r="I1957" s="1" t="s">
        <v>17</v>
      </c>
      <c r="J1957">
        <v>321</v>
      </c>
    </row>
    <row r="1958" spans="1:10" x14ac:dyDescent="0.25">
      <c r="A1958" s="1" t="s">
        <v>1858</v>
      </c>
      <c r="B1958" s="1" t="s">
        <v>14</v>
      </c>
      <c r="C1958" s="1" t="s">
        <v>149</v>
      </c>
      <c r="D1958">
        <v>100</v>
      </c>
      <c r="F1958" s="2">
        <v>44953</v>
      </c>
      <c r="G1958" s="2" t="str">
        <f>TEXT(LayoffsData[[#This Row],[date]],"yyyy-mm")</f>
        <v>2023-01</v>
      </c>
      <c r="H1958" s="1" t="s">
        <v>11</v>
      </c>
      <c r="I1958" s="1" t="s">
        <v>17</v>
      </c>
    </row>
    <row r="1959" spans="1:10" x14ac:dyDescent="0.25">
      <c r="A1959" s="1" t="s">
        <v>1859</v>
      </c>
      <c r="B1959" s="1" t="s">
        <v>14</v>
      </c>
      <c r="C1959" s="1" t="s">
        <v>15</v>
      </c>
      <c r="D1959">
        <v>105</v>
      </c>
      <c r="E1959">
        <v>0.2</v>
      </c>
      <c r="F1959" s="2">
        <v>44883</v>
      </c>
      <c r="G1959" s="2" t="str">
        <f>TEXT(LayoffsData[[#This Row],[date]],"yyyy-mm")</f>
        <v>2022-11</v>
      </c>
      <c r="H1959" s="1" t="s">
        <v>16</v>
      </c>
      <c r="I1959" s="1" t="s">
        <v>17</v>
      </c>
      <c r="J1959">
        <v>459</v>
      </c>
    </row>
    <row r="1960" spans="1:10" x14ac:dyDescent="0.25">
      <c r="A1960" s="1" t="s">
        <v>1860</v>
      </c>
      <c r="B1960" s="1" t="s">
        <v>168</v>
      </c>
      <c r="C1960" s="1" t="s">
        <v>29</v>
      </c>
      <c r="D1960">
        <v>13</v>
      </c>
      <c r="E1960">
        <v>0.08</v>
      </c>
      <c r="F1960" s="2">
        <v>44747</v>
      </c>
      <c r="G1960" s="2" t="str">
        <f>TEXT(LayoffsData[[#This Row],[date]],"yyyy-mm")</f>
        <v>2022-07</v>
      </c>
      <c r="H1960" s="1" t="s">
        <v>28</v>
      </c>
      <c r="I1960" s="1" t="s">
        <v>170</v>
      </c>
      <c r="J1960">
        <v>71</v>
      </c>
    </row>
    <row r="1961" spans="1:10" x14ac:dyDescent="0.25">
      <c r="A1961" s="1" t="s">
        <v>1861</v>
      </c>
      <c r="B1961" s="1" t="s">
        <v>32</v>
      </c>
      <c r="C1961" s="1" t="s">
        <v>20</v>
      </c>
      <c r="D1961">
        <v>100</v>
      </c>
      <c r="E1961">
        <v>0.06</v>
      </c>
      <c r="F1961" s="2">
        <v>44817</v>
      </c>
      <c r="G1961" s="2" t="str">
        <f>TEXT(LayoffsData[[#This Row],[date]],"yyyy-mm")</f>
        <v>2022-09</v>
      </c>
      <c r="H1961" s="1" t="s">
        <v>11</v>
      </c>
      <c r="I1961" s="1" t="s">
        <v>17</v>
      </c>
      <c r="J1961">
        <v>445</v>
      </c>
    </row>
    <row r="1962" spans="1:10" x14ac:dyDescent="0.25">
      <c r="A1962" s="1" t="s">
        <v>1862</v>
      </c>
      <c r="B1962" s="1" t="s">
        <v>1863</v>
      </c>
      <c r="C1962" s="1" t="s">
        <v>149</v>
      </c>
      <c r="E1962">
        <v>0.15</v>
      </c>
      <c r="F1962" s="2">
        <v>44972</v>
      </c>
      <c r="G1962" s="2" t="str">
        <f>TEXT(LayoffsData[[#This Row],[date]],"yyyy-mm")</f>
        <v>2023-02</v>
      </c>
      <c r="H1962" s="1" t="s">
        <v>28</v>
      </c>
      <c r="I1962" s="1" t="s">
        <v>17</v>
      </c>
      <c r="J1962">
        <v>148</v>
      </c>
    </row>
    <row r="1963" spans="1:10" x14ac:dyDescent="0.25">
      <c r="A1963" s="1" t="s">
        <v>1864</v>
      </c>
      <c r="B1963" s="1" t="s">
        <v>374</v>
      </c>
      <c r="C1963" s="1" t="s">
        <v>27</v>
      </c>
      <c r="D1963">
        <v>130</v>
      </c>
      <c r="F1963" s="2">
        <v>43914</v>
      </c>
      <c r="G1963" s="2" t="str">
        <f>TEXT(LayoffsData[[#This Row],[date]],"yyyy-mm")</f>
        <v>2020-03</v>
      </c>
      <c r="H1963" s="1" t="s">
        <v>37</v>
      </c>
      <c r="I1963" s="1" t="s">
        <v>17</v>
      </c>
    </row>
    <row r="1964" spans="1:10" x14ac:dyDescent="0.25">
      <c r="A1964" s="1" t="s">
        <v>1865</v>
      </c>
      <c r="B1964" s="1" t="s">
        <v>14</v>
      </c>
      <c r="C1964" s="1" t="s">
        <v>15</v>
      </c>
      <c r="E1964">
        <v>0.25</v>
      </c>
      <c r="F1964" s="2">
        <v>44635</v>
      </c>
      <c r="G1964" s="2" t="str">
        <f>TEXT(LayoffsData[[#This Row],[date]],"yyyy-mm")</f>
        <v>2022-03</v>
      </c>
      <c r="H1964" s="1" t="s">
        <v>11</v>
      </c>
      <c r="I1964" s="1" t="s">
        <v>17</v>
      </c>
      <c r="J1964">
        <v>8</v>
      </c>
    </row>
    <row r="1965" spans="1:10" x14ac:dyDescent="0.25">
      <c r="A1965" s="1" t="s">
        <v>1866</v>
      </c>
      <c r="B1965" s="1" t="s">
        <v>14</v>
      </c>
      <c r="C1965" s="1" t="s">
        <v>53</v>
      </c>
      <c r="F1965" s="2">
        <v>44959</v>
      </c>
      <c r="G1965" s="2" t="str">
        <f>TEXT(LayoffsData[[#This Row],[date]],"yyyy-mm")</f>
        <v>2023-02</v>
      </c>
      <c r="H1965" s="1" t="s">
        <v>33</v>
      </c>
      <c r="I1965" s="1" t="s">
        <v>17</v>
      </c>
      <c r="J1965">
        <v>497</v>
      </c>
    </row>
    <row r="1966" spans="1:10" x14ac:dyDescent="0.25">
      <c r="A1966" s="1" t="s">
        <v>1866</v>
      </c>
      <c r="B1966" s="1" t="s">
        <v>14</v>
      </c>
      <c r="C1966" s="1" t="s">
        <v>53</v>
      </c>
      <c r="F1966" s="2">
        <v>44778</v>
      </c>
      <c r="G1966" s="2" t="str">
        <f>TEXT(LayoffsData[[#This Row],[date]],"yyyy-mm")</f>
        <v>2022-08</v>
      </c>
      <c r="H1966" s="1" t="s">
        <v>33</v>
      </c>
      <c r="I1966" s="1" t="s">
        <v>17</v>
      </c>
      <c r="J1966">
        <v>497</v>
      </c>
    </row>
    <row r="1967" spans="1:10" x14ac:dyDescent="0.25">
      <c r="A1967" s="1" t="s">
        <v>1867</v>
      </c>
      <c r="B1967" s="1" t="s">
        <v>1273</v>
      </c>
      <c r="C1967" s="1" t="s">
        <v>20</v>
      </c>
      <c r="E1967">
        <v>0.15</v>
      </c>
      <c r="F1967" s="2">
        <v>44776</v>
      </c>
      <c r="G1967" s="2" t="str">
        <f>TEXT(LayoffsData[[#This Row],[date]],"yyyy-mm")</f>
        <v>2022-08</v>
      </c>
      <c r="H1967" s="1" t="s">
        <v>105</v>
      </c>
      <c r="I1967" s="1" t="s">
        <v>1273</v>
      </c>
      <c r="J1967">
        <v>9</v>
      </c>
    </row>
    <row r="1968" spans="1:10" x14ac:dyDescent="0.25">
      <c r="A1968" s="1" t="s">
        <v>1868</v>
      </c>
      <c r="B1968" s="1" t="s">
        <v>14</v>
      </c>
      <c r="C1968" s="1" t="s">
        <v>68</v>
      </c>
      <c r="D1968">
        <v>28</v>
      </c>
      <c r="E1968">
        <v>0.23</v>
      </c>
      <c r="F1968" s="2">
        <v>43958</v>
      </c>
      <c r="G1968" s="2" t="str">
        <f>TEXT(LayoffsData[[#This Row],[date]],"yyyy-mm")</f>
        <v>2020-05</v>
      </c>
      <c r="H1968" s="1" t="s">
        <v>28</v>
      </c>
      <c r="I1968" s="1" t="s">
        <v>17</v>
      </c>
      <c r="J1968">
        <v>92</v>
      </c>
    </row>
    <row r="1969" spans="1:10" x14ac:dyDescent="0.25">
      <c r="A1969" s="1" t="s">
        <v>1869</v>
      </c>
      <c r="B1969" s="1" t="s">
        <v>26</v>
      </c>
      <c r="C1969" s="1" t="s">
        <v>29</v>
      </c>
      <c r="D1969">
        <v>20</v>
      </c>
      <c r="E1969">
        <v>0.4</v>
      </c>
      <c r="F1969" s="2">
        <v>43902</v>
      </c>
      <c r="G1969" s="2" t="str">
        <f>TEXT(LayoffsData[[#This Row],[date]],"yyyy-mm")</f>
        <v>2020-03</v>
      </c>
      <c r="H1969" s="1" t="s">
        <v>28</v>
      </c>
      <c r="I1969" s="1" t="s">
        <v>17</v>
      </c>
      <c r="J1969">
        <v>90</v>
      </c>
    </row>
    <row r="1970" spans="1:10" x14ac:dyDescent="0.25">
      <c r="A1970" s="1" t="s">
        <v>1870</v>
      </c>
      <c r="B1970" s="1" t="s">
        <v>55</v>
      </c>
      <c r="C1970" s="1" t="s">
        <v>172</v>
      </c>
      <c r="D1970">
        <v>30</v>
      </c>
      <c r="F1970" s="2">
        <v>44438</v>
      </c>
      <c r="G1970" s="2" t="str">
        <f>TEXT(LayoffsData[[#This Row],[date]],"yyyy-mm")</f>
        <v>2021-08</v>
      </c>
      <c r="H1970" s="1" t="s">
        <v>37</v>
      </c>
      <c r="I1970" s="1" t="s">
        <v>17</v>
      </c>
      <c r="J1970">
        <v>1000</v>
      </c>
    </row>
    <row r="1971" spans="1:10" x14ac:dyDescent="0.25">
      <c r="A1971" s="1" t="s">
        <v>1871</v>
      </c>
      <c r="B1971" s="1" t="s">
        <v>14</v>
      </c>
      <c r="C1971" s="1" t="s">
        <v>63</v>
      </c>
      <c r="F1971" s="2">
        <v>44770</v>
      </c>
      <c r="G1971" s="2" t="str">
        <f>TEXT(LayoffsData[[#This Row],[date]],"yyyy-mm")</f>
        <v>2022-07</v>
      </c>
      <c r="H1971" s="1" t="s">
        <v>57</v>
      </c>
      <c r="I1971" s="1" t="s">
        <v>17</v>
      </c>
      <c r="J1971">
        <v>17</v>
      </c>
    </row>
    <row r="1972" spans="1:10" x14ac:dyDescent="0.25">
      <c r="A1972" s="1" t="s">
        <v>1872</v>
      </c>
      <c r="B1972" s="1" t="s">
        <v>35</v>
      </c>
      <c r="C1972" s="1" t="s">
        <v>27</v>
      </c>
      <c r="D1972">
        <v>10</v>
      </c>
      <c r="F1972" s="2">
        <v>44866</v>
      </c>
      <c r="G1972" s="2" t="str">
        <f>TEXT(LayoffsData[[#This Row],[date]],"yyyy-mm")</f>
        <v>2022-11</v>
      </c>
      <c r="H1972" s="1" t="s">
        <v>37</v>
      </c>
      <c r="I1972" s="1" t="s">
        <v>38</v>
      </c>
    </row>
    <row r="1973" spans="1:10" x14ac:dyDescent="0.25">
      <c r="A1973" s="1" t="s">
        <v>1873</v>
      </c>
      <c r="B1973" s="1" t="s">
        <v>26</v>
      </c>
      <c r="C1973" s="1" t="s">
        <v>53</v>
      </c>
      <c r="D1973">
        <v>52</v>
      </c>
      <c r="E1973">
        <v>0</v>
      </c>
      <c r="F1973" s="2">
        <v>44733</v>
      </c>
      <c r="G1973" s="2" t="str">
        <f>TEXT(LayoffsData[[#This Row],[date]],"yyyy-mm")</f>
        <v>2022-06</v>
      </c>
      <c r="H1973" s="1" t="s">
        <v>11</v>
      </c>
      <c r="I1973" s="1" t="s">
        <v>17</v>
      </c>
      <c r="J1973">
        <v>279</v>
      </c>
    </row>
    <row r="1974" spans="1:10" x14ac:dyDescent="0.25">
      <c r="A1974" s="1" t="s">
        <v>1873</v>
      </c>
      <c r="B1974" s="1" t="s">
        <v>1515</v>
      </c>
      <c r="C1974" s="1" t="s">
        <v>53</v>
      </c>
      <c r="D1974">
        <v>186</v>
      </c>
      <c r="F1974" s="2">
        <v>44979</v>
      </c>
      <c r="G1974" s="2" t="str">
        <f>TEXT(LayoffsData[[#This Row],[date]],"yyyy-mm")</f>
        <v>2023-02</v>
      </c>
      <c r="H1974" s="1" t="s">
        <v>11</v>
      </c>
      <c r="I1974" s="1" t="s">
        <v>17</v>
      </c>
      <c r="J1974">
        <v>279</v>
      </c>
    </row>
    <row r="1975" spans="1:10" x14ac:dyDescent="0.25">
      <c r="A1975" s="1" t="s">
        <v>1874</v>
      </c>
      <c r="B1975" s="1" t="s">
        <v>92</v>
      </c>
      <c r="C1975" s="1" t="s">
        <v>36</v>
      </c>
      <c r="F1975" s="2">
        <v>44908</v>
      </c>
      <c r="G1975" s="2" t="str">
        <f>TEXT(LayoffsData[[#This Row],[date]],"yyyy-mm")</f>
        <v>2022-12</v>
      </c>
      <c r="H1975" s="1" t="s">
        <v>24</v>
      </c>
      <c r="I1975" s="1" t="s">
        <v>17</v>
      </c>
      <c r="J1975">
        <v>235</v>
      </c>
    </row>
    <row r="1976" spans="1:10" x14ac:dyDescent="0.25">
      <c r="A1976" s="1" t="s">
        <v>1875</v>
      </c>
      <c r="B1976" s="1" t="s">
        <v>73</v>
      </c>
      <c r="C1976" s="1" t="s">
        <v>15</v>
      </c>
      <c r="E1976">
        <v>0.4</v>
      </c>
      <c r="F1976" s="2">
        <v>44931</v>
      </c>
      <c r="G1976" s="2" t="str">
        <f>TEXT(LayoffsData[[#This Row],[date]],"yyyy-mm")</f>
        <v>2023-01</v>
      </c>
      <c r="H1976" s="1" t="s">
        <v>11</v>
      </c>
      <c r="I1976" s="1" t="s">
        <v>17</v>
      </c>
      <c r="J1976">
        <v>173</v>
      </c>
    </row>
    <row r="1977" spans="1:10" x14ac:dyDescent="0.25">
      <c r="A1977" s="1" t="s">
        <v>1875</v>
      </c>
      <c r="B1977" s="1" t="s">
        <v>73</v>
      </c>
      <c r="C1977" s="1" t="s">
        <v>15</v>
      </c>
      <c r="D1977">
        <v>30</v>
      </c>
      <c r="E1977">
        <v>0.2</v>
      </c>
      <c r="F1977" s="2">
        <v>44804</v>
      </c>
      <c r="G1977" s="2" t="str">
        <f>TEXT(LayoffsData[[#This Row],[date]],"yyyy-mm")</f>
        <v>2022-08</v>
      </c>
      <c r="H1977" s="1" t="s">
        <v>11</v>
      </c>
      <c r="I1977" s="1" t="s">
        <v>17</v>
      </c>
      <c r="J1977">
        <v>173</v>
      </c>
    </row>
    <row r="1978" spans="1:10" x14ac:dyDescent="0.25">
      <c r="A1978" s="1" t="s">
        <v>1876</v>
      </c>
      <c r="B1978" s="1" t="s">
        <v>293</v>
      </c>
      <c r="C1978" s="1" t="s">
        <v>41</v>
      </c>
      <c r="D1978">
        <v>45</v>
      </c>
      <c r="E1978">
        <v>0.05</v>
      </c>
      <c r="F1978" s="2">
        <v>44895</v>
      </c>
      <c r="G1978" s="2" t="str">
        <f>TEXT(LayoffsData[[#This Row],[date]],"yyyy-mm")</f>
        <v>2022-11</v>
      </c>
      <c r="H1978" s="1" t="s">
        <v>24</v>
      </c>
      <c r="I1978" s="1" t="s">
        <v>69</v>
      </c>
      <c r="J1978">
        <v>118</v>
      </c>
    </row>
    <row r="1979" spans="1:10" x14ac:dyDescent="0.25">
      <c r="A1979" s="1" t="s">
        <v>1877</v>
      </c>
      <c r="B1979" s="1" t="s">
        <v>9</v>
      </c>
      <c r="C1979" s="1" t="s">
        <v>149</v>
      </c>
      <c r="D1979">
        <v>34</v>
      </c>
      <c r="E1979">
        <v>0.19</v>
      </c>
      <c r="F1979" s="2">
        <v>44882</v>
      </c>
      <c r="G1979" s="2" t="str">
        <f>TEXT(LayoffsData[[#This Row],[date]],"yyyy-mm")</f>
        <v>2022-11</v>
      </c>
      <c r="H1979" s="1" t="s">
        <v>24</v>
      </c>
      <c r="I1979" s="1" t="s">
        <v>12</v>
      </c>
      <c r="J1979">
        <v>73</v>
      </c>
    </row>
    <row r="1980" spans="1:10" x14ac:dyDescent="0.25">
      <c r="A1980" s="1" t="s">
        <v>1878</v>
      </c>
      <c r="B1980" s="1" t="s">
        <v>1879</v>
      </c>
      <c r="C1980" s="1" t="s">
        <v>149</v>
      </c>
      <c r="D1980">
        <v>21</v>
      </c>
      <c r="F1980" s="2">
        <v>43973</v>
      </c>
      <c r="G1980" s="2" t="str">
        <f>TEXT(LayoffsData[[#This Row],[date]],"yyyy-mm")</f>
        <v>2020-05</v>
      </c>
      <c r="H1980" s="1" t="s">
        <v>37</v>
      </c>
      <c r="I1980" s="1" t="s">
        <v>22</v>
      </c>
    </row>
    <row r="1981" spans="1:10" x14ac:dyDescent="0.25">
      <c r="A1981" s="1" t="s">
        <v>1880</v>
      </c>
      <c r="B1981" s="1" t="s">
        <v>343</v>
      </c>
      <c r="C1981" s="1" t="s">
        <v>68</v>
      </c>
      <c r="F1981" s="2">
        <v>43929</v>
      </c>
      <c r="G1981" s="2" t="str">
        <f>TEXT(LayoffsData[[#This Row],[date]],"yyyy-mm")</f>
        <v>2020-04</v>
      </c>
      <c r="H1981" s="1" t="s">
        <v>37</v>
      </c>
      <c r="I1981" s="1" t="s">
        <v>140</v>
      </c>
      <c r="J1981">
        <v>1</v>
      </c>
    </row>
    <row r="1982" spans="1:10" x14ac:dyDescent="0.25">
      <c r="A1982" s="1" t="s">
        <v>1881</v>
      </c>
      <c r="B1982" s="1" t="s">
        <v>73</v>
      </c>
      <c r="C1982" s="1" t="s">
        <v>20</v>
      </c>
      <c r="D1982">
        <v>60</v>
      </c>
      <c r="E1982">
        <v>0.05</v>
      </c>
      <c r="F1982" s="2">
        <v>44903</v>
      </c>
      <c r="G1982" s="2" t="str">
        <f>TEXT(LayoffsData[[#This Row],[date]],"yyyy-mm")</f>
        <v>2022-12</v>
      </c>
      <c r="H1982" s="1" t="s">
        <v>11</v>
      </c>
      <c r="I1982" s="1" t="s">
        <v>17</v>
      </c>
      <c r="J1982">
        <v>115</v>
      </c>
    </row>
    <row r="1983" spans="1:10" x14ac:dyDescent="0.25">
      <c r="A1983" s="1" t="s">
        <v>1882</v>
      </c>
      <c r="B1983" s="1" t="s">
        <v>32</v>
      </c>
      <c r="C1983" s="1" t="s">
        <v>15</v>
      </c>
      <c r="D1983">
        <v>300</v>
      </c>
      <c r="E1983">
        <v>0.06</v>
      </c>
      <c r="F1983" s="2">
        <v>44944</v>
      </c>
      <c r="G1983" s="2" t="str">
        <f>TEXT(LayoffsData[[#This Row],[date]],"yyyy-mm")</f>
        <v>2023-01</v>
      </c>
      <c r="H1983" s="1" t="s">
        <v>11</v>
      </c>
      <c r="I1983" s="1" t="s">
        <v>17</v>
      </c>
      <c r="J1983">
        <v>172</v>
      </c>
    </row>
    <row r="1984" spans="1:10" x14ac:dyDescent="0.25">
      <c r="A1984" s="1" t="s">
        <v>1883</v>
      </c>
      <c r="B1984" s="1" t="s">
        <v>14</v>
      </c>
      <c r="C1984" s="1" t="s">
        <v>124</v>
      </c>
      <c r="D1984">
        <v>15</v>
      </c>
      <c r="E1984">
        <v>0.06</v>
      </c>
      <c r="F1984" s="2">
        <v>44743</v>
      </c>
      <c r="G1984" s="2" t="str">
        <f>TEXT(LayoffsData[[#This Row],[date]],"yyyy-mm")</f>
        <v>2022-07</v>
      </c>
      <c r="H1984" s="1" t="s">
        <v>28</v>
      </c>
      <c r="I1984" s="1" t="s">
        <v>17</v>
      </c>
      <c r="J1984">
        <v>169</v>
      </c>
    </row>
    <row r="1985" spans="1:10" x14ac:dyDescent="0.25">
      <c r="A1985" s="1" t="s">
        <v>1884</v>
      </c>
      <c r="B1985" s="1" t="s">
        <v>14</v>
      </c>
      <c r="C1985" s="1" t="s">
        <v>506</v>
      </c>
      <c r="F1985" s="2">
        <v>44837</v>
      </c>
      <c r="G1985" s="2" t="str">
        <f>TEXT(LayoffsData[[#This Row],[date]],"yyyy-mm")</f>
        <v>2022-10</v>
      </c>
      <c r="H1985" s="1" t="s">
        <v>28</v>
      </c>
      <c r="I1985" s="1" t="s">
        <v>17</v>
      </c>
      <c r="J1985">
        <v>298</v>
      </c>
    </row>
    <row r="1986" spans="1:10" x14ac:dyDescent="0.25">
      <c r="A1986" s="1" t="s">
        <v>1885</v>
      </c>
      <c r="B1986" s="1" t="s">
        <v>14</v>
      </c>
      <c r="C1986" s="1" t="s">
        <v>149</v>
      </c>
      <c r="D1986">
        <v>54</v>
      </c>
      <c r="F1986" s="2">
        <v>44790</v>
      </c>
      <c r="G1986" s="2" t="str">
        <f>TEXT(LayoffsData[[#This Row],[date]],"yyyy-mm")</f>
        <v>2022-08</v>
      </c>
      <c r="H1986" s="1" t="s">
        <v>28</v>
      </c>
      <c r="I1986" s="1" t="s">
        <v>17</v>
      </c>
      <c r="J1986">
        <v>74</v>
      </c>
    </row>
    <row r="1987" spans="1:10" x14ac:dyDescent="0.25">
      <c r="A1987" s="1" t="s">
        <v>1886</v>
      </c>
      <c r="B1987" s="1" t="s">
        <v>14</v>
      </c>
      <c r="C1987" s="1" t="s">
        <v>74</v>
      </c>
      <c r="F1987" s="2">
        <v>44711</v>
      </c>
      <c r="G1987" s="2" t="str">
        <f>TEXT(LayoffsData[[#This Row],[date]],"yyyy-mm")</f>
        <v>2022-05</v>
      </c>
      <c r="H1987" s="1" t="s">
        <v>37</v>
      </c>
      <c r="I1987" s="1" t="s">
        <v>17</v>
      </c>
      <c r="J1987">
        <v>36</v>
      </c>
    </row>
    <row r="1988" spans="1:10" x14ac:dyDescent="0.25">
      <c r="A1988" s="1" t="s">
        <v>1887</v>
      </c>
      <c r="B1988" s="1" t="s">
        <v>324</v>
      </c>
      <c r="C1988" s="1" t="s">
        <v>27</v>
      </c>
      <c r="F1988" s="2">
        <v>44880</v>
      </c>
      <c r="G1988" s="2" t="str">
        <f>TEXT(LayoffsData[[#This Row],[date]],"yyyy-mm")</f>
        <v>2022-11</v>
      </c>
      <c r="H1988" s="1" t="s">
        <v>11</v>
      </c>
      <c r="I1988" s="1" t="s">
        <v>296</v>
      </c>
      <c r="J1988">
        <v>12600</v>
      </c>
    </row>
    <row r="1989" spans="1:10" x14ac:dyDescent="0.25">
      <c r="A1989" s="1" t="s">
        <v>1887</v>
      </c>
      <c r="B1989" s="1" t="s">
        <v>324</v>
      </c>
      <c r="C1989" s="1" t="s">
        <v>27</v>
      </c>
      <c r="D1989">
        <v>300</v>
      </c>
      <c r="F1989" s="2">
        <v>44974</v>
      </c>
      <c r="G1989" s="2" t="str">
        <f>TEXT(LayoffsData[[#This Row],[date]],"yyyy-mm")</f>
        <v>2023-02</v>
      </c>
      <c r="H1989" s="1" t="s">
        <v>11</v>
      </c>
      <c r="I1989" s="1" t="s">
        <v>296</v>
      </c>
      <c r="J1989">
        <v>12600</v>
      </c>
    </row>
    <row r="1990" spans="1:10" x14ac:dyDescent="0.25">
      <c r="A1990" s="1" t="s">
        <v>1888</v>
      </c>
      <c r="B1990" s="1" t="s">
        <v>168</v>
      </c>
      <c r="C1990" s="1" t="s">
        <v>68</v>
      </c>
      <c r="F1990" s="2">
        <v>44963</v>
      </c>
      <c r="G1990" s="2" t="str">
        <f>TEXT(LayoffsData[[#This Row],[date]],"yyyy-mm")</f>
        <v>2023-02</v>
      </c>
      <c r="H1990" s="1" t="s">
        <v>131</v>
      </c>
      <c r="I1990" s="1" t="s">
        <v>170</v>
      </c>
      <c r="J1990">
        <v>6</v>
      </c>
    </row>
    <row r="1991" spans="1:10" x14ac:dyDescent="0.25">
      <c r="A1991" s="1" t="s">
        <v>1889</v>
      </c>
      <c r="B1991" s="1" t="s">
        <v>213</v>
      </c>
      <c r="C1991" s="1" t="s">
        <v>20</v>
      </c>
      <c r="F1991" s="2">
        <v>44708</v>
      </c>
      <c r="G1991" s="2" t="str">
        <f>TEXT(LayoffsData[[#This Row],[date]],"yyyy-mm")</f>
        <v>2022-05</v>
      </c>
      <c r="H1991" s="1" t="s">
        <v>28</v>
      </c>
      <c r="I1991" s="1" t="s">
        <v>17</v>
      </c>
      <c r="J1991">
        <v>120</v>
      </c>
    </row>
    <row r="1992" spans="1:10" x14ac:dyDescent="0.25">
      <c r="A1992" s="1" t="s">
        <v>1889</v>
      </c>
      <c r="B1992" s="1" t="s">
        <v>213</v>
      </c>
      <c r="C1992" s="1" t="s">
        <v>20</v>
      </c>
      <c r="F1992" s="2">
        <v>44708</v>
      </c>
      <c r="G1992" s="2" t="str">
        <f>TEXT(LayoffsData[[#This Row],[date]],"yyyy-mm")</f>
        <v>2022-05</v>
      </c>
      <c r="H1992" s="1" t="s">
        <v>37</v>
      </c>
      <c r="I1992" s="1" t="s">
        <v>17</v>
      </c>
      <c r="J1992">
        <v>192</v>
      </c>
    </row>
    <row r="1993" spans="1:10" x14ac:dyDescent="0.25">
      <c r="A1993" s="1" t="s">
        <v>1890</v>
      </c>
      <c r="B1993" s="1" t="s">
        <v>137</v>
      </c>
      <c r="C1993" s="1" t="s">
        <v>10</v>
      </c>
      <c r="E1993">
        <v>0.1</v>
      </c>
      <c r="F1993" s="2">
        <v>44715</v>
      </c>
      <c r="G1993" s="2" t="str">
        <f>TEXT(LayoffsData[[#This Row],[date]],"yyyy-mm")</f>
        <v>2022-06</v>
      </c>
      <c r="H1993" s="1" t="s">
        <v>11</v>
      </c>
      <c r="I1993" s="1" t="s">
        <v>17</v>
      </c>
      <c r="J1993">
        <v>20200</v>
      </c>
    </row>
    <row r="1994" spans="1:10" x14ac:dyDescent="0.25">
      <c r="A1994" s="1" t="s">
        <v>1891</v>
      </c>
      <c r="B1994" s="1" t="s">
        <v>55</v>
      </c>
      <c r="C1994" s="1" t="s">
        <v>165</v>
      </c>
      <c r="D1994">
        <v>30</v>
      </c>
      <c r="E1994">
        <v>0.2</v>
      </c>
      <c r="F1994" s="2">
        <v>43917</v>
      </c>
      <c r="G1994" s="2" t="str">
        <f>TEXT(LayoffsData[[#This Row],[date]],"yyyy-mm")</f>
        <v>2020-03</v>
      </c>
      <c r="H1994" s="1" t="s">
        <v>37</v>
      </c>
      <c r="I1994" s="1" t="s">
        <v>17</v>
      </c>
      <c r="J1994">
        <v>41</v>
      </c>
    </row>
    <row r="1995" spans="1:10" x14ac:dyDescent="0.25">
      <c r="A1995" s="1" t="s">
        <v>1892</v>
      </c>
      <c r="B1995" s="1" t="s">
        <v>186</v>
      </c>
      <c r="C1995" s="1" t="s">
        <v>27</v>
      </c>
      <c r="D1995">
        <v>22</v>
      </c>
      <c r="F1995" s="2">
        <v>44770</v>
      </c>
      <c r="G1995" s="2" t="str">
        <f>TEXT(LayoffsData[[#This Row],[date]],"yyyy-mm")</f>
        <v>2022-07</v>
      </c>
      <c r="H1995" s="1" t="s">
        <v>131</v>
      </c>
      <c r="I1995" s="1" t="s">
        <v>12</v>
      </c>
      <c r="J1995">
        <v>1</v>
      </c>
    </row>
    <row r="1996" spans="1:10" x14ac:dyDescent="0.25">
      <c r="A1996" s="1" t="s">
        <v>1893</v>
      </c>
      <c r="B1996" s="1" t="s">
        <v>1894</v>
      </c>
      <c r="C1996" s="1" t="s">
        <v>10</v>
      </c>
      <c r="F1996" s="2">
        <v>44050</v>
      </c>
      <c r="G1996" s="2" t="str">
        <f>TEXT(LayoffsData[[#This Row],[date]],"yyyy-mm")</f>
        <v>2020-08</v>
      </c>
      <c r="H1996" s="1" t="s">
        <v>131</v>
      </c>
      <c r="I1996" s="1" t="s">
        <v>1895</v>
      </c>
      <c r="J1996">
        <v>2</v>
      </c>
    </row>
    <row r="1997" spans="1:10" x14ac:dyDescent="0.25">
      <c r="A1997" s="1" t="s">
        <v>1896</v>
      </c>
      <c r="B1997" s="1" t="s">
        <v>14</v>
      </c>
      <c r="C1997" s="1" t="s">
        <v>63</v>
      </c>
      <c r="D1997">
        <v>46</v>
      </c>
      <c r="E1997">
        <v>0.08</v>
      </c>
      <c r="F1997" s="2">
        <v>43987</v>
      </c>
      <c r="G1997" s="2" t="str">
        <f>TEXT(LayoffsData[[#This Row],[date]],"yyyy-mm")</f>
        <v>2020-06</v>
      </c>
      <c r="H1997" s="1" t="s">
        <v>33</v>
      </c>
      <c r="I1997" s="1" t="s">
        <v>17</v>
      </c>
      <c r="J1997">
        <v>139</v>
      </c>
    </row>
    <row r="1998" spans="1:10" x14ac:dyDescent="0.25">
      <c r="A1998" s="1" t="s">
        <v>1897</v>
      </c>
      <c r="B1998" s="1" t="s">
        <v>73</v>
      </c>
      <c r="C1998" s="1" t="s">
        <v>29</v>
      </c>
      <c r="D1998">
        <v>40</v>
      </c>
      <c r="E1998">
        <v>1</v>
      </c>
      <c r="F1998" s="2">
        <v>44721</v>
      </c>
      <c r="G1998" s="2" t="str">
        <f>TEXT(LayoffsData[[#This Row],[date]],"yyyy-mm")</f>
        <v>2022-06</v>
      </c>
      <c r="H1998" s="1" t="s">
        <v>57</v>
      </c>
      <c r="I1998" s="1" t="s">
        <v>17</v>
      </c>
      <c r="J1998">
        <v>5</v>
      </c>
    </row>
    <row r="1999" spans="1:10" x14ac:dyDescent="0.25">
      <c r="A1999" s="1" t="s">
        <v>1898</v>
      </c>
      <c r="B1999" s="1" t="s">
        <v>137</v>
      </c>
      <c r="C1999" s="1" t="s">
        <v>84</v>
      </c>
      <c r="D1999">
        <v>38</v>
      </c>
      <c r="E1999">
        <v>0.22</v>
      </c>
      <c r="F1999" s="2">
        <v>43913</v>
      </c>
      <c r="G1999" s="2" t="str">
        <f>TEXT(LayoffsData[[#This Row],[date]],"yyyy-mm")</f>
        <v>2020-03</v>
      </c>
      <c r="H1999" s="1" t="s">
        <v>24</v>
      </c>
      <c r="I1999" s="1" t="s">
        <v>17</v>
      </c>
      <c r="J1999">
        <v>36</v>
      </c>
    </row>
    <row r="2000" spans="1:10" x14ac:dyDescent="0.25">
      <c r="A2000" s="1" t="s">
        <v>1899</v>
      </c>
      <c r="B2000" s="1" t="s">
        <v>44</v>
      </c>
      <c r="C2000" s="1" t="s">
        <v>29</v>
      </c>
      <c r="D2000">
        <v>69</v>
      </c>
      <c r="E2000">
        <v>0.06</v>
      </c>
      <c r="F2000" s="2">
        <v>44980</v>
      </c>
      <c r="G2000" s="2" t="str">
        <f>TEXT(LayoffsData[[#This Row],[date]],"yyyy-mm")</f>
        <v>2023-02</v>
      </c>
      <c r="H2000" s="1" t="s">
        <v>37</v>
      </c>
      <c r="I2000" s="1" t="s">
        <v>46</v>
      </c>
    </row>
    <row r="2001" spans="1:10" x14ac:dyDescent="0.25">
      <c r="A2001" s="1" t="s">
        <v>1900</v>
      </c>
      <c r="B2001" s="1" t="s">
        <v>244</v>
      </c>
      <c r="C2001" s="1" t="s">
        <v>29</v>
      </c>
      <c r="E2001">
        <v>1</v>
      </c>
      <c r="F2001" s="2">
        <v>43923</v>
      </c>
      <c r="G2001" s="2" t="str">
        <f>TEXT(LayoffsData[[#This Row],[date]],"yyyy-mm")</f>
        <v>2020-04</v>
      </c>
      <c r="H2001" s="1" t="s">
        <v>37</v>
      </c>
      <c r="I2001" s="1" t="s">
        <v>245</v>
      </c>
    </row>
    <row r="2002" spans="1:10" x14ac:dyDescent="0.25">
      <c r="A2002" s="1" t="s">
        <v>1901</v>
      </c>
      <c r="B2002" s="1" t="s">
        <v>76</v>
      </c>
      <c r="C2002" s="1" t="s">
        <v>147</v>
      </c>
      <c r="D2002">
        <v>54</v>
      </c>
      <c r="E2002">
        <v>0.15</v>
      </c>
      <c r="F2002" s="2">
        <v>44756</v>
      </c>
      <c r="G2002" s="2" t="str">
        <f>TEXT(LayoffsData[[#This Row],[date]],"yyyy-mm")</f>
        <v>2022-07</v>
      </c>
      <c r="H2002" s="1" t="s">
        <v>28</v>
      </c>
      <c r="I2002" s="1" t="s">
        <v>17</v>
      </c>
      <c r="J2002">
        <v>115</v>
      </c>
    </row>
    <row r="2003" spans="1:10" x14ac:dyDescent="0.25">
      <c r="A2003" s="1" t="s">
        <v>1902</v>
      </c>
      <c r="B2003" s="1" t="s">
        <v>32</v>
      </c>
      <c r="C2003" s="1" t="s">
        <v>165</v>
      </c>
      <c r="F2003" s="2">
        <v>43924</v>
      </c>
      <c r="G2003" s="2" t="str">
        <f>TEXT(LayoffsData[[#This Row],[date]],"yyyy-mm")</f>
        <v>2020-04</v>
      </c>
      <c r="H2003" s="1" t="s">
        <v>24</v>
      </c>
      <c r="I2003" s="1" t="s">
        <v>17</v>
      </c>
      <c r="J2003">
        <v>28</v>
      </c>
    </row>
    <row r="2004" spans="1:10" x14ac:dyDescent="0.25">
      <c r="A2004" s="1" t="s">
        <v>1903</v>
      </c>
      <c r="B2004" s="1" t="s">
        <v>370</v>
      </c>
      <c r="C2004" s="1" t="s">
        <v>147</v>
      </c>
      <c r="D2004">
        <v>13</v>
      </c>
      <c r="F2004" s="2">
        <v>44776</v>
      </c>
      <c r="G2004" s="2" t="str">
        <f>TEXT(LayoffsData[[#This Row],[date]],"yyyy-mm")</f>
        <v>2022-08</v>
      </c>
      <c r="H2004" s="1" t="s">
        <v>24</v>
      </c>
      <c r="I2004" s="1" t="s">
        <v>17</v>
      </c>
      <c r="J2004">
        <v>39</v>
      </c>
    </row>
    <row r="2005" spans="1:10" x14ac:dyDescent="0.25">
      <c r="A2005" s="1" t="s">
        <v>1904</v>
      </c>
      <c r="B2005" s="1" t="s">
        <v>73</v>
      </c>
      <c r="C2005" s="1" t="s">
        <v>147</v>
      </c>
      <c r="D2005">
        <v>40</v>
      </c>
      <c r="F2005" s="2">
        <v>44775</v>
      </c>
      <c r="G2005" s="2" t="str">
        <f>TEXT(LayoffsData[[#This Row],[date]],"yyyy-mm")</f>
        <v>2022-08</v>
      </c>
      <c r="H2005" s="1" t="s">
        <v>57</v>
      </c>
      <c r="I2005" s="1" t="s">
        <v>17</v>
      </c>
      <c r="J2005">
        <v>71</v>
      </c>
    </row>
    <row r="2006" spans="1:10" x14ac:dyDescent="0.25">
      <c r="A2006" s="1" t="s">
        <v>1904</v>
      </c>
      <c r="B2006" s="1" t="s">
        <v>73</v>
      </c>
      <c r="C2006" s="1" t="s">
        <v>147</v>
      </c>
      <c r="D2006">
        <v>59</v>
      </c>
      <c r="E2006">
        <v>0.25</v>
      </c>
      <c r="F2006" s="2">
        <v>43923</v>
      </c>
      <c r="G2006" s="2" t="str">
        <f>TEXT(LayoffsData[[#This Row],[date]],"yyyy-mm")</f>
        <v>2020-04</v>
      </c>
      <c r="H2006" s="1" t="s">
        <v>57</v>
      </c>
      <c r="I2006" s="1" t="s">
        <v>17</v>
      </c>
      <c r="J2006">
        <v>65</v>
      </c>
    </row>
    <row r="2007" spans="1:10" x14ac:dyDescent="0.25">
      <c r="A2007" s="1" t="s">
        <v>1905</v>
      </c>
      <c r="B2007" s="1" t="s">
        <v>14</v>
      </c>
      <c r="C2007" s="1" t="s">
        <v>29</v>
      </c>
      <c r="D2007">
        <v>230</v>
      </c>
      <c r="E2007">
        <v>7.0000000000000007E-2</v>
      </c>
      <c r="F2007" s="2">
        <v>44973</v>
      </c>
      <c r="G2007" s="2" t="str">
        <f>TEXT(LayoffsData[[#This Row],[date]],"yyyy-mm")</f>
        <v>2023-02</v>
      </c>
      <c r="H2007" s="1" t="s">
        <v>11</v>
      </c>
      <c r="I2007" s="1" t="s">
        <v>17</v>
      </c>
      <c r="J2007">
        <v>356</v>
      </c>
    </row>
    <row r="2008" spans="1:10" x14ac:dyDescent="0.25">
      <c r="A2008" s="1" t="s">
        <v>1905</v>
      </c>
      <c r="B2008" s="1" t="s">
        <v>14</v>
      </c>
      <c r="C2008" s="1" t="s">
        <v>29</v>
      </c>
      <c r="D2008">
        <v>235</v>
      </c>
      <c r="E2008">
        <v>0.1</v>
      </c>
      <c r="F2008" s="2">
        <v>43935</v>
      </c>
      <c r="G2008" s="2" t="str">
        <f>TEXT(LayoffsData[[#This Row],[date]],"yyyy-mm")</f>
        <v>2020-04</v>
      </c>
      <c r="H2008" s="1" t="s">
        <v>11</v>
      </c>
      <c r="I2008" s="1" t="s">
        <v>17</v>
      </c>
      <c r="J2008">
        <v>358</v>
      </c>
    </row>
    <row r="2009" spans="1:10" x14ac:dyDescent="0.25">
      <c r="A2009" s="1" t="s">
        <v>1906</v>
      </c>
      <c r="B2009" s="1" t="s">
        <v>32</v>
      </c>
      <c r="C2009" s="1" t="s">
        <v>29</v>
      </c>
      <c r="D2009">
        <v>20</v>
      </c>
      <c r="E2009">
        <v>0.25</v>
      </c>
      <c r="F2009" s="2">
        <v>43979</v>
      </c>
      <c r="G2009" s="2" t="str">
        <f>TEXT(LayoffsData[[#This Row],[date]],"yyyy-mm")</f>
        <v>2020-05</v>
      </c>
      <c r="H2009" s="1" t="s">
        <v>21</v>
      </c>
      <c r="I2009" s="1" t="s">
        <v>17</v>
      </c>
      <c r="J2009">
        <v>7</v>
      </c>
    </row>
    <row r="2010" spans="1:10" x14ac:dyDescent="0.25">
      <c r="A2010" s="1" t="s">
        <v>1907</v>
      </c>
      <c r="B2010" s="1" t="s">
        <v>32</v>
      </c>
      <c r="C2010" s="1" t="s">
        <v>174</v>
      </c>
      <c r="E2010">
        <v>0.5</v>
      </c>
      <c r="F2010" s="2">
        <v>43924</v>
      </c>
      <c r="G2010" s="2" t="str">
        <f>TEXT(LayoffsData[[#This Row],[date]],"yyyy-mm")</f>
        <v>2020-04</v>
      </c>
      <c r="H2010" s="1" t="s">
        <v>28</v>
      </c>
      <c r="I2010" s="1" t="s">
        <v>17</v>
      </c>
      <c r="J2010">
        <v>117</v>
      </c>
    </row>
    <row r="2011" spans="1:10" x14ac:dyDescent="0.25">
      <c r="A2011" s="1" t="s">
        <v>1907</v>
      </c>
      <c r="B2011" s="1" t="s">
        <v>32</v>
      </c>
      <c r="C2011" s="1" t="s">
        <v>174</v>
      </c>
      <c r="E2011">
        <v>1</v>
      </c>
      <c r="F2011" s="2">
        <v>44804</v>
      </c>
      <c r="G2011" s="2" t="str">
        <f>TEXT(LayoffsData[[#This Row],[date]],"yyyy-mm")</f>
        <v>2022-08</v>
      </c>
      <c r="H2011" s="1" t="s">
        <v>28</v>
      </c>
      <c r="I2011" s="1" t="s">
        <v>17</v>
      </c>
      <c r="J2011">
        <v>117</v>
      </c>
    </row>
    <row r="2012" spans="1:10" x14ac:dyDescent="0.25">
      <c r="A2012" s="1" t="s">
        <v>1907</v>
      </c>
      <c r="B2012" s="1" t="s">
        <v>32</v>
      </c>
      <c r="C2012" s="1" t="s">
        <v>174</v>
      </c>
      <c r="D2012">
        <v>56</v>
      </c>
      <c r="F2012" s="2">
        <v>44013</v>
      </c>
      <c r="G2012" s="2" t="str">
        <f>TEXT(LayoffsData[[#This Row],[date]],"yyyy-mm")</f>
        <v>2020-07</v>
      </c>
      <c r="H2012" s="1" t="s">
        <v>28</v>
      </c>
      <c r="I2012" s="1" t="s">
        <v>17</v>
      </c>
      <c r="J2012">
        <v>117</v>
      </c>
    </row>
    <row r="2013" spans="1:10" x14ac:dyDescent="0.25">
      <c r="A2013" s="1" t="s">
        <v>1908</v>
      </c>
      <c r="B2013" s="1" t="s">
        <v>137</v>
      </c>
      <c r="C2013" s="1" t="s">
        <v>68</v>
      </c>
      <c r="D2013">
        <v>40</v>
      </c>
      <c r="F2013" s="2">
        <v>44705</v>
      </c>
      <c r="G2013" s="2" t="str">
        <f>TEXT(LayoffsData[[#This Row],[date]],"yyyy-mm")</f>
        <v>2022-05</v>
      </c>
      <c r="H2013" s="1" t="s">
        <v>33</v>
      </c>
      <c r="I2013" s="1" t="s">
        <v>17</v>
      </c>
      <c r="J2013">
        <v>256</v>
      </c>
    </row>
    <row r="2014" spans="1:10" x14ac:dyDescent="0.25">
      <c r="A2014" s="1" t="s">
        <v>1908</v>
      </c>
      <c r="B2014" s="1" t="s">
        <v>137</v>
      </c>
      <c r="C2014" s="1" t="s">
        <v>68</v>
      </c>
      <c r="D2014">
        <v>50</v>
      </c>
      <c r="F2014" s="2">
        <v>44880</v>
      </c>
      <c r="G2014" s="2" t="str">
        <f>TEXT(LayoffsData[[#This Row],[date]],"yyyy-mm")</f>
        <v>2022-11</v>
      </c>
      <c r="H2014" s="1" t="s">
        <v>33</v>
      </c>
      <c r="I2014" s="1" t="s">
        <v>17</v>
      </c>
      <c r="J2014">
        <v>256</v>
      </c>
    </row>
    <row r="2015" spans="1:10" x14ac:dyDescent="0.25">
      <c r="A2015" s="1" t="s">
        <v>1909</v>
      </c>
      <c r="B2015" s="1" t="s">
        <v>32</v>
      </c>
      <c r="C2015" s="1" t="s">
        <v>63</v>
      </c>
      <c r="D2015">
        <v>17</v>
      </c>
      <c r="E2015">
        <v>0.1</v>
      </c>
      <c r="F2015" s="2">
        <v>44958</v>
      </c>
      <c r="G2015" s="2" t="str">
        <f>TEXT(LayoffsData[[#This Row],[date]],"yyyy-mm")</f>
        <v>2023-02</v>
      </c>
      <c r="H2015" s="1" t="s">
        <v>28</v>
      </c>
      <c r="I2015" s="1" t="s">
        <v>17</v>
      </c>
      <c r="J2015">
        <v>28</v>
      </c>
    </row>
    <row r="2016" spans="1:10" x14ac:dyDescent="0.25">
      <c r="A2016" s="1" t="s">
        <v>1909</v>
      </c>
      <c r="B2016" s="1" t="s">
        <v>32</v>
      </c>
      <c r="C2016" s="1" t="s">
        <v>63</v>
      </c>
      <c r="D2016">
        <v>26</v>
      </c>
      <c r="E2016">
        <v>0.2</v>
      </c>
      <c r="F2016" s="2">
        <v>43952</v>
      </c>
      <c r="G2016" s="2" t="str">
        <f>TEXT(LayoffsData[[#This Row],[date]],"yyyy-mm")</f>
        <v>2020-05</v>
      </c>
      <c r="H2016" s="1" t="s">
        <v>28</v>
      </c>
      <c r="I2016" s="1" t="s">
        <v>17</v>
      </c>
      <c r="J2016">
        <v>28</v>
      </c>
    </row>
    <row r="2017" spans="1:10" x14ac:dyDescent="0.25">
      <c r="A2017" s="1" t="s">
        <v>1910</v>
      </c>
      <c r="B2017" s="1" t="s">
        <v>26</v>
      </c>
      <c r="C2017" s="1" t="s">
        <v>63</v>
      </c>
      <c r="F2017" s="2">
        <v>44103</v>
      </c>
      <c r="G2017" s="2" t="str">
        <f>TEXT(LayoffsData[[#This Row],[date]],"yyyy-mm")</f>
        <v>2020-09</v>
      </c>
      <c r="H2017" s="1" t="s">
        <v>24</v>
      </c>
      <c r="I2017" s="1" t="s">
        <v>17</v>
      </c>
      <c r="J2017">
        <v>4</v>
      </c>
    </row>
    <row r="2018" spans="1:10" x14ac:dyDescent="0.25">
      <c r="A2018" s="1" t="s">
        <v>1911</v>
      </c>
      <c r="B2018" s="1" t="s">
        <v>32</v>
      </c>
      <c r="C2018" s="1" t="s">
        <v>513</v>
      </c>
      <c r="D2018">
        <v>20</v>
      </c>
      <c r="E2018">
        <v>0.33</v>
      </c>
      <c r="F2018" s="2">
        <v>44747</v>
      </c>
      <c r="G2018" s="2" t="str">
        <f>TEXT(LayoffsData[[#This Row],[date]],"yyyy-mm")</f>
        <v>2022-07</v>
      </c>
      <c r="H2018" s="1" t="s">
        <v>21</v>
      </c>
      <c r="I2018" s="1" t="s">
        <v>17</v>
      </c>
      <c r="J2018">
        <v>28</v>
      </c>
    </row>
    <row r="2019" spans="1:10" x14ac:dyDescent="0.25">
      <c r="A2019" s="1" t="s">
        <v>1912</v>
      </c>
      <c r="B2019" s="1" t="s">
        <v>60</v>
      </c>
      <c r="C2019" s="1" t="s">
        <v>41</v>
      </c>
      <c r="F2019" s="2">
        <v>44900</v>
      </c>
      <c r="G2019" s="2" t="str">
        <f>TEXT(LayoffsData[[#This Row],[date]],"yyyy-mm")</f>
        <v>2022-12</v>
      </c>
      <c r="H2019" s="1" t="s">
        <v>11</v>
      </c>
      <c r="I2019" s="1" t="s">
        <v>12</v>
      </c>
      <c r="J2019">
        <v>22</v>
      </c>
    </row>
    <row r="2020" spans="1:10" x14ac:dyDescent="0.25">
      <c r="A2020" s="1" t="s">
        <v>1912</v>
      </c>
      <c r="B2020" s="1" t="s">
        <v>60</v>
      </c>
      <c r="C2020" s="1" t="s">
        <v>41</v>
      </c>
      <c r="D2020">
        <v>76</v>
      </c>
      <c r="E2020">
        <v>0.19</v>
      </c>
      <c r="F2020" s="2">
        <v>44936</v>
      </c>
      <c r="G2020" s="2" t="str">
        <f>TEXT(LayoffsData[[#This Row],[date]],"yyyy-mm")</f>
        <v>2023-01</v>
      </c>
      <c r="H2020" s="1" t="s">
        <v>11</v>
      </c>
      <c r="I2020" s="1" t="s">
        <v>12</v>
      </c>
      <c r="J2020">
        <v>22</v>
      </c>
    </row>
    <row r="2021" spans="1:10" x14ac:dyDescent="0.25">
      <c r="A2021" s="1" t="s">
        <v>1912</v>
      </c>
      <c r="B2021" s="1" t="s">
        <v>60</v>
      </c>
      <c r="C2021" s="1" t="s">
        <v>41</v>
      </c>
      <c r="D2021">
        <v>100</v>
      </c>
      <c r="E2021">
        <v>0.2</v>
      </c>
      <c r="F2021" s="2">
        <v>44649</v>
      </c>
      <c r="G2021" s="2" t="str">
        <f>TEXT(LayoffsData[[#This Row],[date]],"yyyy-mm")</f>
        <v>2022-03</v>
      </c>
      <c r="H2021" s="1" t="s">
        <v>11</v>
      </c>
      <c r="I2021" s="1" t="s">
        <v>12</v>
      </c>
      <c r="J2021">
        <v>22</v>
      </c>
    </row>
    <row r="2022" spans="1:10" x14ac:dyDescent="0.25">
      <c r="A2022" s="1" t="s">
        <v>1913</v>
      </c>
      <c r="B2022" s="1" t="s">
        <v>32</v>
      </c>
      <c r="C2022" s="1" t="s">
        <v>29</v>
      </c>
      <c r="D2022">
        <v>10</v>
      </c>
      <c r="F2022" s="2">
        <v>43917</v>
      </c>
      <c r="G2022" s="2" t="str">
        <f>TEXT(LayoffsData[[#This Row],[date]],"yyyy-mm")</f>
        <v>2020-03</v>
      </c>
      <c r="H2022" s="1" t="s">
        <v>24</v>
      </c>
      <c r="I2022" s="1" t="s">
        <v>17</v>
      </c>
      <c r="J2022">
        <v>68</v>
      </c>
    </row>
    <row r="2023" spans="1:10" x14ac:dyDescent="0.25">
      <c r="A2023" s="1" t="s">
        <v>1913</v>
      </c>
      <c r="B2023" s="1" t="s">
        <v>14</v>
      </c>
      <c r="C2023" s="1" t="s">
        <v>29</v>
      </c>
      <c r="D2023">
        <v>65</v>
      </c>
      <c r="E2023">
        <v>0.3</v>
      </c>
      <c r="F2023" s="2">
        <v>43923</v>
      </c>
      <c r="G2023" s="2" t="str">
        <f>TEXT(LayoffsData[[#This Row],[date]],"yyyy-mm")</f>
        <v>2020-04</v>
      </c>
      <c r="H2023" s="1" t="s">
        <v>24</v>
      </c>
      <c r="I2023" s="1" t="s">
        <v>17</v>
      </c>
      <c r="J2023">
        <v>68</v>
      </c>
    </row>
    <row r="2024" spans="1:10" x14ac:dyDescent="0.25">
      <c r="A2024" s="1" t="s">
        <v>1914</v>
      </c>
      <c r="B2024" s="1" t="s">
        <v>32</v>
      </c>
      <c r="C2024" s="1" t="s">
        <v>15</v>
      </c>
      <c r="E2024">
        <v>0.1</v>
      </c>
      <c r="F2024" s="2">
        <v>44791</v>
      </c>
      <c r="G2024" s="2" t="str">
        <f>TEXT(LayoffsData[[#This Row],[date]],"yyyy-mm")</f>
        <v>2022-08</v>
      </c>
      <c r="H2024" s="1" t="s">
        <v>28</v>
      </c>
      <c r="I2024" s="1" t="s">
        <v>17</v>
      </c>
      <c r="J2024">
        <v>209</v>
      </c>
    </row>
    <row r="2025" spans="1:10" x14ac:dyDescent="0.25">
      <c r="A2025" s="1" t="s">
        <v>1914</v>
      </c>
      <c r="B2025" s="1" t="s">
        <v>32</v>
      </c>
      <c r="C2025" s="1" t="s">
        <v>15</v>
      </c>
      <c r="D2025">
        <v>24</v>
      </c>
      <c r="F2025" s="2">
        <v>44695</v>
      </c>
      <c r="G2025" s="2" t="str">
        <f>TEXT(LayoffsData[[#This Row],[date]],"yyyy-mm")</f>
        <v>2022-05</v>
      </c>
      <c r="H2025" s="1" t="s">
        <v>57</v>
      </c>
      <c r="I2025" s="1" t="s">
        <v>17</v>
      </c>
      <c r="J2025">
        <v>209</v>
      </c>
    </row>
    <row r="2026" spans="1:10" x14ac:dyDescent="0.25">
      <c r="A2026" s="1" t="s">
        <v>1915</v>
      </c>
      <c r="B2026" s="1" t="s">
        <v>14</v>
      </c>
      <c r="C2026" s="1" t="s">
        <v>74</v>
      </c>
      <c r="F2026" s="2">
        <v>43957</v>
      </c>
      <c r="G2026" s="2" t="str">
        <f>TEXT(LayoffsData[[#This Row],[date]],"yyyy-mm")</f>
        <v>2020-05</v>
      </c>
      <c r="H2026" s="1" t="s">
        <v>16</v>
      </c>
      <c r="I2026" s="1" t="s">
        <v>17</v>
      </c>
      <c r="J2026">
        <v>743</v>
      </c>
    </row>
    <row r="2027" spans="1:10" x14ac:dyDescent="0.25">
      <c r="A2027" s="1" t="s">
        <v>1916</v>
      </c>
      <c r="B2027" s="1" t="s">
        <v>76</v>
      </c>
      <c r="C2027" s="1" t="s">
        <v>149</v>
      </c>
      <c r="D2027">
        <v>500</v>
      </c>
      <c r="E2027">
        <v>0.04</v>
      </c>
      <c r="F2027" s="2">
        <v>44986</v>
      </c>
      <c r="G2027" s="2" t="str">
        <f>TEXT(LayoffsData[[#This Row],[date]],"yyyy-mm")</f>
        <v>2023-03</v>
      </c>
      <c r="H2027" s="1" t="s">
        <v>11</v>
      </c>
      <c r="I2027" s="1" t="s">
        <v>17</v>
      </c>
      <c r="J2027">
        <v>748</v>
      </c>
    </row>
    <row r="2028" spans="1:10" x14ac:dyDescent="0.25">
      <c r="A2028" s="1" t="s">
        <v>1917</v>
      </c>
      <c r="B2028" s="1" t="s">
        <v>73</v>
      </c>
      <c r="C2028" s="1" t="s">
        <v>29</v>
      </c>
      <c r="F2028" s="2">
        <v>44683</v>
      </c>
      <c r="G2028" s="2" t="str">
        <f>TEXT(LayoffsData[[#This Row],[date]],"yyyy-mm")</f>
        <v>2022-05</v>
      </c>
      <c r="H2028" s="1" t="s">
        <v>37</v>
      </c>
      <c r="I2028" s="1" t="s">
        <v>17</v>
      </c>
      <c r="J2028">
        <v>3400</v>
      </c>
    </row>
    <row r="2029" spans="1:10" x14ac:dyDescent="0.25">
      <c r="A2029" s="1" t="s">
        <v>1918</v>
      </c>
      <c r="B2029" s="1" t="s">
        <v>200</v>
      </c>
      <c r="C2029" s="1" t="s">
        <v>29</v>
      </c>
      <c r="D2029">
        <v>30</v>
      </c>
      <c r="E2029">
        <v>0.5</v>
      </c>
      <c r="F2029" s="2">
        <v>44895</v>
      </c>
      <c r="G2029" s="2" t="str">
        <f>TEXT(LayoffsData[[#This Row],[date]],"yyyy-mm")</f>
        <v>2022-11</v>
      </c>
      <c r="H2029" s="1" t="s">
        <v>57</v>
      </c>
      <c r="I2029" s="1" t="s">
        <v>201</v>
      </c>
      <c r="J2029">
        <v>40</v>
      </c>
    </row>
    <row r="2030" spans="1:10" x14ac:dyDescent="0.25">
      <c r="A2030" s="1" t="s">
        <v>1919</v>
      </c>
      <c r="B2030" s="1" t="s">
        <v>76</v>
      </c>
      <c r="C2030" s="1" t="s">
        <v>29</v>
      </c>
      <c r="E2030">
        <v>0.15</v>
      </c>
      <c r="F2030" s="2">
        <v>44788</v>
      </c>
      <c r="G2030" s="2" t="str">
        <f>TEXT(LayoffsData[[#This Row],[date]],"yyyy-mm")</f>
        <v>2022-08</v>
      </c>
      <c r="H2030" s="1" t="s">
        <v>11</v>
      </c>
      <c r="I2030" s="1" t="s">
        <v>17</v>
      </c>
      <c r="J2030">
        <v>305</v>
      </c>
    </row>
    <row r="2031" spans="1:10" x14ac:dyDescent="0.25">
      <c r="A2031" s="1" t="s">
        <v>1919</v>
      </c>
      <c r="B2031" s="1" t="s">
        <v>76</v>
      </c>
      <c r="C2031" s="1" t="s">
        <v>29</v>
      </c>
      <c r="D2031">
        <v>243</v>
      </c>
      <c r="F2031" s="2">
        <v>44236</v>
      </c>
      <c r="G2031" s="2" t="str">
        <f>TEXT(LayoffsData[[#This Row],[date]],"yyyy-mm")</f>
        <v>2021-02</v>
      </c>
      <c r="H2031" s="1" t="s">
        <v>86</v>
      </c>
      <c r="I2031" s="1" t="s">
        <v>17</v>
      </c>
      <c r="J2031">
        <v>305</v>
      </c>
    </row>
    <row r="2032" spans="1:10" x14ac:dyDescent="0.25">
      <c r="A2032" s="1" t="s">
        <v>1920</v>
      </c>
      <c r="B2032" s="1" t="s">
        <v>9</v>
      </c>
      <c r="C2032" s="1" t="s">
        <v>51</v>
      </c>
      <c r="D2032">
        <v>75</v>
      </c>
      <c r="E2032">
        <v>0.5</v>
      </c>
      <c r="F2032" s="2">
        <v>44049</v>
      </c>
      <c r="G2032" s="2" t="str">
        <f>TEXT(LayoffsData[[#This Row],[date]],"yyyy-mm")</f>
        <v>2020-08</v>
      </c>
      <c r="H2032" s="1" t="s">
        <v>24</v>
      </c>
      <c r="I2032" s="1" t="s">
        <v>12</v>
      </c>
      <c r="J2032">
        <v>53</v>
      </c>
    </row>
    <row r="2033" spans="1:10" x14ac:dyDescent="0.25">
      <c r="A2033" s="1" t="s">
        <v>1921</v>
      </c>
      <c r="B2033" s="1" t="s">
        <v>14</v>
      </c>
      <c r="C2033" s="1" t="s">
        <v>27</v>
      </c>
      <c r="D2033">
        <v>160</v>
      </c>
      <c r="E2033">
        <v>0.14000000000000001</v>
      </c>
      <c r="F2033" s="2">
        <v>44908</v>
      </c>
      <c r="G2033" s="2" t="str">
        <f>TEXT(LayoffsData[[#This Row],[date]],"yyyy-mm")</f>
        <v>2022-12</v>
      </c>
      <c r="H2033" s="1" t="s">
        <v>904</v>
      </c>
      <c r="I2033" s="1" t="s">
        <v>17</v>
      </c>
      <c r="J2033">
        <v>698</v>
      </c>
    </row>
    <row r="2034" spans="1:10" x14ac:dyDescent="0.25">
      <c r="A2034" s="1" t="s">
        <v>1921</v>
      </c>
      <c r="B2034" s="1" t="s">
        <v>14</v>
      </c>
      <c r="C2034" s="1" t="s">
        <v>27</v>
      </c>
      <c r="D2034">
        <v>250</v>
      </c>
      <c r="E2034">
        <v>0.3</v>
      </c>
      <c r="F2034" s="2">
        <v>43920</v>
      </c>
      <c r="G2034" s="2" t="str">
        <f>TEXT(LayoffsData[[#This Row],[date]],"yyyy-mm")</f>
        <v>2020-03</v>
      </c>
      <c r="H2034" s="1" t="s">
        <v>86</v>
      </c>
      <c r="I2034" s="1" t="s">
        <v>17</v>
      </c>
      <c r="J2034">
        <v>423</v>
      </c>
    </row>
    <row r="2035" spans="1:10" x14ac:dyDescent="0.25">
      <c r="A2035" s="1" t="s">
        <v>1922</v>
      </c>
      <c r="B2035" s="1" t="s">
        <v>14</v>
      </c>
      <c r="C2035" s="1" t="s">
        <v>15</v>
      </c>
      <c r="D2035">
        <v>18</v>
      </c>
      <c r="E2035">
        <v>0.4</v>
      </c>
      <c r="F2035" s="2">
        <v>44152</v>
      </c>
      <c r="G2035" s="2" t="str">
        <f>TEXT(LayoffsData[[#This Row],[date]],"yyyy-mm")</f>
        <v>2020-11</v>
      </c>
      <c r="H2035" s="1" t="s">
        <v>37</v>
      </c>
      <c r="I2035" s="1" t="s">
        <v>17</v>
      </c>
    </row>
    <row r="2036" spans="1:10" x14ac:dyDescent="0.25">
      <c r="A2036" s="1" t="s">
        <v>1923</v>
      </c>
      <c r="B2036" s="1" t="s">
        <v>387</v>
      </c>
      <c r="C2036" s="1" t="s">
        <v>20</v>
      </c>
      <c r="D2036">
        <v>50</v>
      </c>
      <c r="E2036">
        <v>0.05</v>
      </c>
      <c r="F2036" s="2">
        <v>44851</v>
      </c>
      <c r="G2036" s="2" t="str">
        <f>TEXT(LayoffsData[[#This Row],[date]],"yyyy-mm")</f>
        <v>2022-10</v>
      </c>
      <c r="H2036" s="1" t="s">
        <v>37</v>
      </c>
      <c r="I2036" s="1" t="s">
        <v>388</v>
      </c>
    </row>
    <row r="2037" spans="1:10" x14ac:dyDescent="0.25">
      <c r="A2037" s="1" t="s">
        <v>1924</v>
      </c>
      <c r="B2037" s="1" t="s">
        <v>79</v>
      </c>
      <c r="C2037" s="1" t="s">
        <v>10</v>
      </c>
      <c r="D2037">
        <v>80</v>
      </c>
      <c r="E2037">
        <v>7.0000000000000007E-2</v>
      </c>
      <c r="F2037" s="2">
        <v>44951</v>
      </c>
      <c r="G2037" s="2" t="str">
        <f>TEXT(LayoffsData[[#This Row],[date]],"yyyy-mm")</f>
        <v>2023-01</v>
      </c>
      <c r="H2037" s="1" t="s">
        <v>33</v>
      </c>
      <c r="I2037" s="1" t="s">
        <v>80</v>
      </c>
      <c r="J2037">
        <v>646</v>
      </c>
    </row>
    <row r="2038" spans="1:10" x14ac:dyDescent="0.25">
      <c r="A2038" s="1" t="s">
        <v>1924</v>
      </c>
      <c r="B2038" s="1" t="s">
        <v>79</v>
      </c>
      <c r="C2038" s="1" t="s">
        <v>10</v>
      </c>
      <c r="D2038">
        <v>180</v>
      </c>
      <c r="E2038">
        <v>0.16</v>
      </c>
      <c r="F2038" s="2">
        <v>44796</v>
      </c>
      <c r="G2038" s="2" t="str">
        <f>TEXT(LayoffsData[[#This Row],[date]],"yyyy-mm")</f>
        <v>2022-08</v>
      </c>
      <c r="H2038" s="1" t="s">
        <v>33</v>
      </c>
      <c r="I2038" s="1" t="s">
        <v>80</v>
      </c>
      <c r="J2038">
        <v>646</v>
      </c>
    </row>
    <row r="2039" spans="1:10" x14ac:dyDescent="0.25">
      <c r="A2039" s="1" t="s">
        <v>1925</v>
      </c>
      <c r="B2039" s="1" t="s">
        <v>232</v>
      </c>
      <c r="C2039" s="1" t="s">
        <v>36</v>
      </c>
      <c r="D2039">
        <v>24</v>
      </c>
      <c r="E2039">
        <v>0.1</v>
      </c>
      <c r="F2039" s="2">
        <v>44726</v>
      </c>
      <c r="G2039" s="2" t="str">
        <f>TEXT(LayoffsData[[#This Row],[date]],"yyyy-mm")</f>
        <v>2022-06</v>
      </c>
      <c r="H2039" s="1" t="s">
        <v>33</v>
      </c>
      <c r="I2039" s="1" t="s">
        <v>17</v>
      </c>
      <c r="J2039">
        <v>204</v>
      </c>
    </row>
    <row r="2040" spans="1:10" x14ac:dyDescent="0.25">
      <c r="A2040" s="1" t="s">
        <v>1926</v>
      </c>
      <c r="B2040" s="1" t="s">
        <v>26</v>
      </c>
      <c r="C2040" s="1" t="s">
        <v>27</v>
      </c>
      <c r="F2040" s="2">
        <v>44946</v>
      </c>
      <c r="G2040" s="2" t="str">
        <f>TEXT(LayoffsData[[#This Row],[date]],"yyyy-mm")</f>
        <v>2023-01</v>
      </c>
      <c r="H2040" s="1" t="s">
        <v>57</v>
      </c>
      <c r="I2040" s="1" t="s">
        <v>17</v>
      </c>
    </row>
    <row r="2041" spans="1:10" x14ac:dyDescent="0.25">
      <c r="A2041" s="1" t="s">
        <v>1926</v>
      </c>
      <c r="B2041" s="1" t="s">
        <v>26</v>
      </c>
      <c r="C2041" s="1" t="s">
        <v>27</v>
      </c>
      <c r="F2041" s="2">
        <v>44760</v>
      </c>
      <c r="G2041" s="2" t="str">
        <f>TEXT(LayoffsData[[#This Row],[date]],"yyyy-mm")</f>
        <v>2022-07</v>
      </c>
      <c r="H2041" s="1" t="s">
        <v>57</v>
      </c>
      <c r="I2041" s="1" t="s">
        <v>17</v>
      </c>
    </row>
    <row r="2042" spans="1:10" x14ac:dyDescent="0.25">
      <c r="A2042" s="1" t="s">
        <v>1927</v>
      </c>
      <c r="B2042" s="1" t="s">
        <v>67</v>
      </c>
      <c r="C2042" s="1" t="s">
        <v>27</v>
      </c>
      <c r="D2042">
        <v>40</v>
      </c>
      <c r="F2042" s="2">
        <v>44967</v>
      </c>
      <c r="G2042" s="2" t="str">
        <f>TEXT(LayoffsData[[#This Row],[date]],"yyyy-mm")</f>
        <v>2023-02</v>
      </c>
      <c r="H2042" s="1" t="s">
        <v>57</v>
      </c>
      <c r="I2042" s="1" t="s">
        <v>69</v>
      </c>
      <c r="J2042">
        <v>9400</v>
      </c>
    </row>
    <row r="2043" spans="1:10" x14ac:dyDescent="0.25">
      <c r="A2043" s="1" t="s">
        <v>1928</v>
      </c>
      <c r="B2043" s="1" t="s">
        <v>44</v>
      </c>
      <c r="C2043" s="1" t="s">
        <v>68</v>
      </c>
      <c r="D2043">
        <v>120</v>
      </c>
      <c r="F2043" s="2">
        <v>44936</v>
      </c>
      <c r="G2043" s="2" t="str">
        <f>TEXT(LayoffsData[[#This Row],[date]],"yyyy-mm")</f>
        <v>2023-01</v>
      </c>
      <c r="H2043" s="1" t="s">
        <v>28</v>
      </c>
      <c r="I2043" s="1" t="s">
        <v>46</v>
      </c>
      <c r="J2043">
        <v>95</v>
      </c>
    </row>
    <row r="2044" spans="1:10" x14ac:dyDescent="0.25">
      <c r="A2044" s="1" t="s">
        <v>1929</v>
      </c>
      <c r="B2044" s="1" t="s">
        <v>32</v>
      </c>
      <c r="C2044" s="1" t="s">
        <v>27</v>
      </c>
      <c r="D2044">
        <v>60</v>
      </c>
      <c r="E2044">
        <v>0.14000000000000001</v>
      </c>
      <c r="F2044" s="2">
        <v>44957</v>
      </c>
      <c r="G2044" s="2" t="str">
        <f>TEXT(LayoffsData[[#This Row],[date]],"yyyy-mm")</f>
        <v>2023-01</v>
      </c>
      <c r="H2044" s="1" t="s">
        <v>37</v>
      </c>
      <c r="I2044" s="1" t="s">
        <v>17</v>
      </c>
      <c r="J2044">
        <v>235</v>
      </c>
    </row>
    <row r="2045" spans="1:10" x14ac:dyDescent="0.25">
      <c r="A2045" s="1" t="s">
        <v>1930</v>
      </c>
      <c r="B2045" s="1" t="s">
        <v>14</v>
      </c>
      <c r="C2045" s="1" t="s">
        <v>68</v>
      </c>
      <c r="D2045">
        <v>123</v>
      </c>
      <c r="E2045">
        <v>0.11</v>
      </c>
      <c r="F2045" s="2">
        <v>44937</v>
      </c>
      <c r="G2045" s="2" t="str">
        <f>TEXT(LayoffsData[[#This Row],[date]],"yyyy-mm")</f>
        <v>2023-01</v>
      </c>
      <c r="H2045" s="1" t="s">
        <v>86</v>
      </c>
      <c r="I2045" s="1" t="s">
        <v>17</v>
      </c>
      <c r="J2045">
        <v>565</v>
      </c>
    </row>
    <row r="2046" spans="1:10" x14ac:dyDescent="0.25">
      <c r="A2046" s="1" t="s">
        <v>1931</v>
      </c>
      <c r="B2046" s="1" t="s">
        <v>73</v>
      </c>
      <c r="C2046" s="1" t="s">
        <v>51</v>
      </c>
      <c r="D2046">
        <v>1300</v>
      </c>
      <c r="E2046">
        <v>0.5</v>
      </c>
      <c r="F2046" s="2">
        <v>43928</v>
      </c>
      <c r="G2046" s="2" t="str">
        <f>TEXT(LayoffsData[[#This Row],[date]],"yyyy-mm")</f>
        <v>2020-04</v>
      </c>
      <c r="H2046" s="1" t="s">
        <v>86</v>
      </c>
      <c r="I2046" s="1" t="s">
        <v>17</v>
      </c>
      <c r="J2046">
        <v>902</v>
      </c>
    </row>
    <row r="2047" spans="1:10" x14ac:dyDescent="0.25">
      <c r="A2047" s="1" t="s">
        <v>1932</v>
      </c>
      <c r="B2047" s="1" t="s">
        <v>658</v>
      </c>
      <c r="C2047" s="1" t="s">
        <v>68</v>
      </c>
      <c r="D2047">
        <v>44</v>
      </c>
      <c r="E2047">
        <v>0.33</v>
      </c>
      <c r="F2047" s="2">
        <v>44712</v>
      </c>
      <c r="G2047" s="2" t="str">
        <f>TEXT(LayoffsData[[#This Row],[date]],"yyyy-mm")</f>
        <v>2022-05</v>
      </c>
      <c r="H2047" s="1" t="s">
        <v>21</v>
      </c>
      <c r="I2047" s="1" t="s">
        <v>17</v>
      </c>
      <c r="J2047">
        <v>110</v>
      </c>
    </row>
    <row r="2048" spans="1:10" x14ac:dyDescent="0.25">
      <c r="A2048" s="1" t="s">
        <v>1933</v>
      </c>
      <c r="B2048" s="1" t="s">
        <v>783</v>
      </c>
      <c r="C2048" s="1" t="s">
        <v>68</v>
      </c>
      <c r="D2048">
        <v>30</v>
      </c>
      <c r="E2048">
        <v>0.25</v>
      </c>
      <c r="F2048" s="2">
        <v>44911</v>
      </c>
      <c r="G2048" s="2" t="str">
        <f>TEXT(LayoffsData[[#This Row],[date]],"yyyy-mm")</f>
        <v>2022-12</v>
      </c>
      <c r="H2048" s="1" t="s">
        <v>37</v>
      </c>
      <c r="I2048" s="1" t="s">
        <v>80</v>
      </c>
      <c r="J2048">
        <v>29</v>
      </c>
    </row>
    <row r="2049" spans="1:10" x14ac:dyDescent="0.25">
      <c r="A2049" s="1" t="s">
        <v>1934</v>
      </c>
      <c r="B2049" s="1" t="s">
        <v>349</v>
      </c>
      <c r="C2049" s="1" t="s">
        <v>10</v>
      </c>
      <c r="D2049">
        <v>500</v>
      </c>
      <c r="E2049">
        <v>0.1</v>
      </c>
      <c r="F2049" s="2">
        <v>44713</v>
      </c>
      <c r="G2049" s="2" t="str">
        <f>TEXT(LayoffsData[[#This Row],[date]],"yyyy-mm")</f>
        <v>2022-06</v>
      </c>
      <c r="H2049" s="1" t="s">
        <v>11</v>
      </c>
      <c r="I2049" s="1" t="s">
        <v>350</v>
      </c>
    </row>
    <row r="2050" spans="1:10" x14ac:dyDescent="0.25">
      <c r="A2050" s="1" t="s">
        <v>1935</v>
      </c>
      <c r="B2050" s="1" t="s">
        <v>14</v>
      </c>
      <c r="C2050" s="1" t="s">
        <v>506</v>
      </c>
      <c r="D2050">
        <v>262</v>
      </c>
      <c r="E2050">
        <v>0.35</v>
      </c>
      <c r="F2050" s="2">
        <v>44755</v>
      </c>
      <c r="G2050" s="2" t="str">
        <f>TEXT(LayoffsData[[#This Row],[date]],"yyyy-mm")</f>
        <v>2022-07</v>
      </c>
      <c r="H2050" s="1" t="s">
        <v>16</v>
      </c>
      <c r="I2050" s="1" t="s">
        <v>17</v>
      </c>
      <c r="J2050">
        <v>450</v>
      </c>
    </row>
    <row r="2051" spans="1:10" x14ac:dyDescent="0.25">
      <c r="A2051" s="1" t="s">
        <v>1936</v>
      </c>
      <c r="B2051" s="1" t="s">
        <v>14</v>
      </c>
      <c r="C2051" s="1" t="s">
        <v>149</v>
      </c>
      <c r="D2051">
        <v>23</v>
      </c>
      <c r="E2051">
        <v>0.23</v>
      </c>
      <c r="F2051" s="2">
        <v>44727</v>
      </c>
      <c r="G2051" s="2" t="str">
        <f>TEXT(LayoffsData[[#This Row],[date]],"yyyy-mm")</f>
        <v>2022-06</v>
      </c>
      <c r="H2051" s="1" t="s">
        <v>24</v>
      </c>
      <c r="I2051" s="1" t="s">
        <v>17</v>
      </c>
      <c r="J2051">
        <v>83</v>
      </c>
    </row>
    <row r="2052" spans="1:10" x14ac:dyDescent="0.25">
      <c r="A2052" s="1" t="s">
        <v>1937</v>
      </c>
      <c r="B2052" s="1" t="s">
        <v>9</v>
      </c>
      <c r="C2052" s="1" t="s">
        <v>41</v>
      </c>
      <c r="D2052">
        <v>16</v>
      </c>
      <c r="E2052">
        <v>0.03</v>
      </c>
      <c r="F2052" s="2">
        <v>43963</v>
      </c>
      <c r="G2052" s="2" t="str">
        <f>TEXT(LayoffsData[[#This Row],[date]],"yyyy-mm")</f>
        <v>2020-05</v>
      </c>
      <c r="H2052" s="1" t="s">
        <v>33</v>
      </c>
      <c r="I2052" s="1" t="s">
        <v>12</v>
      </c>
      <c r="J2052">
        <v>104</v>
      </c>
    </row>
    <row r="2053" spans="1:10" x14ac:dyDescent="0.25">
      <c r="A2053" s="1" t="s">
        <v>1938</v>
      </c>
      <c r="B2053" s="1" t="s">
        <v>67</v>
      </c>
      <c r="C2053" s="1" t="s">
        <v>41</v>
      </c>
      <c r="D2053">
        <v>350</v>
      </c>
      <c r="F2053" s="2">
        <v>44741</v>
      </c>
      <c r="G2053" s="2" t="str">
        <f>TEXT(LayoffsData[[#This Row],[date]],"yyyy-mm")</f>
        <v>2022-06</v>
      </c>
      <c r="H2053" s="1" t="s">
        <v>57</v>
      </c>
      <c r="I2053" s="1" t="s">
        <v>69</v>
      </c>
      <c r="J2053">
        <v>112</v>
      </c>
    </row>
    <row r="2054" spans="1:10" x14ac:dyDescent="0.25">
      <c r="A2054" s="1" t="s">
        <v>1939</v>
      </c>
      <c r="B2054" s="1" t="s">
        <v>73</v>
      </c>
      <c r="C2054" s="1" t="s">
        <v>172</v>
      </c>
      <c r="D2054">
        <v>13</v>
      </c>
      <c r="E2054">
        <v>0.37</v>
      </c>
      <c r="F2054" s="2">
        <v>43938</v>
      </c>
      <c r="G2054" s="2" t="str">
        <f>TEXT(LayoffsData[[#This Row],[date]],"yyyy-mm")</f>
        <v>2020-04</v>
      </c>
      <c r="H2054" s="1" t="s">
        <v>37</v>
      </c>
      <c r="I2054" s="1" t="s">
        <v>17</v>
      </c>
      <c r="J2054">
        <v>1</v>
      </c>
    </row>
    <row r="2055" spans="1:10" x14ac:dyDescent="0.25">
      <c r="A2055" s="1" t="s">
        <v>1940</v>
      </c>
      <c r="B2055" s="1" t="s">
        <v>9</v>
      </c>
      <c r="C2055" s="1" t="s">
        <v>51</v>
      </c>
      <c r="D2055">
        <v>131</v>
      </c>
      <c r="E2055">
        <v>0.23</v>
      </c>
      <c r="F2055" s="2">
        <v>43935</v>
      </c>
      <c r="G2055" s="2" t="str">
        <f>TEXT(LayoffsData[[#This Row],[date]],"yyyy-mm")</f>
        <v>2020-04</v>
      </c>
      <c r="H2055" s="1" t="s">
        <v>16</v>
      </c>
      <c r="I2055" s="1" t="s">
        <v>12</v>
      </c>
      <c r="J2055">
        <v>224</v>
      </c>
    </row>
    <row r="2056" spans="1:10" x14ac:dyDescent="0.25">
      <c r="A2056" s="1" t="s">
        <v>1941</v>
      </c>
      <c r="B2056" s="1" t="s">
        <v>79</v>
      </c>
      <c r="C2056" s="1" t="s">
        <v>68</v>
      </c>
      <c r="F2056" s="2">
        <v>44721</v>
      </c>
      <c r="G2056" s="2" t="str">
        <f>TEXT(LayoffsData[[#This Row],[date]],"yyyy-mm")</f>
        <v>2022-06</v>
      </c>
      <c r="H2056" s="1" t="s">
        <v>28</v>
      </c>
      <c r="I2056" s="1" t="s">
        <v>80</v>
      </c>
      <c r="J2056">
        <v>1200</v>
      </c>
    </row>
    <row r="2057" spans="1:10" x14ac:dyDescent="0.25">
      <c r="A2057" s="1" t="s">
        <v>1942</v>
      </c>
      <c r="B2057" s="1" t="s">
        <v>32</v>
      </c>
      <c r="C2057" s="1" t="s">
        <v>108</v>
      </c>
      <c r="D2057">
        <v>24</v>
      </c>
      <c r="E2057">
        <v>0.1</v>
      </c>
      <c r="F2057" s="2">
        <v>43950</v>
      </c>
      <c r="G2057" s="2" t="str">
        <f>TEXT(LayoffsData[[#This Row],[date]],"yyyy-mm")</f>
        <v>2020-04</v>
      </c>
      <c r="H2057" s="1" t="s">
        <v>33</v>
      </c>
      <c r="I2057" s="1" t="s">
        <v>17</v>
      </c>
      <c r="J2057">
        <v>128</v>
      </c>
    </row>
    <row r="2058" spans="1:10" x14ac:dyDescent="0.25">
      <c r="A2058" s="1" t="s">
        <v>1943</v>
      </c>
      <c r="B2058" s="1" t="s">
        <v>73</v>
      </c>
      <c r="C2058" s="1" t="s">
        <v>172</v>
      </c>
      <c r="D2058">
        <v>27</v>
      </c>
      <c r="E2058">
        <v>7.0000000000000007E-2</v>
      </c>
      <c r="F2058" s="2">
        <v>44747</v>
      </c>
      <c r="G2058" s="2" t="str">
        <f>TEXT(LayoffsData[[#This Row],[date]],"yyyy-mm")</f>
        <v>2022-07</v>
      </c>
      <c r="H2058" s="1" t="s">
        <v>21</v>
      </c>
      <c r="I2058" s="1" t="s">
        <v>17</v>
      </c>
      <c r="J2058">
        <v>583</v>
      </c>
    </row>
    <row r="2059" spans="1:10" x14ac:dyDescent="0.25">
      <c r="A2059" s="1" t="s">
        <v>1944</v>
      </c>
      <c r="B2059" s="1" t="s">
        <v>14</v>
      </c>
      <c r="C2059" s="1" t="s">
        <v>84</v>
      </c>
      <c r="D2059">
        <v>20</v>
      </c>
      <c r="F2059" s="2">
        <v>43914</v>
      </c>
      <c r="G2059" s="2" t="str">
        <f>TEXT(LayoffsData[[#This Row],[date]],"yyyy-mm")</f>
        <v>2020-03</v>
      </c>
      <c r="H2059" s="1" t="s">
        <v>24</v>
      </c>
      <c r="I2059" s="1" t="s">
        <v>17</v>
      </c>
      <c r="J2059">
        <v>35</v>
      </c>
    </row>
    <row r="2060" spans="1:10" x14ac:dyDescent="0.25">
      <c r="A2060" s="1" t="s">
        <v>1945</v>
      </c>
      <c r="B2060" s="1" t="s">
        <v>120</v>
      </c>
      <c r="C2060" s="1" t="s">
        <v>84</v>
      </c>
      <c r="D2060">
        <v>100</v>
      </c>
      <c r="E2060">
        <v>0.1</v>
      </c>
      <c r="F2060" s="2">
        <v>43924</v>
      </c>
      <c r="G2060" s="2" t="str">
        <f>TEXT(LayoffsData[[#This Row],[date]],"yyyy-mm")</f>
        <v>2020-04</v>
      </c>
      <c r="H2060" s="1" t="s">
        <v>37</v>
      </c>
      <c r="I2060" s="1" t="s">
        <v>121</v>
      </c>
    </row>
    <row r="2061" spans="1:10" x14ac:dyDescent="0.25">
      <c r="A2061" s="1" t="s">
        <v>1946</v>
      </c>
      <c r="B2061" s="1" t="s">
        <v>424</v>
      </c>
      <c r="C2061" s="1" t="s">
        <v>84</v>
      </c>
      <c r="D2061">
        <v>250</v>
      </c>
      <c r="E2061">
        <v>0.5</v>
      </c>
      <c r="F2061" s="2">
        <v>43918</v>
      </c>
      <c r="G2061" s="2" t="str">
        <f>TEXT(LayoffsData[[#This Row],[date]],"yyyy-mm")</f>
        <v>2020-03</v>
      </c>
      <c r="H2061" s="1" t="s">
        <v>33</v>
      </c>
      <c r="I2061" s="1" t="s">
        <v>69</v>
      </c>
      <c r="J2061">
        <v>47</v>
      </c>
    </row>
    <row r="2062" spans="1:10" x14ac:dyDescent="0.25">
      <c r="A2062" s="1" t="s">
        <v>1947</v>
      </c>
      <c r="B2062" s="1" t="s">
        <v>101</v>
      </c>
      <c r="C2062" s="1" t="s">
        <v>29</v>
      </c>
      <c r="D2062">
        <v>80</v>
      </c>
      <c r="E2062">
        <v>0.08</v>
      </c>
      <c r="F2062" s="2">
        <v>44887</v>
      </c>
      <c r="G2062" s="2" t="str">
        <f>TEXT(LayoffsData[[#This Row],[date]],"yyyy-mm")</f>
        <v>2022-11</v>
      </c>
      <c r="H2062" s="1" t="s">
        <v>16</v>
      </c>
      <c r="I2062" s="1" t="s">
        <v>101</v>
      </c>
      <c r="J2062">
        <v>1000</v>
      </c>
    </row>
    <row r="2063" spans="1:10" x14ac:dyDescent="0.25">
      <c r="A2063" s="1" t="s">
        <v>1947</v>
      </c>
      <c r="B2063" s="1" t="s">
        <v>101</v>
      </c>
      <c r="C2063" s="1" t="s">
        <v>29</v>
      </c>
      <c r="D2063">
        <v>100</v>
      </c>
      <c r="E2063">
        <v>0.12</v>
      </c>
      <c r="F2063" s="2">
        <v>44732</v>
      </c>
      <c r="G2063" s="2" t="str">
        <f>TEXT(LayoffsData[[#This Row],[date]],"yyyy-mm")</f>
        <v>2022-06</v>
      </c>
      <c r="H2063" s="1" t="s">
        <v>16</v>
      </c>
      <c r="I2063" s="1" t="s">
        <v>101</v>
      </c>
      <c r="J2063">
        <v>1000</v>
      </c>
    </row>
    <row r="2064" spans="1:10" x14ac:dyDescent="0.25">
      <c r="A2064" s="1" t="s">
        <v>1947</v>
      </c>
      <c r="B2064" s="1" t="s">
        <v>168</v>
      </c>
      <c r="C2064" s="1" t="s">
        <v>29</v>
      </c>
      <c r="D2064">
        <v>120</v>
      </c>
      <c r="E2064">
        <v>0.1</v>
      </c>
      <c r="F2064" s="2">
        <v>43954</v>
      </c>
      <c r="G2064" s="2" t="str">
        <f>TEXT(LayoffsData[[#This Row],[date]],"yyyy-mm")</f>
        <v>2020-05</v>
      </c>
      <c r="H2064" s="1" t="s">
        <v>33</v>
      </c>
      <c r="I2064" s="1" t="s">
        <v>170</v>
      </c>
      <c r="J2064">
        <v>386</v>
      </c>
    </row>
    <row r="2065" spans="1:10" x14ac:dyDescent="0.25">
      <c r="A2065" s="1" t="s">
        <v>1948</v>
      </c>
      <c r="B2065" s="1" t="s">
        <v>14</v>
      </c>
      <c r="C2065" s="1" t="s">
        <v>74</v>
      </c>
      <c r="E2065">
        <v>0.1</v>
      </c>
      <c r="F2065" s="2">
        <v>44733</v>
      </c>
      <c r="G2065" s="2" t="str">
        <f>TEXT(LayoffsData[[#This Row],[date]],"yyyy-mm")</f>
        <v>2022-06</v>
      </c>
      <c r="H2065" s="1" t="s">
        <v>28</v>
      </c>
      <c r="I2065" s="1" t="s">
        <v>17</v>
      </c>
      <c r="J2065">
        <v>109</v>
      </c>
    </row>
    <row r="2066" spans="1:10" x14ac:dyDescent="0.25">
      <c r="A2066" s="1" t="s">
        <v>1949</v>
      </c>
      <c r="B2066" s="1" t="s">
        <v>71</v>
      </c>
      <c r="C2066" s="1" t="s">
        <v>41</v>
      </c>
      <c r="D2066">
        <v>41</v>
      </c>
      <c r="E2066">
        <v>0.9</v>
      </c>
      <c r="F2066" s="2">
        <v>44453</v>
      </c>
      <c r="G2066" s="2" t="str">
        <f>TEXT(LayoffsData[[#This Row],[date]],"yyyy-mm")</f>
        <v>2021-09</v>
      </c>
      <c r="H2066" s="1" t="s">
        <v>24</v>
      </c>
      <c r="I2066" s="1" t="s">
        <v>17</v>
      </c>
      <c r="J2066">
        <v>12</v>
      </c>
    </row>
    <row r="2067" spans="1:10" x14ac:dyDescent="0.25">
      <c r="A2067" s="1" t="s">
        <v>1950</v>
      </c>
      <c r="B2067" s="1" t="s">
        <v>293</v>
      </c>
      <c r="C2067" s="1" t="s">
        <v>29</v>
      </c>
      <c r="D2067">
        <v>300</v>
      </c>
      <c r="E2067">
        <v>0.5</v>
      </c>
      <c r="F2067" s="2">
        <v>44635</v>
      </c>
      <c r="G2067" s="2" t="str">
        <f>TEXT(LayoffsData[[#This Row],[date]],"yyyy-mm")</f>
        <v>2022-03</v>
      </c>
      <c r="H2067" s="1" t="s">
        <v>24</v>
      </c>
      <c r="I2067" s="1" t="s">
        <v>69</v>
      </c>
      <c r="J2067">
        <v>62</v>
      </c>
    </row>
    <row r="2068" spans="1:10" x14ac:dyDescent="0.25">
      <c r="A2068" s="1" t="s">
        <v>1951</v>
      </c>
      <c r="B2068" s="1" t="s">
        <v>14</v>
      </c>
      <c r="C2068" s="1" t="s">
        <v>15</v>
      </c>
      <c r="E2068">
        <v>0.56999999999999995</v>
      </c>
      <c r="F2068" s="2">
        <v>44879</v>
      </c>
      <c r="G2068" s="2" t="str">
        <f>TEXT(LayoffsData[[#This Row],[date]],"yyyy-mm")</f>
        <v>2022-11</v>
      </c>
      <c r="H2068" s="1" t="s">
        <v>11</v>
      </c>
      <c r="I2068" s="1" t="s">
        <v>17</v>
      </c>
      <c r="J2068">
        <v>624</v>
      </c>
    </row>
    <row r="2069" spans="1:10" x14ac:dyDescent="0.25">
      <c r="A2069" s="1" t="s">
        <v>1952</v>
      </c>
      <c r="B2069" s="1" t="s">
        <v>14</v>
      </c>
      <c r="C2069" s="1" t="s">
        <v>84</v>
      </c>
      <c r="D2069">
        <v>300</v>
      </c>
      <c r="E2069">
        <v>0.25</v>
      </c>
      <c r="F2069" s="2">
        <v>43915</v>
      </c>
      <c r="G2069" s="2" t="str">
        <f>TEXT(LayoffsData[[#This Row],[date]],"yyyy-mm")</f>
        <v>2020-03</v>
      </c>
      <c r="H2069" s="1" t="s">
        <v>33</v>
      </c>
      <c r="I2069" s="1" t="s">
        <v>17</v>
      </c>
      <c r="J2069">
        <v>981</v>
      </c>
    </row>
    <row r="2070" spans="1:10" x14ac:dyDescent="0.25">
      <c r="A2070" s="1" t="s">
        <v>1953</v>
      </c>
      <c r="B2070" s="1" t="s">
        <v>73</v>
      </c>
      <c r="C2070" s="1" t="s">
        <v>84</v>
      </c>
      <c r="D2070">
        <v>900</v>
      </c>
      <c r="E2070">
        <v>0.25</v>
      </c>
      <c r="F2070" s="2">
        <v>43949</v>
      </c>
      <c r="G2070" s="2" t="str">
        <f>TEXT(LayoffsData[[#This Row],[date]],"yyyy-mm")</f>
        <v>2020-04</v>
      </c>
      <c r="H2070" s="1" t="s">
        <v>11</v>
      </c>
      <c r="I2070" s="1" t="s">
        <v>17</v>
      </c>
      <c r="J2070">
        <v>3</v>
      </c>
    </row>
    <row r="2071" spans="1:10" x14ac:dyDescent="0.25">
      <c r="A2071" s="1" t="s">
        <v>1954</v>
      </c>
      <c r="B2071" s="1" t="s">
        <v>278</v>
      </c>
      <c r="C2071" s="1" t="s">
        <v>84</v>
      </c>
      <c r="D2071">
        <v>10</v>
      </c>
      <c r="E2071">
        <v>0.25</v>
      </c>
      <c r="F2071" s="2">
        <v>43924</v>
      </c>
      <c r="G2071" s="2" t="str">
        <f>TEXT(LayoffsData[[#This Row],[date]],"yyyy-mm")</f>
        <v>2020-04</v>
      </c>
      <c r="H2071" s="1" t="s">
        <v>37</v>
      </c>
      <c r="I2071" s="1" t="s">
        <v>17</v>
      </c>
    </row>
    <row r="2072" spans="1:10" x14ac:dyDescent="0.25">
      <c r="A2072" s="1" t="s">
        <v>1955</v>
      </c>
      <c r="B2072" s="1" t="s">
        <v>14</v>
      </c>
      <c r="C2072" s="1" t="s">
        <v>165</v>
      </c>
      <c r="D2072">
        <v>15</v>
      </c>
      <c r="E2072">
        <v>0.17</v>
      </c>
      <c r="F2072" s="2">
        <v>43913</v>
      </c>
      <c r="G2072" s="2" t="str">
        <f>TEXT(LayoffsData[[#This Row],[date]],"yyyy-mm")</f>
        <v>2020-03</v>
      </c>
      <c r="H2072" s="1" t="s">
        <v>24</v>
      </c>
      <c r="I2072" s="1" t="s">
        <v>17</v>
      </c>
      <c r="J2072">
        <v>48</v>
      </c>
    </row>
    <row r="2073" spans="1:10" x14ac:dyDescent="0.25">
      <c r="A2073" s="1" t="s">
        <v>1956</v>
      </c>
      <c r="B2073" s="1" t="s">
        <v>32</v>
      </c>
      <c r="C2073" s="1" t="s">
        <v>20</v>
      </c>
      <c r="D2073">
        <v>23</v>
      </c>
      <c r="E2073">
        <v>7.0000000000000007E-2</v>
      </c>
      <c r="F2073" s="2">
        <v>43923</v>
      </c>
      <c r="G2073" s="2" t="str">
        <f>TEXT(LayoffsData[[#This Row],[date]],"yyyy-mm")</f>
        <v>2020-04</v>
      </c>
      <c r="H2073" s="1" t="s">
        <v>24</v>
      </c>
      <c r="I2073" s="1" t="s">
        <v>17</v>
      </c>
      <c r="J2073">
        <v>16</v>
      </c>
    </row>
    <row r="2074" spans="1:10" x14ac:dyDescent="0.25">
      <c r="A2074" s="1" t="s">
        <v>1956</v>
      </c>
      <c r="B2074" s="1" t="s">
        <v>32</v>
      </c>
      <c r="C2074" s="1" t="s">
        <v>20</v>
      </c>
      <c r="D2074">
        <v>100</v>
      </c>
      <c r="E2074">
        <v>0.2</v>
      </c>
      <c r="F2074" s="2">
        <v>44967</v>
      </c>
      <c r="G2074" s="2" t="str">
        <f>TEXT(LayoffsData[[#This Row],[date]],"yyyy-mm")</f>
        <v>2023-02</v>
      </c>
      <c r="H2074" s="1" t="s">
        <v>57</v>
      </c>
      <c r="I2074" s="1" t="s">
        <v>17</v>
      </c>
      <c r="J2074">
        <v>16</v>
      </c>
    </row>
    <row r="2075" spans="1:10" x14ac:dyDescent="0.25">
      <c r="A2075" s="1" t="s">
        <v>1957</v>
      </c>
      <c r="B2075" s="1" t="s">
        <v>71</v>
      </c>
      <c r="C2075" s="1" t="s">
        <v>172</v>
      </c>
      <c r="F2075" s="2">
        <v>44693</v>
      </c>
      <c r="G2075" s="2" t="str">
        <f>TEXT(LayoffsData[[#This Row],[date]],"yyyy-mm")</f>
        <v>2022-05</v>
      </c>
      <c r="H2075" s="1" t="s">
        <v>57</v>
      </c>
      <c r="I2075" s="1" t="s">
        <v>17</v>
      </c>
      <c r="J2075">
        <v>29</v>
      </c>
    </row>
    <row r="2076" spans="1:10" x14ac:dyDescent="0.25">
      <c r="A2076" s="1" t="s">
        <v>1958</v>
      </c>
      <c r="B2076" s="1" t="s">
        <v>1959</v>
      </c>
      <c r="C2076" s="1" t="s">
        <v>84</v>
      </c>
      <c r="F2076" s="2">
        <v>43955</v>
      </c>
      <c r="G2076" s="2" t="str">
        <f>TEXT(LayoffsData[[#This Row],[date]],"yyyy-mm")</f>
        <v>2020-05</v>
      </c>
      <c r="H2076" s="1" t="s">
        <v>57</v>
      </c>
      <c r="I2076" s="1" t="s">
        <v>80</v>
      </c>
      <c r="J2076">
        <v>55</v>
      </c>
    </row>
    <row r="2077" spans="1:10" x14ac:dyDescent="0.25">
      <c r="A2077" s="1" t="s">
        <v>1960</v>
      </c>
      <c r="B2077" s="1" t="s">
        <v>14</v>
      </c>
      <c r="C2077" s="1" t="s">
        <v>29</v>
      </c>
      <c r="D2077">
        <v>13</v>
      </c>
      <c r="F2077" s="2">
        <v>43936</v>
      </c>
      <c r="G2077" s="2" t="str">
        <f>TEXT(LayoffsData[[#This Row],[date]],"yyyy-mm")</f>
        <v>2020-04</v>
      </c>
      <c r="H2077" s="1" t="s">
        <v>28</v>
      </c>
      <c r="I2077" s="1" t="s">
        <v>17</v>
      </c>
      <c r="J2077">
        <v>34</v>
      </c>
    </row>
    <row r="2078" spans="1:10" x14ac:dyDescent="0.25">
      <c r="A2078" s="1" t="s">
        <v>1961</v>
      </c>
      <c r="B2078" s="1" t="s">
        <v>1962</v>
      </c>
      <c r="C2078" s="1" t="s">
        <v>108</v>
      </c>
      <c r="E2078">
        <v>0.3</v>
      </c>
      <c r="F2078" s="2">
        <v>44713</v>
      </c>
      <c r="G2078" s="2" t="str">
        <f>TEXT(LayoffsData[[#This Row],[date]],"yyyy-mm")</f>
        <v>2022-06</v>
      </c>
      <c r="H2078" s="1" t="s">
        <v>131</v>
      </c>
      <c r="I2078" s="1" t="s">
        <v>109</v>
      </c>
      <c r="J2078">
        <v>17</v>
      </c>
    </row>
    <row r="2079" spans="1:10" x14ac:dyDescent="0.25">
      <c r="A2079" s="1" t="s">
        <v>1963</v>
      </c>
      <c r="B2079" s="1" t="s">
        <v>1863</v>
      </c>
      <c r="C2079" s="1" t="s">
        <v>108</v>
      </c>
      <c r="F2079" s="2">
        <v>44987</v>
      </c>
      <c r="G2079" s="2" t="str">
        <f>TEXT(LayoffsData[[#This Row],[date]],"yyyy-mm")</f>
        <v>2023-03</v>
      </c>
      <c r="H2079" s="1" t="s">
        <v>57</v>
      </c>
      <c r="I2079" s="1" t="s">
        <v>17</v>
      </c>
    </row>
    <row r="2080" spans="1:10" x14ac:dyDescent="0.25">
      <c r="A2080" s="1" t="s">
        <v>1964</v>
      </c>
      <c r="B2080" s="1" t="s">
        <v>26</v>
      </c>
      <c r="C2080" s="1" t="s">
        <v>10</v>
      </c>
      <c r="D2080">
        <v>219</v>
      </c>
      <c r="E2080">
        <v>0.3</v>
      </c>
      <c r="F2080" s="2">
        <v>43979</v>
      </c>
      <c r="G2080" s="2" t="str">
        <f>TEXT(LayoffsData[[#This Row],[date]],"yyyy-mm")</f>
        <v>2020-05</v>
      </c>
      <c r="H2080" s="1" t="s">
        <v>11</v>
      </c>
      <c r="I2080" s="1" t="s">
        <v>17</v>
      </c>
      <c r="J2080">
        <v>340</v>
      </c>
    </row>
    <row r="2081" spans="1:10" x14ac:dyDescent="0.25">
      <c r="A2081" s="1" t="s">
        <v>1965</v>
      </c>
      <c r="B2081" s="1" t="s">
        <v>200</v>
      </c>
      <c r="C2081" s="1" t="s">
        <v>68</v>
      </c>
      <c r="D2081">
        <v>40</v>
      </c>
      <c r="E2081">
        <v>0.1</v>
      </c>
      <c r="F2081" s="2">
        <v>44820</v>
      </c>
      <c r="G2081" s="2" t="str">
        <f>TEXT(LayoffsData[[#This Row],[date]],"yyyy-mm")</f>
        <v>2022-09</v>
      </c>
      <c r="H2081" s="1" t="s">
        <v>16</v>
      </c>
      <c r="I2081" s="1" t="s">
        <v>17</v>
      </c>
      <c r="J2081">
        <v>271</v>
      </c>
    </row>
    <row r="2082" spans="1:10" x14ac:dyDescent="0.25">
      <c r="A2082" s="1" t="s">
        <v>1966</v>
      </c>
      <c r="B2082" s="1" t="s">
        <v>14</v>
      </c>
      <c r="C2082" s="1" t="s">
        <v>15</v>
      </c>
      <c r="F2082" s="2">
        <v>44665</v>
      </c>
      <c r="G2082" s="2" t="str">
        <f>TEXT(LayoffsData[[#This Row],[date]],"yyyy-mm")</f>
        <v>2022-04</v>
      </c>
      <c r="H2082" s="1" t="s">
        <v>33</v>
      </c>
      <c r="I2082" s="1" t="s">
        <v>17</v>
      </c>
      <c r="J2082">
        <v>255</v>
      </c>
    </row>
    <row r="2083" spans="1:10" x14ac:dyDescent="0.25">
      <c r="A2083" s="1" t="s">
        <v>1966</v>
      </c>
      <c r="B2083" s="1" t="s">
        <v>14</v>
      </c>
      <c r="C2083" s="1" t="s">
        <v>15</v>
      </c>
      <c r="F2083" s="2">
        <v>44834</v>
      </c>
      <c r="G2083" s="2" t="str">
        <f>TEXT(LayoffsData[[#This Row],[date]],"yyyy-mm")</f>
        <v>2022-09</v>
      </c>
      <c r="H2083" s="1" t="s">
        <v>33</v>
      </c>
      <c r="I2083" s="1" t="s">
        <v>17</v>
      </c>
      <c r="J2083">
        <v>255</v>
      </c>
    </row>
    <row r="2084" spans="1:10" x14ac:dyDescent="0.25">
      <c r="A2084" s="1" t="s">
        <v>1966</v>
      </c>
      <c r="B2084" s="1" t="s">
        <v>14</v>
      </c>
      <c r="C2084" s="1" t="s">
        <v>15</v>
      </c>
      <c r="D2084">
        <v>150</v>
      </c>
      <c r="E2084">
        <v>0.15</v>
      </c>
      <c r="F2084" s="2">
        <v>44720</v>
      </c>
      <c r="G2084" s="2" t="str">
        <f>TEXT(LayoffsData[[#This Row],[date]],"yyyy-mm")</f>
        <v>2022-06</v>
      </c>
      <c r="H2084" s="1" t="s">
        <v>33</v>
      </c>
      <c r="I2084" s="1" t="s">
        <v>17</v>
      </c>
      <c r="J2084">
        <v>255</v>
      </c>
    </row>
    <row r="2085" spans="1:10" x14ac:dyDescent="0.25">
      <c r="A2085" s="1" t="s">
        <v>1966</v>
      </c>
      <c r="B2085" s="1" t="s">
        <v>14</v>
      </c>
      <c r="C2085" s="1" t="s">
        <v>15</v>
      </c>
      <c r="D2085">
        <v>175</v>
      </c>
      <c r="E2085">
        <v>0.33</v>
      </c>
      <c r="F2085" s="2">
        <v>44784</v>
      </c>
      <c r="G2085" s="2" t="str">
        <f>TEXT(LayoffsData[[#This Row],[date]],"yyyy-mm")</f>
        <v>2022-08</v>
      </c>
      <c r="H2085" s="1" t="s">
        <v>33</v>
      </c>
      <c r="I2085" s="1" t="s">
        <v>17</v>
      </c>
      <c r="J2085">
        <v>255</v>
      </c>
    </row>
    <row r="2086" spans="1:10" x14ac:dyDescent="0.25">
      <c r="A2086" s="1" t="s">
        <v>1967</v>
      </c>
      <c r="B2086" s="1" t="s">
        <v>60</v>
      </c>
      <c r="C2086" s="1" t="s">
        <v>172</v>
      </c>
      <c r="D2086">
        <v>24</v>
      </c>
      <c r="E2086">
        <v>0.05</v>
      </c>
      <c r="F2086" s="2">
        <v>44827</v>
      </c>
      <c r="G2086" s="2" t="str">
        <f>TEXT(LayoffsData[[#This Row],[date]],"yyyy-mm")</f>
        <v>2022-09</v>
      </c>
      <c r="H2086" s="1" t="s">
        <v>33</v>
      </c>
      <c r="I2086" s="1" t="s">
        <v>12</v>
      </c>
      <c r="J2086">
        <v>474</v>
      </c>
    </row>
    <row r="2087" spans="1:10" x14ac:dyDescent="0.25">
      <c r="A2087" s="1" t="s">
        <v>1968</v>
      </c>
      <c r="B2087" s="1" t="s">
        <v>62</v>
      </c>
      <c r="C2087" s="1" t="s">
        <v>68</v>
      </c>
      <c r="D2087">
        <v>120</v>
      </c>
      <c r="F2087" s="2">
        <v>44609</v>
      </c>
      <c r="G2087" s="2" t="str">
        <f>TEXT(LayoffsData[[#This Row],[date]],"yyyy-mm")</f>
        <v>2022-02</v>
      </c>
      <c r="H2087" s="1" t="s">
        <v>57</v>
      </c>
      <c r="I2087" s="1" t="s">
        <v>64</v>
      </c>
      <c r="J2087">
        <v>28</v>
      </c>
    </row>
    <row r="2088" spans="1:10" x14ac:dyDescent="0.25">
      <c r="A2088" s="1" t="s">
        <v>1969</v>
      </c>
      <c r="B2088" s="1" t="s">
        <v>35</v>
      </c>
      <c r="C2088" s="1" t="s">
        <v>41</v>
      </c>
      <c r="D2088">
        <v>47</v>
      </c>
      <c r="E2088">
        <v>0.1</v>
      </c>
      <c r="F2088" s="2">
        <v>44783</v>
      </c>
      <c r="G2088" s="2" t="str">
        <f>TEXT(LayoffsData[[#This Row],[date]],"yyyy-mm")</f>
        <v>2022-08</v>
      </c>
      <c r="H2088" s="1" t="s">
        <v>24</v>
      </c>
      <c r="I2088" s="1" t="s">
        <v>38</v>
      </c>
      <c r="J2088">
        <v>40</v>
      </c>
    </row>
    <row r="2089" spans="1:10" x14ac:dyDescent="0.25">
      <c r="A2089" s="1" t="s">
        <v>1970</v>
      </c>
      <c r="B2089" s="1" t="s">
        <v>73</v>
      </c>
      <c r="C2089" s="1" t="s">
        <v>172</v>
      </c>
      <c r="D2089">
        <v>55</v>
      </c>
      <c r="E2089">
        <v>0.1</v>
      </c>
      <c r="F2089" s="2">
        <v>44794</v>
      </c>
      <c r="G2089" s="2" t="str">
        <f>TEXT(LayoffsData[[#This Row],[date]],"yyyy-mm")</f>
        <v>2022-08</v>
      </c>
      <c r="H2089" s="1" t="s">
        <v>57</v>
      </c>
      <c r="I2089" s="1" t="s">
        <v>17</v>
      </c>
      <c r="J2089">
        <v>21</v>
      </c>
    </row>
    <row r="2090" spans="1:10" x14ac:dyDescent="0.25">
      <c r="A2090" s="1" t="s">
        <v>1971</v>
      </c>
      <c r="B2090" s="1" t="s">
        <v>238</v>
      </c>
      <c r="C2090" s="1" t="s">
        <v>29</v>
      </c>
      <c r="F2090" s="2">
        <v>43909</v>
      </c>
      <c r="G2090" s="2" t="str">
        <f>TEXT(LayoffsData[[#This Row],[date]],"yyyy-mm")</f>
        <v>2020-03</v>
      </c>
      <c r="H2090" s="1" t="s">
        <v>57</v>
      </c>
      <c r="I2090" s="1" t="s">
        <v>17</v>
      </c>
      <c r="J2090">
        <v>0</v>
      </c>
    </row>
    <row r="2091" spans="1:10" x14ac:dyDescent="0.25">
      <c r="A2091" s="1" t="s">
        <v>1972</v>
      </c>
      <c r="B2091" s="1" t="s">
        <v>88</v>
      </c>
      <c r="C2091" s="1" t="s">
        <v>376</v>
      </c>
      <c r="D2091">
        <v>100</v>
      </c>
      <c r="F2091" s="2">
        <v>44943</v>
      </c>
      <c r="G2091" s="2" t="str">
        <f>TEXT(LayoffsData[[#This Row],[date]],"yyyy-mm")</f>
        <v>2023-01</v>
      </c>
      <c r="H2091" s="1" t="s">
        <v>24</v>
      </c>
      <c r="I2091" s="1" t="s">
        <v>89</v>
      </c>
      <c r="J2091">
        <v>218</v>
      </c>
    </row>
    <row r="2092" spans="1:10" x14ac:dyDescent="0.25">
      <c r="A2092" s="1" t="s">
        <v>1973</v>
      </c>
      <c r="B2092" s="1" t="s">
        <v>9</v>
      </c>
      <c r="C2092" s="1" t="s">
        <v>29</v>
      </c>
      <c r="D2092">
        <v>14</v>
      </c>
      <c r="F2092" s="2">
        <v>43936</v>
      </c>
      <c r="G2092" s="2" t="str">
        <f>TEXT(LayoffsData[[#This Row],[date]],"yyyy-mm")</f>
        <v>2020-04</v>
      </c>
      <c r="H2092" s="1" t="s">
        <v>24</v>
      </c>
      <c r="I2092" s="1" t="s">
        <v>12</v>
      </c>
      <c r="J2092">
        <v>51</v>
      </c>
    </row>
    <row r="2093" spans="1:10" x14ac:dyDescent="0.25">
      <c r="A2093" s="1" t="s">
        <v>1974</v>
      </c>
      <c r="B2093" s="1" t="s">
        <v>14</v>
      </c>
      <c r="C2093" s="1" t="s">
        <v>41</v>
      </c>
      <c r="D2093">
        <v>51</v>
      </c>
      <c r="E2093">
        <v>0.05</v>
      </c>
      <c r="F2093" s="2">
        <v>44840</v>
      </c>
      <c r="G2093" s="2" t="str">
        <f>TEXT(LayoffsData[[#This Row],[date]],"yyyy-mm")</f>
        <v>2022-10</v>
      </c>
      <c r="H2093" s="1" t="s">
        <v>57</v>
      </c>
      <c r="I2093" s="1" t="s">
        <v>17</v>
      </c>
    </row>
    <row r="2094" spans="1:10" x14ac:dyDescent="0.25">
      <c r="A2094" s="1" t="s">
        <v>1975</v>
      </c>
      <c r="B2094" s="1" t="s">
        <v>14</v>
      </c>
      <c r="C2094" s="1" t="s">
        <v>45</v>
      </c>
      <c r="E2094">
        <v>0.2</v>
      </c>
      <c r="F2094" s="2">
        <v>44770</v>
      </c>
      <c r="G2094" s="2" t="str">
        <f>TEXT(LayoffsData[[#This Row],[date]],"yyyy-mm")</f>
        <v>2022-07</v>
      </c>
      <c r="H2094" s="1" t="s">
        <v>37</v>
      </c>
      <c r="I2094" s="1" t="s">
        <v>17</v>
      </c>
      <c r="J2094">
        <v>491</v>
      </c>
    </row>
    <row r="2095" spans="1:10" x14ac:dyDescent="0.25">
      <c r="A2095" s="1" t="s">
        <v>1976</v>
      </c>
      <c r="B2095" s="1" t="s">
        <v>14</v>
      </c>
      <c r="C2095" s="1" t="s">
        <v>10</v>
      </c>
      <c r="D2095">
        <v>108</v>
      </c>
      <c r="E2095">
        <v>0.3</v>
      </c>
      <c r="F2095" s="2">
        <v>43921</v>
      </c>
      <c r="G2095" s="2" t="str">
        <f>TEXT(LayoffsData[[#This Row],[date]],"yyyy-mm")</f>
        <v>2020-03</v>
      </c>
      <c r="H2095" s="1" t="s">
        <v>16</v>
      </c>
      <c r="I2095" s="1" t="s">
        <v>17</v>
      </c>
      <c r="J2095">
        <v>467</v>
      </c>
    </row>
    <row r="2096" spans="1:10" x14ac:dyDescent="0.25">
      <c r="A2096" s="1" t="s">
        <v>1977</v>
      </c>
      <c r="B2096" s="1" t="s">
        <v>406</v>
      </c>
      <c r="C2096" s="1" t="s">
        <v>10</v>
      </c>
      <c r="D2096">
        <v>350</v>
      </c>
      <c r="E2096">
        <v>0.25</v>
      </c>
      <c r="F2096" s="2">
        <v>44916</v>
      </c>
      <c r="G2096" s="2" t="str">
        <f>TEXT(LayoffsData[[#This Row],[date]],"yyyy-mm")</f>
        <v>2022-12</v>
      </c>
      <c r="H2096" s="1" t="s">
        <v>11</v>
      </c>
      <c r="I2096" s="1" t="s">
        <v>17</v>
      </c>
      <c r="J2096">
        <v>648</v>
      </c>
    </row>
    <row r="2097" spans="1:10" x14ac:dyDescent="0.25">
      <c r="A2097" s="1" t="s">
        <v>1978</v>
      </c>
      <c r="B2097" s="1" t="s">
        <v>35</v>
      </c>
      <c r="C2097" s="1" t="s">
        <v>41</v>
      </c>
      <c r="D2097">
        <v>4</v>
      </c>
      <c r="E2097">
        <v>1</v>
      </c>
      <c r="F2097" s="2">
        <v>43945</v>
      </c>
      <c r="G2097" s="2" t="str">
        <f>TEXT(LayoffsData[[#This Row],[date]],"yyyy-mm")</f>
        <v>2020-04</v>
      </c>
      <c r="H2097" s="1" t="s">
        <v>21</v>
      </c>
      <c r="I2097" s="1" t="s">
        <v>38</v>
      </c>
      <c r="J2097">
        <v>2</v>
      </c>
    </row>
    <row r="2098" spans="1:10" x14ac:dyDescent="0.25">
      <c r="A2098" s="1" t="s">
        <v>1979</v>
      </c>
      <c r="B2098" s="1" t="s">
        <v>522</v>
      </c>
      <c r="C2098" s="1" t="s">
        <v>51</v>
      </c>
      <c r="D2098">
        <v>211</v>
      </c>
      <c r="E2098">
        <v>0.21</v>
      </c>
      <c r="F2098" s="2">
        <v>44881</v>
      </c>
      <c r="G2098" s="2" t="str">
        <f>TEXT(LayoffsData[[#This Row],[date]],"yyyy-mm")</f>
        <v>2022-11</v>
      </c>
      <c r="H2098" s="1" t="s">
        <v>28</v>
      </c>
      <c r="I2098" s="1" t="s">
        <v>523</v>
      </c>
      <c r="J2098">
        <v>157</v>
      </c>
    </row>
    <row r="2099" spans="1:10" x14ac:dyDescent="0.25">
      <c r="A2099" s="1" t="s">
        <v>1980</v>
      </c>
      <c r="B2099" s="1" t="s">
        <v>14</v>
      </c>
      <c r="C2099" s="1" t="s">
        <v>149</v>
      </c>
      <c r="D2099">
        <v>800</v>
      </c>
      <c r="E2099">
        <v>0.11</v>
      </c>
      <c r="F2099" s="2">
        <v>44818</v>
      </c>
      <c r="G2099" s="2" t="str">
        <f>TEXT(LayoffsData[[#This Row],[date]],"yyyy-mm")</f>
        <v>2022-09</v>
      </c>
      <c r="H2099" s="1" t="s">
        <v>11</v>
      </c>
      <c r="I2099" s="1" t="s">
        <v>17</v>
      </c>
      <c r="J2099">
        <v>614</v>
      </c>
    </row>
    <row r="2100" spans="1:10" x14ac:dyDescent="0.25">
      <c r="A2100" s="1" t="s">
        <v>1980</v>
      </c>
      <c r="B2100" s="1" t="s">
        <v>14</v>
      </c>
      <c r="C2100" s="1" t="s">
        <v>149</v>
      </c>
      <c r="D2100">
        <v>1500</v>
      </c>
      <c r="E2100">
        <v>0.17</v>
      </c>
      <c r="F2100" s="2">
        <v>44970</v>
      </c>
      <c r="G2100" s="2" t="str">
        <f>TEXT(LayoffsData[[#This Row],[date]],"yyyy-mm")</f>
        <v>2023-02</v>
      </c>
      <c r="H2100" s="1" t="s">
        <v>11</v>
      </c>
      <c r="I2100" s="1" t="s">
        <v>17</v>
      </c>
      <c r="J2100">
        <v>614</v>
      </c>
    </row>
    <row r="2101" spans="1:10" x14ac:dyDescent="0.25">
      <c r="A2101" s="1" t="s">
        <v>1981</v>
      </c>
      <c r="B2101" s="1" t="s">
        <v>168</v>
      </c>
      <c r="C2101" s="1" t="s">
        <v>325</v>
      </c>
      <c r="D2101">
        <v>30</v>
      </c>
      <c r="E2101">
        <v>0.33</v>
      </c>
      <c r="F2101" s="2">
        <v>44931</v>
      </c>
      <c r="G2101" s="2" t="str">
        <f>TEXT(LayoffsData[[#This Row],[date]],"yyyy-mm")</f>
        <v>2023-01</v>
      </c>
      <c r="H2101" s="1" t="s">
        <v>37</v>
      </c>
      <c r="I2101" s="1" t="s">
        <v>170</v>
      </c>
      <c r="J2101">
        <v>50</v>
      </c>
    </row>
    <row r="2102" spans="1:10" x14ac:dyDescent="0.25">
      <c r="A2102" s="1" t="s">
        <v>1982</v>
      </c>
      <c r="B2102" s="1" t="s">
        <v>55</v>
      </c>
      <c r="C2102" s="1" t="s">
        <v>15</v>
      </c>
      <c r="E2102">
        <v>0.5</v>
      </c>
      <c r="F2102" s="2">
        <v>44839</v>
      </c>
      <c r="G2102" s="2" t="str">
        <f>TEXT(LayoffsData[[#This Row],[date]],"yyyy-mm")</f>
        <v>2022-10</v>
      </c>
      <c r="H2102" s="1" t="s">
        <v>24</v>
      </c>
      <c r="I2102" s="1" t="s">
        <v>17</v>
      </c>
      <c r="J2102">
        <v>73</v>
      </c>
    </row>
    <row r="2103" spans="1:10" x14ac:dyDescent="0.25">
      <c r="A2103" s="1" t="s">
        <v>1983</v>
      </c>
      <c r="B2103" s="1" t="s">
        <v>14</v>
      </c>
      <c r="C2103" s="1" t="s">
        <v>27</v>
      </c>
      <c r="F2103" s="2">
        <v>44749</v>
      </c>
      <c r="G2103" s="2" t="str">
        <f>TEXT(LayoffsData[[#This Row],[date]],"yyyy-mm")</f>
        <v>2022-07</v>
      </c>
      <c r="H2103" s="1" t="s">
        <v>11</v>
      </c>
      <c r="I2103" s="1" t="s">
        <v>17</v>
      </c>
      <c r="J2103">
        <v>5700</v>
      </c>
    </row>
    <row r="2104" spans="1:10" x14ac:dyDescent="0.25">
      <c r="A2104" s="1" t="s">
        <v>1983</v>
      </c>
      <c r="B2104" s="1" t="s">
        <v>14</v>
      </c>
      <c r="C2104" s="1" t="s">
        <v>27</v>
      </c>
      <c r="D2104">
        <v>40</v>
      </c>
      <c r="F2104" s="2">
        <v>44931</v>
      </c>
      <c r="G2104" s="2" t="str">
        <f>TEXT(LayoffsData[[#This Row],[date]],"yyyy-mm")</f>
        <v>2023-01</v>
      </c>
      <c r="H2104" s="1" t="s">
        <v>11</v>
      </c>
      <c r="I2104" s="1" t="s">
        <v>17</v>
      </c>
      <c r="J2104">
        <v>12900</v>
      </c>
    </row>
    <row r="2105" spans="1:10" x14ac:dyDescent="0.25">
      <c r="A2105" s="1" t="s">
        <v>1983</v>
      </c>
      <c r="B2105" s="1" t="s">
        <v>14</v>
      </c>
      <c r="C2105" s="1" t="s">
        <v>27</v>
      </c>
      <c r="D2105">
        <v>200</v>
      </c>
      <c r="E2105">
        <v>0.1</v>
      </c>
      <c r="F2105" s="2">
        <v>44982</v>
      </c>
      <c r="G2105" s="2" t="str">
        <f>TEXT(LayoffsData[[#This Row],[date]],"yyyy-mm")</f>
        <v>2023-02</v>
      </c>
      <c r="H2105" s="1" t="s">
        <v>11</v>
      </c>
      <c r="I2105" s="1" t="s">
        <v>17</v>
      </c>
      <c r="J2105">
        <v>12900</v>
      </c>
    </row>
    <row r="2106" spans="1:10" x14ac:dyDescent="0.25">
      <c r="A2106" s="1" t="s">
        <v>1983</v>
      </c>
      <c r="B2106" s="1" t="s">
        <v>14</v>
      </c>
      <c r="C2106" s="1" t="s">
        <v>27</v>
      </c>
      <c r="D2106">
        <v>3700</v>
      </c>
      <c r="E2106">
        <v>0.5</v>
      </c>
      <c r="F2106" s="2">
        <v>44869</v>
      </c>
      <c r="G2106" s="2" t="str">
        <f>TEXT(LayoffsData[[#This Row],[date]],"yyyy-mm")</f>
        <v>2022-11</v>
      </c>
      <c r="H2106" s="1" t="s">
        <v>11</v>
      </c>
      <c r="I2106" s="1" t="s">
        <v>17</v>
      </c>
      <c r="J2106">
        <v>12900</v>
      </c>
    </row>
    <row r="2107" spans="1:10" x14ac:dyDescent="0.25">
      <c r="A2107" s="1" t="s">
        <v>1984</v>
      </c>
      <c r="B2107" s="1" t="s">
        <v>878</v>
      </c>
      <c r="C2107" s="1" t="s">
        <v>20</v>
      </c>
      <c r="F2107" s="2">
        <v>44880</v>
      </c>
      <c r="G2107" s="2" t="str">
        <f>TEXT(LayoffsData[[#This Row],[date]],"yyyy-mm")</f>
        <v>2022-11</v>
      </c>
      <c r="H2107" s="1" t="s">
        <v>28</v>
      </c>
      <c r="I2107" s="1" t="s">
        <v>879</v>
      </c>
      <c r="J2107">
        <v>187</v>
      </c>
    </row>
    <row r="2108" spans="1:10" x14ac:dyDescent="0.25">
      <c r="A2108" s="1" t="s">
        <v>1985</v>
      </c>
      <c r="B2108" s="1" t="s">
        <v>32</v>
      </c>
      <c r="C2108" s="1" t="s">
        <v>68</v>
      </c>
      <c r="F2108" s="2">
        <v>44042</v>
      </c>
      <c r="G2108" s="2" t="str">
        <f>TEXT(LayoffsData[[#This Row],[date]],"yyyy-mm")</f>
        <v>2020-07</v>
      </c>
      <c r="H2108" s="1" t="s">
        <v>57</v>
      </c>
      <c r="I2108" s="1" t="s">
        <v>17</v>
      </c>
      <c r="J2108">
        <v>472</v>
      </c>
    </row>
    <row r="2109" spans="1:10" x14ac:dyDescent="0.25">
      <c r="A2109" s="1" t="s">
        <v>1986</v>
      </c>
      <c r="B2109" s="1" t="s">
        <v>387</v>
      </c>
      <c r="C2109" s="1" t="s">
        <v>68</v>
      </c>
      <c r="D2109">
        <v>53</v>
      </c>
      <c r="E2109">
        <v>0.03</v>
      </c>
      <c r="F2109" s="2">
        <v>44895</v>
      </c>
      <c r="G2109" s="2" t="str">
        <f>TEXT(LayoffsData[[#This Row],[date]],"yyyy-mm")</f>
        <v>2022-11</v>
      </c>
      <c r="H2109" s="1" t="s">
        <v>33</v>
      </c>
      <c r="I2109" s="1" t="s">
        <v>388</v>
      </c>
      <c r="J2109">
        <v>544</v>
      </c>
    </row>
    <row r="2110" spans="1:10" x14ac:dyDescent="0.25">
      <c r="A2110" s="1" t="s">
        <v>1987</v>
      </c>
      <c r="B2110" s="1" t="s">
        <v>349</v>
      </c>
      <c r="C2110" s="1" t="s">
        <v>10</v>
      </c>
      <c r="D2110">
        <v>225</v>
      </c>
      <c r="E2110">
        <v>0.25</v>
      </c>
      <c r="F2110" s="2">
        <v>43994</v>
      </c>
      <c r="G2110" s="2" t="str">
        <f>TEXT(LayoffsData[[#This Row],[date]],"yyyy-mm")</f>
        <v>2020-06</v>
      </c>
      <c r="H2110" s="1" t="s">
        <v>11</v>
      </c>
      <c r="I2110" s="1" t="s">
        <v>350</v>
      </c>
      <c r="J2110">
        <v>24700</v>
      </c>
    </row>
    <row r="2111" spans="1:10" x14ac:dyDescent="0.25">
      <c r="A2111" s="1" t="s">
        <v>1987</v>
      </c>
      <c r="B2111" s="1" t="s">
        <v>293</v>
      </c>
      <c r="C2111" s="1" t="s">
        <v>10</v>
      </c>
      <c r="D2111">
        <v>600</v>
      </c>
      <c r="E2111">
        <v>0.23</v>
      </c>
      <c r="F2111" s="2">
        <v>43977</v>
      </c>
      <c r="G2111" s="2" t="str">
        <f>TEXT(LayoffsData[[#This Row],[date]],"yyyy-mm")</f>
        <v>2020-05</v>
      </c>
      <c r="H2111" s="1" t="s">
        <v>11</v>
      </c>
      <c r="I2111" s="1" t="s">
        <v>69</v>
      </c>
      <c r="J2111">
        <v>24700</v>
      </c>
    </row>
    <row r="2112" spans="1:10" x14ac:dyDescent="0.25">
      <c r="A2112" s="1" t="s">
        <v>1987</v>
      </c>
      <c r="B2112" s="1" t="s">
        <v>14</v>
      </c>
      <c r="C2112" s="1" t="s">
        <v>10</v>
      </c>
      <c r="D2112">
        <v>3000</v>
      </c>
      <c r="E2112">
        <v>0.13</v>
      </c>
      <c r="F2112" s="2">
        <v>43969</v>
      </c>
      <c r="G2112" s="2" t="str">
        <f>TEXT(LayoffsData[[#This Row],[date]],"yyyy-mm")</f>
        <v>2020-05</v>
      </c>
      <c r="H2112" s="1" t="s">
        <v>11</v>
      </c>
      <c r="I2112" s="1" t="s">
        <v>17</v>
      </c>
      <c r="J2112">
        <v>24700</v>
      </c>
    </row>
    <row r="2113" spans="1:10" x14ac:dyDescent="0.25">
      <c r="A2113" s="1" t="s">
        <v>1987</v>
      </c>
      <c r="B2113" s="1" t="s">
        <v>14</v>
      </c>
      <c r="C2113" s="1" t="s">
        <v>10</v>
      </c>
      <c r="D2113">
        <v>3700</v>
      </c>
      <c r="E2113">
        <v>0.14000000000000001</v>
      </c>
      <c r="F2113" s="2">
        <v>43957</v>
      </c>
      <c r="G2113" s="2" t="str">
        <f>TEXT(LayoffsData[[#This Row],[date]],"yyyy-mm")</f>
        <v>2020-05</v>
      </c>
      <c r="H2113" s="1" t="s">
        <v>11</v>
      </c>
      <c r="I2113" s="1" t="s">
        <v>17</v>
      </c>
      <c r="J2113">
        <v>24700</v>
      </c>
    </row>
    <row r="2114" spans="1:10" x14ac:dyDescent="0.25">
      <c r="A2114" s="1" t="s">
        <v>1987</v>
      </c>
      <c r="B2114" s="1" t="s">
        <v>1988</v>
      </c>
      <c r="C2114" s="1" t="s">
        <v>10</v>
      </c>
      <c r="D2114">
        <v>60</v>
      </c>
      <c r="F2114" s="2">
        <v>44811</v>
      </c>
      <c r="G2114" s="2" t="str">
        <f>TEXT(LayoffsData[[#This Row],[date]],"yyyy-mm")</f>
        <v>2022-09</v>
      </c>
      <c r="H2114" s="1" t="s">
        <v>11</v>
      </c>
      <c r="I2114" s="1" t="s">
        <v>1989</v>
      </c>
      <c r="J2114">
        <v>24700</v>
      </c>
    </row>
    <row r="2115" spans="1:10" x14ac:dyDescent="0.25">
      <c r="A2115" s="1" t="s">
        <v>1990</v>
      </c>
      <c r="B2115" s="1" t="s">
        <v>14</v>
      </c>
      <c r="C2115" s="1" t="s">
        <v>108</v>
      </c>
      <c r="D2115">
        <v>150</v>
      </c>
      <c r="E2115">
        <v>0.03</v>
      </c>
      <c r="F2115" s="2">
        <v>44949</v>
      </c>
      <c r="G2115" s="2" t="str">
        <f>TEXT(LayoffsData[[#This Row],[date]],"yyyy-mm")</f>
        <v>2023-01</v>
      </c>
      <c r="H2115" s="1" t="s">
        <v>1001</v>
      </c>
      <c r="I2115" s="1" t="s">
        <v>17</v>
      </c>
      <c r="J2115">
        <v>2700</v>
      </c>
    </row>
    <row r="2116" spans="1:10" x14ac:dyDescent="0.25">
      <c r="A2116" s="1" t="s">
        <v>1991</v>
      </c>
      <c r="B2116" s="1" t="s">
        <v>9</v>
      </c>
      <c r="C2116" s="1" t="s">
        <v>20</v>
      </c>
      <c r="D2116">
        <v>31</v>
      </c>
      <c r="E2116">
        <v>0.17</v>
      </c>
      <c r="F2116" s="2">
        <v>44778</v>
      </c>
      <c r="G2116" s="2" t="str">
        <f>TEXT(LayoffsData[[#This Row],[date]],"yyyy-mm")</f>
        <v>2022-08</v>
      </c>
      <c r="H2116" s="1" t="s">
        <v>21</v>
      </c>
      <c r="I2116" s="1" t="s">
        <v>12</v>
      </c>
      <c r="J2116">
        <v>42</v>
      </c>
    </row>
    <row r="2117" spans="1:10" x14ac:dyDescent="0.25">
      <c r="A2117" s="1" t="s">
        <v>1992</v>
      </c>
      <c r="B2117" s="1" t="s">
        <v>293</v>
      </c>
      <c r="C2117" s="1" t="s">
        <v>29</v>
      </c>
      <c r="D2117">
        <v>180</v>
      </c>
      <c r="E2117">
        <v>0.04</v>
      </c>
      <c r="F2117" s="2">
        <v>44739</v>
      </c>
      <c r="G2117" s="2" t="str">
        <f>TEXT(LayoffsData[[#This Row],[date]],"yyyy-mm")</f>
        <v>2022-06</v>
      </c>
      <c r="H2117" s="1" t="s">
        <v>37</v>
      </c>
      <c r="I2117" s="1" t="s">
        <v>69</v>
      </c>
      <c r="J2117">
        <v>1500</v>
      </c>
    </row>
    <row r="2118" spans="1:10" x14ac:dyDescent="0.25">
      <c r="A2118" s="1" t="s">
        <v>1992</v>
      </c>
      <c r="B2118" s="1" t="s">
        <v>293</v>
      </c>
      <c r="C2118" s="1" t="s">
        <v>29</v>
      </c>
      <c r="D2118">
        <v>350</v>
      </c>
      <c r="F2118" s="2">
        <v>44869</v>
      </c>
      <c r="G2118" s="2" t="str">
        <f>TEXT(LayoffsData[[#This Row],[date]],"yyyy-mm")</f>
        <v>2022-11</v>
      </c>
      <c r="H2118" s="1" t="s">
        <v>37</v>
      </c>
      <c r="I2118" s="1" t="s">
        <v>69</v>
      </c>
      <c r="J2118">
        <v>1500</v>
      </c>
    </row>
    <row r="2119" spans="1:10" x14ac:dyDescent="0.25">
      <c r="A2119" s="1" t="s">
        <v>1993</v>
      </c>
      <c r="B2119" s="1" t="s">
        <v>14</v>
      </c>
      <c r="C2119" s="1" t="s">
        <v>41</v>
      </c>
      <c r="D2119">
        <v>55</v>
      </c>
      <c r="E2119">
        <v>0.13</v>
      </c>
      <c r="F2119" s="2">
        <v>44845</v>
      </c>
      <c r="G2119" s="2" t="str">
        <f>TEXT(LayoffsData[[#This Row],[date]],"yyyy-mm")</f>
        <v>2022-10</v>
      </c>
      <c r="H2119" s="1" t="s">
        <v>37</v>
      </c>
      <c r="I2119" s="1" t="s">
        <v>17</v>
      </c>
      <c r="J2119">
        <v>235</v>
      </c>
    </row>
    <row r="2120" spans="1:10" x14ac:dyDescent="0.25">
      <c r="A2120" s="1" t="s">
        <v>1994</v>
      </c>
      <c r="B2120" s="1" t="s">
        <v>424</v>
      </c>
      <c r="C2120" s="1" t="s">
        <v>41</v>
      </c>
      <c r="D2120">
        <v>100</v>
      </c>
      <c r="E2120">
        <v>1</v>
      </c>
      <c r="F2120" s="2">
        <v>44713</v>
      </c>
      <c r="G2120" s="2" t="str">
        <f>TEXT(LayoffsData[[#This Row],[date]],"yyyy-mm")</f>
        <v>2022-06</v>
      </c>
      <c r="H2120" s="1" t="s">
        <v>131</v>
      </c>
      <c r="I2120" s="1" t="s">
        <v>69</v>
      </c>
      <c r="J2120">
        <v>2</v>
      </c>
    </row>
    <row r="2121" spans="1:10" x14ac:dyDescent="0.25">
      <c r="A2121" s="1" t="s">
        <v>1995</v>
      </c>
      <c r="B2121" s="1" t="s">
        <v>14</v>
      </c>
      <c r="C2121" s="1" t="s">
        <v>41</v>
      </c>
      <c r="E2121">
        <v>0.1</v>
      </c>
      <c r="F2121" s="2">
        <v>44971</v>
      </c>
      <c r="G2121" s="2" t="str">
        <f>TEXT(LayoffsData[[#This Row],[date]],"yyyy-mm")</f>
        <v>2023-02</v>
      </c>
      <c r="H2121" s="1" t="s">
        <v>11</v>
      </c>
      <c r="I2121" s="1" t="s">
        <v>17</v>
      </c>
      <c r="J2121">
        <v>311</v>
      </c>
    </row>
    <row r="2122" spans="1:10" x14ac:dyDescent="0.25">
      <c r="A2122" s="1" t="s">
        <v>1996</v>
      </c>
      <c r="B2122" s="1" t="s">
        <v>32</v>
      </c>
      <c r="C2122" s="1" t="s">
        <v>74</v>
      </c>
      <c r="D2122">
        <v>210</v>
      </c>
      <c r="E2122">
        <v>0.05</v>
      </c>
      <c r="F2122" s="2">
        <v>44739</v>
      </c>
      <c r="G2122" s="2" t="str">
        <f>TEXT(LayoffsData[[#This Row],[date]],"yyyy-mm")</f>
        <v>2022-06</v>
      </c>
      <c r="H2122" s="1" t="s">
        <v>11</v>
      </c>
      <c r="I2122" s="1" t="s">
        <v>17</v>
      </c>
      <c r="J2122">
        <v>2000</v>
      </c>
    </row>
    <row r="2123" spans="1:10" x14ac:dyDescent="0.25">
      <c r="A2123" s="1" t="s">
        <v>1996</v>
      </c>
      <c r="B2123" s="1" t="s">
        <v>32</v>
      </c>
      <c r="C2123" s="1" t="s">
        <v>74</v>
      </c>
      <c r="D2123">
        <v>241</v>
      </c>
      <c r="E2123">
        <v>0.06</v>
      </c>
      <c r="F2123" s="2">
        <v>44880</v>
      </c>
      <c r="G2123" s="2" t="str">
        <f>TEXT(LayoffsData[[#This Row],[date]],"yyyy-mm")</f>
        <v>2022-11</v>
      </c>
      <c r="H2123" s="1" t="s">
        <v>11</v>
      </c>
      <c r="I2123" s="1" t="s">
        <v>17</v>
      </c>
      <c r="J2123">
        <v>2000</v>
      </c>
    </row>
    <row r="2124" spans="1:10" x14ac:dyDescent="0.25">
      <c r="A2124" s="1" t="s">
        <v>1997</v>
      </c>
      <c r="B2124" s="1" t="s">
        <v>120</v>
      </c>
      <c r="C2124" s="1" t="s">
        <v>29</v>
      </c>
      <c r="D2124">
        <v>134</v>
      </c>
      <c r="E2124">
        <v>0.23</v>
      </c>
      <c r="F2124" s="2">
        <v>44895</v>
      </c>
      <c r="G2124" s="2" t="str">
        <f>TEXT(LayoffsData[[#This Row],[date]],"yyyy-mm")</f>
        <v>2022-11</v>
      </c>
      <c r="H2124" s="1" t="s">
        <v>24</v>
      </c>
      <c r="I2124" s="1" t="s">
        <v>121</v>
      </c>
      <c r="J2124">
        <v>140</v>
      </c>
    </row>
    <row r="2125" spans="1:10" x14ac:dyDescent="0.25">
      <c r="A2125" s="1" t="s">
        <v>1998</v>
      </c>
      <c r="B2125" s="1" t="s">
        <v>101</v>
      </c>
      <c r="C2125" s="1" t="s">
        <v>29</v>
      </c>
      <c r="E2125">
        <v>0.1</v>
      </c>
      <c r="F2125" s="2">
        <v>44740</v>
      </c>
      <c r="G2125" s="2" t="str">
        <f>TEXT(LayoffsData[[#This Row],[date]],"yyyy-mm")</f>
        <v>2022-06</v>
      </c>
      <c r="H2125" s="1" t="s">
        <v>21</v>
      </c>
      <c r="I2125" s="1" t="s">
        <v>101</v>
      </c>
      <c r="J2125">
        <v>55</v>
      </c>
    </row>
    <row r="2126" spans="1:10" x14ac:dyDescent="0.25">
      <c r="A2126" s="1" t="s">
        <v>1999</v>
      </c>
      <c r="B2126" s="1" t="s">
        <v>293</v>
      </c>
      <c r="C2126" s="1" t="s">
        <v>41</v>
      </c>
      <c r="D2126">
        <v>150</v>
      </c>
      <c r="E2126">
        <v>0.03</v>
      </c>
      <c r="F2126" s="2">
        <v>44730</v>
      </c>
      <c r="G2126" s="2" t="str">
        <f>TEXT(LayoffsData[[#This Row],[date]],"yyyy-mm")</f>
        <v>2022-06</v>
      </c>
      <c r="H2126" s="1" t="s">
        <v>414</v>
      </c>
      <c r="I2126" s="1" t="s">
        <v>69</v>
      </c>
      <c r="J2126">
        <v>838</v>
      </c>
    </row>
    <row r="2127" spans="1:10" x14ac:dyDescent="0.25">
      <c r="A2127" s="1" t="s">
        <v>1999</v>
      </c>
      <c r="B2127" s="1" t="s">
        <v>293</v>
      </c>
      <c r="C2127" s="1" t="s">
        <v>41</v>
      </c>
      <c r="D2127">
        <v>350</v>
      </c>
      <c r="E2127">
        <v>0.1</v>
      </c>
      <c r="F2127" s="2">
        <v>44872</v>
      </c>
      <c r="G2127" s="2" t="str">
        <f>TEXT(LayoffsData[[#This Row],[date]],"yyyy-mm")</f>
        <v>2022-11</v>
      </c>
      <c r="H2127" s="1" t="s">
        <v>414</v>
      </c>
      <c r="I2127" s="1" t="s">
        <v>69</v>
      </c>
      <c r="J2127">
        <v>838</v>
      </c>
    </row>
    <row r="2128" spans="1:10" x14ac:dyDescent="0.25">
      <c r="A2128" s="1" t="s">
        <v>1999</v>
      </c>
      <c r="B2128" s="1" t="s">
        <v>293</v>
      </c>
      <c r="C2128" s="1" t="s">
        <v>41</v>
      </c>
      <c r="D2128">
        <v>1000</v>
      </c>
      <c r="E2128">
        <v>0.17</v>
      </c>
      <c r="F2128" s="2">
        <v>44658</v>
      </c>
      <c r="G2128" s="2" t="str">
        <f>TEXT(LayoffsData[[#This Row],[date]],"yyyy-mm")</f>
        <v>2022-04</v>
      </c>
      <c r="H2128" s="1" t="s">
        <v>414</v>
      </c>
      <c r="I2128" s="1" t="s">
        <v>69</v>
      </c>
      <c r="J2128">
        <v>838</v>
      </c>
    </row>
    <row r="2129" spans="1:10" x14ac:dyDescent="0.25">
      <c r="A2129" s="1" t="s">
        <v>2000</v>
      </c>
      <c r="B2129" s="1" t="s">
        <v>1292</v>
      </c>
      <c r="C2129" s="1" t="s">
        <v>53</v>
      </c>
      <c r="D2129">
        <v>80</v>
      </c>
      <c r="E2129">
        <v>0.35</v>
      </c>
      <c r="F2129" s="2">
        <v>43929</v>
      </c>
      <c r="G2129" s="2" t="str">
        <f>TEXT(LayoffsData[[#This Row],[date]],"yyyy-mm")</f>
        <v>2020-04</v>
      </c>
      <c r="H2129" s="1" t="s">
        <v>28</v>
      </c>
      <c r="I2129" s="1" t="s">
        <v>776</v>
      </c>
      <c r="J2129">
        <v>91</v>
      </c>
    </row>
    <row r="2130" spans="1:10" x14ac:dyDescent="0.25">
      <c r="A2130" s="1" t="s">
        <v>2001</v>
      </c>
      <c r="B2130" s="1" t="s">
        <v>60</v>
      </c>
      <c r="C2130" s="1" t="s">
        <v>20</v>
      </c>
      <c r="D2130">
        <v>47</v>
      </c>
      <c r="E2130">
        <v>0.2</v>
      </c>
      <c r="F2130" s="2">
        <v>44776</v>
      </c>
      <c r="G2130" s="2" t="str">
        <f>TEXT(LayoffsData[[#This Row],[date]],"yyyy-mm")</f>
        <v>2022-08</v>
      </c>
      <c r="H2130" s="1" t="s">
        <v>21</v>
      </c>
      <c r="I2130" s="1" t="s">
        <v>12</v>
      </c>
      <c r="J2130">
        <v>39</v>
      </c>
    </row>
    <row r="2131" spans="1:10" x14ac:dyDescent="0.25">
      <c r="A2131" s="1" t="s">
        <v>2002</v>
      </c>
      <c r="B2131" s="1" t="s">
        <v>200</v>
      </c>
      <c r="C2131" s="1" t="s">
        <v>68</v>
      </c>
      <c r="D2131">
        <v>29</v>
      </c>
      <c r="E2131">
        <v>0.26</v>
      </c>
      <c r="F2131" s="2">
        <v>44708</v>
      </c>
      <c r="G2131" s="2" t="str">
        <f>TEXT(LayoffsData[[#This Row],[date]],"yyyy-mm")</f>
        <v>2022-05</v>
      </c>
      <c r="H2131" s="1" t="s">
        <v>37</v>
      </c>
      <c r="I2131" s="1" t="s">
        <v>201</v>
      </c>
      <c r="J2131">
        <v>118</v>
      </c>
    </row>
    <row r="2132" spans="1:10" x14ac:dyDescent="0.25">
      <c r="A2132" s="1" t="s">
        <v>2003</v>
      </c>
      <c r="B2132" s="1" t="s">
        <v>137</v>
      </c>
      <c r="C2132" s="1" t="s">
        <v>36</v>
      </c>
      <c r="E2132">
        <v>0.15</v>
      </c>
      <c r="F2132" s="2">
        <v>44883</v>
      </c>
      <c r="G2132" s="2" t="str">
        <f>TEXT(LayoffsData[[#This Row],[date]],"yyyy-mm")</f>
        <v>2022-11</v>
      </c>
      <c r="H2132" s="1" t="s">
        <v>21</v>
      </c>
      <c r="I2132" s="1" t="s">
        <v>17</v>
      </c>
      <c r="J2132">
        <v>33</v>
      </c>
    </row>
    <row r="2133" spans="1:10" x14ac:dyDescent="0.25">
      <c r="A2133" s="1" t="s">
        <v>2004</v>
      </c>
      <c r="B2133" s="1" t="s">
        <v>35</v>
      </c>
      <c r="C2133" s="1" t="s">
        <v>149</v>
      </c>
      <c r="D2133">
        <v>50</v>
      </c>
      <c r="E2133">
        <v>0.04</v>
      </c>
      <c r="F2133" s="2">
        <v>44858</v>
      </c>
      <c r="G2133" s="2" t="str">
        <f>TEXT(LayoffsData[[#This Row],[date]],"yyyy-mm")</f>
        <v>2022-10</v>
      </c>
      <c r="H2133" s="1" t="s">
        <v>33</v>
      </c>
      <c r="I2133" s="1" t="s">
        <v>38</v>
      </c>
      <c r="J2133">
        <v>336</v>
      </c>
    </row>
    <row r="2134" spans="1:10" x14ac:dyDescent="0.25">
      <c r="A2134" s="1" t="s">
        <v>2004</v>
      </c>
      <c r="B2134" s="1" t="s">
        <v>35</v>
      </c>
      <c r="C2134" s="1" t="s">
        <v>149</v>
      </c>
      <c r="D2134">
        <v>110</v>
      </c>
      <c r="E2134">
        <v>0.1</v>
      </c>
      <c r="F2134" s="2">
        <v>44943</v>
      </c>
      <c r="G2134" s="2" t="str">
        <f>TEXT(LayoffsData[[#This Row],[date]],"yyyy-mm")</f>
        <v>2023-01</v>
      </c>
      <c r="H2134" s="1" t="s">
        <v>33</v>
      </c>
      <c r="I2134" s="1" t="s">
        <v>38</v>
      </c>
      <c r="J2134">
        <v>336</v>
      </c>
    </row>
    <row r="2135" spans="1:10" x14ac:dyDescent="0.25">
      <c r="A2135" s="1" t="s">
        <v>2005</v>
      </c>
      <c r="B2135" s="1" t="s">
        <v>14</v>
      </c>
      <c r="C2135" s="1" t="s">
        <v>53</v>
      </c>
      <c r="D2135">
        <v>76</v>
      </c>
      <c r="E2135">
        <v>0.1</v>
      </c>
      <c r="F2135" s="2">
        <v>44929</v>
      </c>
      <c r="G2135" s="2" t="str">
        <f>TEXT(LayoffsData[[#This Row],[date]],"yyyy-mm")</f>
        <v>2023-01</v>
      </c>
      <c r="H2135" s="1" t="s">
        <v>16</v>
      </c>
      <c r="I2135" s="1" t="s">
        <v>17</v>
      </c>
      <c r="J2135">
        <v>620</v>
      </c>
    </row>
    <row r="2136" spans="1:10" x14ac:dyDescent="0.25">
      <c r="A2136" s="1" t="s">
        <v>2006</v>
      </c>
      <c r="B2136" s="1" t="s">
        <v>14</v>
      </c>
      <c r="C2136" s="1" t="s">
        <v>68</v>
      </c>
      <c r="D2136">
        <v>89</v>
      </c>
      <c r="E2136">
        <v>0.45</v>
      </c>
      <c r="F2136" s="2">
        <v>43929</v>
      </c>
      <c r="G2136" s="2" t="str">
        <f>TEXT(LayoffsData[[#This Row],[date]],"yyyy-mm")</f>
        <v>2020-04</v>
      </c>
      <c r="H2136" s="1" t="s">
        <v>24</v>
      </c>
      <c r="I2136" s="1" t="s">
        <v>17</v>
      </c>
      <c r="J2136">
        <v>40</v>
      </c>
    </row>
    <row r="2137" spans="1:10" x14ac:dyDescent="0.25">
      <c r="A2137" s="1" t="s">
        <v>2007</v>
      </c>
      <c r="B2137" s="1" t="s">
        <v>14</v>
      </c>
      <c r="C2137" s="1" t="s">
        <v>149</v>
      </c>
      <c r="D2137">
        <v>200</v>
      </c>
      <c r="E2137">
        <v>0.04</v>
      </c>
      <c r="F2137" s="2">
        <v>44741</v>
      </c>
      <c r="G2137" s="2" t="str">
        <f>TEXT(LayoffsData[[#This Row],[date]],"yyyy-mm")</f>
        <v>2022-06</v>
      </c>
      <c r="H2137" s="1" t="s">
        <v>11</v>
      </c>
      <c r="I2137" s="1" t="s">
        <v>17</v>
      </c>
      <c r="J2137">
        <v>1300</v>
      </c>
    </row>
    <row r="2138" spans="1:10" x14ac:dyDescent="0.25">
      <c r="A2138" s="1" t="s">
        <v>2007</v>
      </c>
      <c r="B2138" s="1" t="s">
        <v>14</v>
      </c>
      <c r="C2138" s="1" t="s">
        <v>149</v>
      </c>
      <c r="D2138">
        <v>284</v>
      </c>
      <c r="E2138">
        <v>0.03</v>
      </c>
      <c r="F2138" s="2">
        <v>44943</v>
      </c>
      <c r="G2138" s="2" t="str">
        <f>TEXT(LayoffsData[[#This Row],[date]],"yyyy-mm")</f>
        <v>2023-01</v>
      </c>
      <c r="H2138" s="1" t="s">
        <v>11</v>
      </c>
      <c r="I2138" s="1" t="s">
        <v>17</v>
      </c>
      <c r="J2138">
        <v>1300</v>
      </c>
    </row>
    <row r="2139" spans="1:10" x14ac:dyDescent="0.25">
      <c r="A2139" s="1" t="s">
        <v>2008</v>
      </c>
      <c r="B2139" s="1" t="s">
        <v>32</v>
      </c>
      <c r="C2139" s="1" t="s">
        <v>29</v>
      </c>
      <c r="F2139" s="2">
        <v>43915</v>
      </c>
      <c r="G2139" s="2" t="str">
        <f>TEXT(LayoffsData[[#This Row],[date]],"yyyy-mm")</f>
        <v>2020-03</v>
      </c>
      <c r="H2139" s="1" t="s">
        <v>21</v>
      </c>
      <c r="I2139" s="1" t="s">
        <v>17</v>
      </c>
      <c r="J2139">
        <v>8</v>
      </c>
    </row>
    <row r="2140" spans="1:10" x14ac:dyDescent="0.25">
      <c r="A2140" s="1" t="s">
        <v>2009</v>
      </c>
      <c r="B2140" s="1" t="s">
        <v>14</v>
      </c>
      <c r="C2140" s="1" t="s">
        <v>36</v>
      </c>
      <c r="D2140">
        <v>42</v>
      </c>
      <c r="E2140">
        <v>0.25</v>
      </c>
      <c r="F2140" s="2">
        <v>44756</v>
      </c>
      <c r="G2140" s="2" t="str">
        <f>TEXT(LayoffsData[[#This Row],[date]],"yyyy-mm")</f>
        <v>2022-07</v>
      </c>
      <c r="H2140" s="1" t="s">
        <v>24</v>
      </c>
      <c r="I2140" s="1" t="s">
        <v>17</v>
      </c>
      <c r="J2140">
        <v>7</v>
      </c>
    </row>
    <row r="2141" spans="1:10" x14ac:dyDescent="0.25">
      <c r="A2141" s="1" t="s">
        <v>2010</v>
      </c>
      <c r="B2141" s="1" t="s">
        <v>32</v>
      </c>
      <c r="C2141" s="1" t="s">
        <v>149</v>
      </c>
      <c r="F2141" s="2">
        <v>44789</v>
      </c>
      <c r="G2141" s="2" t="str">
        <f>TEXT(LayoffsData[[#This Row],[date]],"yyyy-mm")</f>
        <v>2022-08</v>
      </c>
      <c r="H2141" s="1" t="s">
        <v>37</v>
      </c>
      <c r="I2141" s="1" t="s">
        <v>17</v>
      </c>
      <c r="J2141">
        <v>467</v>
      </c>
    </row>
    <row r="2142" spans="1:10" x14ac:dyDescent="0.25">
      <c r="A2142" s="1" t="s">
        <v>2011</v>
      </c>
      <c r="B2142" s="1" t="s">
        <v>67</v>
      </c>
      <c r="C2142" s="1" t="s">
        <v>41</v>
      </c>
      <c r="D2142">
        <v>120</v>
      </c>
      <c r="F2142" s="2">
        <v>44991</v>
      </c>
      <c r="G2142" s="2" t="str">
        <f>TEXT(LayoffsData[[#This Row],[date]],"yyyy-mm")</f>
        <v>2023-03</v>
      </c>
      <c r="H2142" s="1" t="s">
        <v>37</v>
      </c>
      <c r="I2142" s="1" t="s">
        <v>69</v>
      </c>
      <c r="J2142">
        <v>631</v>
      </c>
    </row>
    <row r="2143" spans="1:10" x14ac:dyDescent="0.25">
      <c r="A2143" s="1" t="s">
        <v>2012</v>
      </c>
      <c r="B2143" s="1" t="s">
        <v>424</v>
      </c>
      <c r="C2143" s="1" t="s">
        <v>29</v>
      </c>
      <c r="D2143">
        <v>25</v>
      </c>
      <c r="E2143">
        <v>0.15</v>
      </c>
      <c r="F2143" s="2">
        <v>44931</v>
      </c>
      <c r="G2143" s="2" t="str">
        <f>TEXT(LayoffsData[[#This Row],[date]],"yyyy-mm")</f>
        <v>2023-01</v>
      </c>
      <c r="H2143" s="1" t="s">
        <v>24</v>
      </c>
      <c r="I2143" s="1" t="s">
        <v>69</v>
      </c>
      <c r="J2143">
        <v>62</v>
      </c>
    </row>
    <row r="2144" spans="1:10" x14ac:dyDescent="0.25">
      <c r="A2144" s="1" t="s">
        <v>2013</v>
      </c>
      <c r="B2144" s="1" t="s">
        <v>76</v>
      </c>
      <c r="C2144" s="1" t="s">
        <v>20</v>
      </c>
      <c r="D2144">
        <v>19</v>
      </c>
      <c r="E2144">
        <v>0.3</v>
      </c>
      <c r="F2144" s="2">
        <v>43945</v>
      </c>
      <c r="G2144" s="2" t="str">
        <f>TEXT(LayoffsData[[#This Row],[date]],"yyyy-mm")</f>
        <v>2020-04</v>
      </c>
      <c r="H2144" s="1" t="s">
        <v>21</v>
      </c>
      <c r="I2144" s="1" t="s">
        <v>17</v>
      </c>
      <c r="J2144">
        <v>7</v>
      </c>
    </row>
    <row r="2145" spans="1:10" x14ac:dyDescent="0.25">
      <c r="A2145" s="1" t="s">
        <v>2014</v>
      </c>
      <c r="B2145" s="1" t="s">
        <v>14</v>
      </c>
      <c r="C2145" s="1" t="s">
        <v>68</v>
      </c>
      <c r="D2145">
        <v>140</v>
      </c>
      <c r="E2145">
        <v>7.0000000000000007E-2</v>
      </c>
      <c r="F2145" s="2">
        <v>44866</v>
      </c>
      <c r="G2145" s="2" t="str">
        <f>TEXT(LayoffsData[[#This Row],[date]],"yyyy-mm")</f>
        <v>2022-11</v>
      </c>
      <c r="H2145" s="1" t="s">
        <v>11</v>
      </c>
      <c r="I2145" s="1" t="s">
        <v>17</v>
      </c>
      <c r="J2145">
        <v>144</v>
      </c>
    </row>
    <row r="2146" spans="1:10" x14ac:dyDescent="0.25">
      <c r="A2146" s="1" t="s">
        <v>2014</v>
      </c>
      <c r="B2146" s="1" t="s">
        <v>14</v>
      </c>
      <c r="C2146" s="1" t="s">
        <v>68</v>
      </c>
      <c r="D2146">
        <v>365</v>
      </c>
      <c r="E2146">
        <v>0.2</v>
      </c>
      <c r="F2146" s="2">
        <v>44957</v>
      </c>
      <c r="G2146" s="2" t="str">
        <f>TEXT(LayoffsData[[#This Row],[date]],"yyyy-mm")</f>
        <v>2023-01</v>
      </c>
      <c r="H2146" s="1" t="s">
        <v>11</v>
      </c>
      <c r="I2146" s="1" t="s">
        <v>17</v>
      </c>
      <c r="J2146">
        <v>144</v>
      </c>
    </row>
    <row r="2147" spans="1:10" x14ac:dyDescent="0.25">
      <c r="A2147" s="1" t="s">
        <v>2015</v>
      </c>
      <c r="B2147" s="1" t="s">
        <v>79</v>
      </c>
      <c r="C2147" s="1" t="s">
        <v>506</v>
      </c>
      <c r="D2147">
        <v>55</v>
      </c>
      <c r="E2147">
        <v>0.15</v>
      </c>
      <c r="F2147" s="2">
        <v>44805</v>
      </c>
      <c r="G2147" s="2" t="str">
        <f>TEXT(LayoffsData[[#This Row],[date]],"yyyy-mm")</f>
        <v>2022-09</v>
      </c>
      <c r="H2147" s="1" t="s">
        <v>37</v>
      </c>
      <c r="I2147" s="1" t="s">
        <v>80</v>
      </c>
      <c r="J2147">
        <v>95</v>
      </c>
    </row>
    <row r="2148" spans="1:10" x14ac:dyDescent="0.25">
      <c r="A2148" s="1" t="s">
        <v>2016</v>
      </c>
      <c r="B2148" s="1" t="s">
        <v>55</v>
      </c>
      <c r="C2148" s="1" t="s">
        <v>20</v>
      </c>
      <c r="D2148">
        <v>15</v>
      </c>
      <c r="E2148">
        <v>0.25</v>
      </c>
      <c r="F2148" s="2">
        <v>43922</v>
      </c>
      <c r="G2148" s="2" t="str">
        <f>TEXT(LayoffsData[[#This Row],[date]],"yyyy-mm")</f>
        <v>2020-04</v>
      </c>
      <c r="H2148" s="1" t="s">
        <v>28</v>
      </c>
      <c r="I2148" s="1" t="s">
        <v>17</v>
      </c>
      <c r="J2148">
        <v>46</v>
      </c>
    </row>
    <row r="2149" spans="1:10" x14ac:dyDescent="0.25">
      <c r="A2149" s="1" t="s">
        <v>2017</v>
      </c>
      <c r="B2149" s="1" t="s">
        <v>14</v>
      </c>
      <c r="C2149" s="1" t="s">
        <v>20</v>
      </c>
      <c r="D2149">
        <v>63</v>
      </c>
      <c r="F2149" s="2">
        <v>44988</v>
      </c>
      <c r="G2149" s="2" t="str">
        <f>TEXT(LayoffsData[[#This Row],[date]],"yyyy-mm")</f>
        <v>2023-03</v>
      </c>
      <c r="H2149" s="1" t="s">
        <v>57</v>
      </c>
      <c r="I2149" s="1" t="s">
        <v>17</v>
      </c>
      <c r="J2149">
        <v>152</v>
      </c>
    </row>
    <row r="2150" spans="1:10" x14ac:dyDescent="0.25">
      <c r="A2150" s="1" t="s">
        <v>2018</v>
      </c>
      <c r="B2150" s="1" t="s">
        <v>137</v>
      </c>
      <c r="C2150" s="1" t="s">
        <v>108</v>
      </c>
      <c r="D2150">
        <v>65</v>
      </c>
      <c r="E2150">
        <v>0.37</v>
      </c>
      <c r="F2150" s="2">
        <v>43921</v>
      </c>
      <c r="G2150" s="2" t="str">
        <f>TEXT(LayoffsData[[#This Row],[date]],"yyyy-mm")</f>
        <v>2020-03</v>
      </c>
      <c r="H2150" s="1" t="s">
        <v>33</v>
      </c>
      <c r="I2150" s="1" t="s">
        <v>17</v>
      </c>
      <c r="J2150">
        <v>69</v>
      </c>
    </row>
    <row r="2151" spans="1:10" x14ac:dyDescent="0.25">
      <c r="A2151" s="1" t="s">
        <v>2019</v>
      </c>
      <c r="B2151" s="1" t="s">
        <v>2020</v>
      </c>
      <c r="C2151" s="1" t="s">
        <v>63</v>
      </c>
      <c r="F2151" s="2">
        <v>44889</v>
      </c>
      <c r="G2151" s="2" t="str">
        <f>TEXT(LayoffsData[[#This Row],[date]],"yyyy-mm")</f>
        <v>2022-11</v>
      </c>
      <c r="H2151" s="1" t="s">
        <v>24</v>
      </c>
      <c r="I2151" s="1" t="s">
        <v>1356</v>
      </c>
    </row>
    <row r="2152" spans="1:10" x14ac:dyDescent="0.25">
      <c r="A2152" s="1" t="s">
        <v>2021</v>
      </c>
      <c r="B2152" s="1" t="s">
        <v>71</v>
      </c>
      <c r="C2152" s="1" t="s">
        <v>84</v>
      </c>
      <c r="F2152" s="2">
        <v>43910</v>
      </c>
      <c r="G2152" s="2" t="str">
        <f>TEXT(LayoffsData[[#This Row],[date]],"yyyy-mm")</f>
        <v>2020-03</v>
      </c>
      <c r="H2152" s="1" t="s">
        <v>28</v>
      </c>
      <c r="I2152" s="1" t="s">
        <v>17</v>
      </c>
      <c r="J2152">
        <v>526</v>
      </c>
    </row>
    <row r="2153" spans="1:10" x14ac:dyDescent="0.25">
      <c r="A2153" s="1" t="s">
        <v>2021</v>
      </c>
      <c r="B2153" s="1" t="s">
        <v>71</v>
      </c>
      <c r="C2153" s="1" t="s">
        <v>84</v>
      </c>
      <c r="D2153">
        <v>1300</v>
      </c>
      <c r="E2153">
        <v>0.17</v>
      </c>
      <c r="F2153" s="2">
        <v>44950</v>
      </c>
      <c r="G2153" s="2" t="str">
        <f>TEXT(LayoffsData[[#This Row],[date]],"yyyy-mm")</f>
        <v>2023-01</v>
      </c>
      <c r="H2153" s="1" t="s">
        <v>11</v>
      </c>
      <c r="I2153" s="1" t="s">
        <v>17</v>
      </c>
      <c r="J2153">
        <v>834</v>
      </c>
    </row>
    <row r="2154" spans="1:10" x14ac:dyDescent="0.25">
      <c r="A2154" s="1" t="s">
        <v>2022</v>
      </c>
      <c r="B2154" s="1" t="s">
        <v>73</v>
      </c>
      <c r="C2154" s="1" t="s">
        <v>74</v>
      </c>
      <c r="D2154">
        <v>130</v>
      </c>
      <c r="E2154">
        <v>0.33</v>
      </c>
      <c r="F2154" s="2">
        <v>43957</v>
      </c>
      <c r="G2154" s="2" t="str">
        <f>TEXT(LayoffsData[[#This Row],[date]],"yyyy-mm")</f>
        <v>2020-05</v>
      </c>
      <c r="H2154" s="1" t="s">
        <v>105</v>
      </c>
      <c r="I2154" s="1" t="s">
        <v>17</v>
      </c>
    </row>
    <row r="2155" spans="1:10" x14ac:dyDescent="0.25">
      <c r="A2155" s="1" t="s">
        <v>2023</v>
      </c>
      <c r="B2155" s="1" t="s">
        <v>60</v>
      </c>
      <c r="C2155" s="1" t="s">
        <v>147</v>
      </c>
      <c r="F2155" s="2">
        <v>44845</v>
      </c>
      <c r="G2155" s="2" t="str">
        <f>TEXT(LayoffsData[[#This Row],[date]],"yyyy-mm")</f>
        <v>2022-10</v>
      </c>
      <c r="H2155" s="1" t="s">
        <v>131</v>
      </c>
      <c r="I2155" s="1" t="s">
        <v>17</v>
      </c>
    </row>
    <row r="2156" spans="1:10" x14ac:dyDescent="0.25">
      <c r="A2156" s="1" t="s">
        <v>2024</v>
      </c>
      <c r="B2156" s="1" t="s">
        <v>14</v>
      </c>
      <c r="C2156" s="1" t="s">
        <v>172</v>
      </c>
      <c r="E2156">
        <v>0.14000000000000001</v>
      </c>
      <c r="F2156" s="2">
        <v>44903</v>
      </c>
      <c r="G2156" s="2" t="str">
        <f>TEXT(LayoffsData[[#This Row],[date]],"yyyy-mm")</f>
        <v>2022-12</v>
      </c>
      <c r="H2156" s="1" t="s">
        <v>24</v>
      </c>
      <c r="I2156" s="1" t="s">
        <v>17</v>
      </c>
      <c r="J2156">
        <v>203</v>
      </c>
    </row>
    <row r="2157" spans="1:10" x14ac:dyDescent="0.25">
      <c r="A2157" s="1" t="s">
        <v>2025</v>
      </c>
      <c r="B2157" s="1" t="s">
        <v>14</v>
      </c>
      <c r="C2157" s="1" t="s">
        <v>68</v>
      </c>
      <c r="D2157">
        <v>75</v>
      </c>
      <c r="F2157" s="2">
        <v>44762</v>
      </c>
      <c r="G2157" s="2" t="str">
        <f>TEXT(LayoffsData[[#This Row],[date]],"yyyy-mm")</f>
        <v>2022-07</v>
      </c>
      <c r="H2157" s="1" t="s">
        <v>16</v>
      </c>
      <c r="I2157" s="1" t="s">
        <v>17</v>
      </c>
      <c r="J2157">
        <v>992</v>
      </c>
    </row>
    <row r="2158" spans="1:10" x14ac:dyDescent="0.25">
      <c r="A2158" s="1" t="s">
        <v>2026</v>
      </c>
      <c r="B2158" s="1" t="s">
        <v>32</v>
      </c>
      <c r="C2158" s="1" t="s">
        <v>172</v>
      </c>
      <c r="D2158">
        <v>110</v>
      </c>
      <c r="E2158">
        <v>0.05</v>
      </c>
      <c r="F2158" s="2">
        <v>44871</v>
      </c>
      <c r="G2158" s="2" t="str">
        <f>TEXT(LayoffsData[[#This Row],[date]],"yyyy-mm")</f>
        <v>2022-11</v>
      </c>
      <c r="H2158" s="1" t="s">
        <v>11</v>
      </c>
      <c r="I2158" s="1" t="s">
        <v>17</v>
      </c>
      <c r="J2158">
        <v>30</v>
      </c>
    </row>
    <row r="2159" spans="1:10" x14ac:dyDescent="0.25">
      <c r="A2159" s="1" t="s">
        <v>2027</v>
      </c>
      <c r="B2159" s="1" t="s">
        <v>73</v>
      </c>
      <c r="C2159" s="1" t="s">
        <v>15</v>
      </c>
      <c r="E2159">
        <v>0.2</v>
      </c>
      <c r="F2159" s="2">
        <v>44783</v>
      </c>
      <c r="G2159" s="2" t="str">
        <f>TEXT(LayoffsData[[#This Row],[date]],"yyyy-mm")</f>
        <v>2022-08</v>
      </c>
      <c r="H2159" s="1" t="s">
        <v>33</v>
      </c>
      <c r="I2159" s="1" t="s">
        <v>17</v>
      </c>
      <c r="J2159">
        <v>301</v>
      </c>
    </row>
    <row r="2160" spans="1:10" x14ac:dyDescent="0.25">
      <c r="A2160" s="1" t="s">
        <v>2028</v>
      </c>
      <c r="B2160" s="1" t="s">
        <v>293</v>
      </c>
      <c r="C2160" s="1" t="s">
        <v>41</v>
      </c>
      <c r="D2160">
        <v>100</v>
      </c>
      <c r="F2160" s="2">
        <v>44775</v>
      </c>
      <c r="G2160" s="2" t="str">
        <f>TEXT(LayoffsData[[#This Row],[date]],"yyyy-mm")</f>
        <v>2022-08</v>
      </c>
      <c r="H2160" s="1" t="s">
        <v>16</v>
      </c>
      <c r="I2160" s="1" t="s">
        <v>69</v>
      </c>
      <c r="J2160">
        <v>292</v>
      </c>
    </row>
    <row r="2161" spans="1:10" x14ac:dyDescent="0.25">
      <c r="A2161" s="1" t="s">
        <v>2028</v>
      </c>
      <c r="B2161" s="1" t="s">
        <v>293</v>
      </c>
      <c r="C2161" s="1" t="s">
        <v>41</v>
      </c>
      <c r="D2161">
        <v>200</v>
      </c>
      <c r="E2161">
        <v>0.03</v>
      </c>
      <c r="F2161" s="2">
        <v>44686</v>
      </c>
      <c r="G2161" s="2" t="str">
        <f>TEXT(LayoffsData[[#This Row],[date]],"yyyy-mm")</f>
        <v>2022-05</v>
      </c>
      <c r="H2161" s="1" t="s">
        <v>16</v>
      </c>
      <c r="I2161" s="1" t="s">
        <v>69</v>
      </c>
      <c r="J2161">
        <v>292</v>
      </c>
    </row>
    <row r="2162" spans="1:10" x14ac:dyDescent="0.25">
      <c r="A2162" s="1" t="s">
        <v>2028</v>
      </c>
      <c r="B2162" s="1" t="s">
        <v>293</v>
      </c>
      <c r="C2162" s="1" t="s">
        <v>41</v>
      </c>
      <c r="D2162">
        <v>385</v>
      </c>
      <c r="F2162" s="2">
        <v>44902</v>
      </c>
      <c r="G2162" s="2" t="str">
        <f>TEXT(LayoffsData[[#This Row],[date]],"yyyy-mm")</f>
        <v>2022-12</v>
      </c>
      <c r="H2162" s="1" t="s">
        <v>16</v>
      </c>
      <c r="I2162" s="1" t="s">
        <v>69</v>
      </c>
      <c r="J2162">
        <v>292</v>
      </c>
    </row>
    <row r="2163" spans="1:10" x14ac:dyDescent="0.25">
      <c r="A2163" s="1" t="s">
        <v>2028</v>
      </c>
      <c r="B2163" s="1" t="s">
        <v>293</v>
      </c>
      <c r="C2163" s="1" t="s">
        <v>41</v>
      </c>
      <c r="D2163">
        <v>424</v>
      </c>
      <c r="E2163">
        <v>7.0000000000000007E-2</v>
      </c>
      <c r="F2163" s="2">
        <v>44699</v>
      </c>
      <c r="G2163" s="2" t="str">
        <f>TEXT(LayoffsData[[#This Row],[date]],"yyyy-mm")</f>
        <v>2022-05</v>
      </c>
      <c r="H2163" s="1" t="s">
        <v>16</v>
      </c>
      <c r="I2163" s="1" t="s">
        <v>69</v>
      </c>
      <c r="J2163">
        <v>292</v>
      </c>
    </row>
    <row r="2164" spans="1:10" x14ac:dyDescent="0.25">
      <c r="A2164" s="1" t="s">
        <v>2029</v>
      </c>
      <c r="B2164" s="1" t="s">
        <v>168</v>
      </c>
      <c r="C2164" s="1" t="s">
        <v>147</v>
      </c>
      <c r="D2164">
        <v>16</v>
      </c>
      <c r="E2164">
        <v>0.32</v>
      </c>
      <c r="F2164" s="2">
        <v>44773</v>
      </c>
      <c r="G2164" s="2" t="str">
        <f>TEXT(LayoffsData[[#This Row],[date]],"yyyy-mm")</f>
        <v>2022-07</v>
      </c>
      <c r="H2164" s="1" t="s">
        <v>131</v>
      </c>
      <c r="I2164" s="1" t="s">
        <v>170</v>
      </c>
      <c r="J2164">
        <v>15</v>
      </c>
    </row>
    <row r="2165" spans="1:10" x14ac:dyDescent="0.25">
      <c r="A2165" s="1" t="s">
        <v>2029</v>
      </c>
      <c r="B2165" s="1" t="s">
        <v>168</v>
      </c>
      <c r="C2165" s="1" t="s">
        <v>147</v>
      </c>
      <c r="D2165">
        <v>17</v>
      </c>
      <c r="E2165">
        <v>0.5</v>
      </c>
      <c r="F2165" s="2">
        <v>44859</v>
      </c>
      <c r="G2165" s="2" t="str">
        <f>TEXT(LayoffsData[[#This Row],[date]],"yyyy-mm")</f>
        <v>2022-10</v>
      </c>
      <c r="H2165" s="1" t="s">
        <v>131</v>
      </c>
      <c r="I2165" s="1" t="s">
        <v>170</v>
      </c>
      <c r="J2165">
        <v>15</v>
      </c>
    </row>
    <row r="2166" spans="1:10" x14ac:dyDescent="0.25">
      <c r="A2166" s="1" t="s">
        <v>2030</v>
      </c>
      <c r="B2166" s="1" t="s">
        <v>14</v>
      </c>
      <c r="C2166" s="1" t="s">
        <v>68</v>
      </c>
      <c r="D2166">
        <v>30</v>
      </c>
      <c r="F2166" s="2">
        <v>43965</v>
      </c>
      <c r="G2166" s="2" t="str">
        <f>TEXT(LayoffsData[[#This Row],[date]],"yyyy-mm")</f>
        <v>2020-05</v>
      </c>
      <c r="H2166" s="1" t="s">
        <v>37</v>
      </c>
      <c r="I2166" s="1" t="s">
        <v>17</v>
      </c>
      <c r="J2166">
        <v>69</v>
      </c>
    </row>
    <row r="2167" spans="1:10" x14ac:dyDescent="0.25">
      <c r="A2167" s="1" t="s">
        <v>2031</v>
      </c>
      <c r="B2167" s="1" t="s">
        <v>14</v>
      </c>
      <c r="C2167" s="1" t="s">
        <v>174</v>
      </c>
      <c r="D2167">
        <v>100</v>
      </c>
      <c r="E2167">
        <v>0.3</v>
      </c>
      <c r="F2167" s="2">
        <v>44876</v>
      </c>
      <c r="G2167" s="2" t="str">
        <f>TEXT(LayoffsData[[#This Row],[date]],"yyyy-mm")</f>
        <v>2022-11</v>
      </c>
      <c r="H2167" s="1" t="s">
        <v>33</v>
      </c>
      <c r="I2167" s="1" t="s">
        <v>17</v>
      </c>
      <c r="J2167">
        <v>597</v>
      </c>
    </row>
    <row r="2168" spans="1:10" x14ac:dyDescent="0.25">
      <c r="A2168" s="1" t="s">
        <v>2032</v>
      </c>
      <c r="B2168" s="1" t="s">
        <v>14</v>
      </c>
      <c r="C2168" s="1" t="s">
        <v>10</v>
      </c>
      <c r="D2168">
        <v>140</v>
      </c>
      <c r="F2168" s="2">
        <v>43924</v>
      </c>
      <c r="G2168" s="2" t="str">
        <f>TEXT(LayoffsData[[#This Row],[date]],"yyyy-mm")</f>
        <v>2020-04</v>
      </c>
      <c r="H2168" s="1" t="s">
        <v>37</v>
      </c>
      <c r="I2168" s="1" t="s">
        <v>17</v>
      </c>
      <c r="J2168">
        <v>225</v>
      </c>
    </row>
    <row r="2169" spans="1:10" x14ac:dyDescent="0.25">
      <c r="A2169" s="1" t="s">
        <v>2032</v>
      </c>
      <c r="B2169" s="1" t="s">
        <v>14</v>
      </c>
      <c r="C2169" s="1" t="s">
        <v>10</v>
      </c>
      <c r="D2169">
        <v>220</v>
      </c>
      <c r="F2169" s="2">
        <v>44981</v>
      </c>
      <c r="G2169" s="2" t="str">
        <f>TEXT(LayoffsData[[#This Row],[date]],"yyyy-mm")</f>
        <v>2023-02</v>
      </c>
      <c r="H2169" s="1" t="s">
        <v>57</v>
      </c>
      <c r="I2169" s="1" t="s">
        <v>17</v>
      </c>
      <c r="J2169">
        <v>575</v>
      </c>
    </row>
    <row r="2170" spans="1:10" x14ac:dyDescent="0.25">
      <c r="A2170" s="1" t="s">
        <v>2033</v>
      </c>
      <c r="B2170" s="1" t="s">
        <v>92</v>
      </c>
      <c r="C2170" s="1" t="s">
        <v>172</v>
      </c>
      <c r="F2170" s="2">
        <v>44895</v>
      </c>
      <c r="G2170" s="2" t="str">
        <f>TEXT(LayoffsData[[#This Row],[date]],"yyyy-mm")</f>
        <v>2022-11</v>
      </c>
      <c r="H2170" s="1" t="s">
        <v>57</v>
      </c>
      <c r="I2170" s="1" t="s">
        <v>17</v>
      </c>
      <c r="J2170">
        <v>167</v>
      </c>
    </row>
    <row r="2171" spans="1:10" x14ac:dyDescent="0.25">
      <c r="A2171" s="1" t="s">
        <v>2034</v>
      </c>
      <c r="B2171" s="1" t="s">
        <v>2035</v>
      </c>
      <c r="C2171" s="1" t="s">
        <v>20</v>
      </c>
      <c r="E2171">
        <v>0.05</v>
      </c>
      <c r="F2171" s="2">
        <v>44791</v>
      </c>
      <c r="G2171" s="2" t="str">
        <f>TEXT(LayoffsData[[#This Row],[date]],"yyyy-mm")</f>
        <v>2022-08</v>
      </c>
      <c r="H2171" s="1" t="s">
        <v>33</v>
      </c>
      <c r="I2171" s="1" t="s">
        <v>12</v>
      </c>
      <c r="J2171">
        <v>178</v>
      </c>
    </row>
    <row r="2172" spans="1:10" x14ac:dyDescent="0.25">
      <c r="A2172" s="1" t="s">
        <v>2036</v>
      </c>
      <c r="B2172" s="1" t="s">
        <v>343</v>
      </c>
      <c r="C2172" s="1" t="s">
        <v>51</v>
      </c>
      <c r="D2172">
        <v>27</v>
      </c>
      <c r="E2172">
        <v>0.09</v>
      </c>
      <c r="F2172" s="2">
        <v>44890</v>
      </c>
      <c r="G2172" s="2" t="str">
        <f>TEXT(LayoffsData[[#This Row],[date]],"yyyy-mm")</f>
        <v>2022-11</v>
      </c>
      <c r="H2172" s="1" t="s">
        <v>21</v>
      </c>
      <c r="I2172" s="1" t="s">
        <v>140</v>
      </c>
      <c r="J2172">
        <v>43</v>
      </c>
    </row>
    <row r="2173" spans="1:10" x14ac:dyDescent="0.25">
      <c r="A2173" s="1" t="s">
        <v>2037</v>
      </c>
      <c r="B2173" s="1" t="s">
        <v>9</v>
      </c>
      <c r="C2173" s="1" t="s">
        <v>20</v>
      </c>
      <c r="D2173">
        <v>11</v>
      </c>
      <c r="E2173">
        <v>0.2</v>
      </c>
      <c r="F2173" s="2">
        <v>44950</v>
      </c>
      <c r="G2173" s="2" t="str">
        <f>TEXT(LayoffsData[[#This Row],[date]],"yyyy-mm")</f>
        <v>2023-01</v>
      </c>
      <c r="H2173" s="1" t="s">
        <v>37</v>
      </c>
      <c r="I2173" s="1" t="s">
        <v>12</v>
      </c>
    </row>
    <row r="2174" spans="1:10" x14ac:dyDescent="0.25">
      <c r="A2174" s="1" t="s">
        <v>2038</v>
      </c>
      <c r="B2174" s="1" t="s">
        <v>32</v>
      </c>
      <c r="C2174" s="1" t="s">
        <v>74</v>
      </c>
      <c r="D2174">
        <v>80</v>
      </c>
      <c r="E2174">
        <v>0.1</v>
      </c>
      <c r="F2174" s="2">
        <v>44747</v>
      </c>
      <c r="G2174" s="2" t="str">
        <f>TEXT(LayoffsData[[#This Row],[date]],"yyyy-mm")</f>
        <v>2022-07</v>
      </c>
      <c r="H2174" s="1" t="s">
        <v>16</v>
      </c>
      <c r="I2174" s="1" t="s">
        <v>17</v>
      </c>
      <c r="J2174">
        <v>569</v>
      </c>
    </row>
    <row r="2175" spans="1:10" x14ac:dyDescent="0.25">
      <c r="A2175" s="1" t="s">
        <v>2039</v>
      </c>
      <c r="B2175" s="1" t="s">
        <v>1497</v>
      </c>
      <c r="C2175" s="1" t="s">
        <v>172</v>
      </c>
      <c r="D2175">
        <v>63</v>
      </c>
      <c r="E2175">
        <v>0.21</v>
      </c>
      <c r="F2175" s="2">
        <v>43955</v>
      </c>
      <c r="G2175" s="2" t="str">
        <f>TEXT(LayoffsData[[#This Row],[date]],"yyyy-mm")</f>
        <v>2020-05</v>
      </c>
      <c r="H2175" s="1" t="s">
        <v>21</v>
      </c>
      <c r="I2175" s="1" t="s">
        <v>1498</v>
      </c>
      <c r="J2175">
        <v>7</v>
      </c>
    </row>
    <row r="2176" spans="1:10" x14ac:dyDescent="0.25">
      <c r="A2176" s="1" t="s">
        <v>2039</v>
      </c>
      <c r="B2176" s="1" t="s">
        <v>1497</v>
      </c>
      <c r="C2176" s="1" t="s">
        <v>172</v>
      </c>
      <c r="D2176">
        <v>66</v>
      </c>
      <c r="E2176">
        <v>0.12</v>
      </c>
      <c r="F2176" s="2">
        <v>44966</v>
      </c>
      <c r="G2176" s="2" t="str">
        <f>TEXT(LayoffsData[[#This Row],[date]],"yyyy-mm")</f>
        <v>2023-02</v>
      </c>
      <c r="H2176" s="1" t="s">
        <v>28</v>
      </c>
      <c r="I2176" s="1" t="s">
        <v>1498</v>
      </c>
      <c r="J2176">
        <v>192</v>
      </c>
    </row>
    <row r="2177" spans="1:10" x14ac:dyDescent="0.25">
      <c r="A2177" s="1" t="s">
        <v>2040</v>
      </c>
      <c r="B2177" s="1" t="s">
        <v>14</v>
      </c>
      <c r="C2177" s="1" t="s">
        <v>15</v>
      </c>
      <c r="D2177">
        <v>250</v>
      </c>
      <c r="E2177">
        <v>0.15</v>
      </c>
      <c r="F2177" s="2">
        <v>44937</v>
      </c>
      <c r="G2177" s="2" t="str">
        <f>TEXT(LayoffsData[[#This Row],[date]],"yyyy-mm")</f>
        <v>2023-01</v>
      </c>
      <c r="H2177" s="1" t="s">
        <v>94</v>
      </c>
      <c r="I2177" s="1" t="s">
        <v>17</v>
      </c>
      <c r="J2177">
        <v>3500</v>
      </c>
    </row>
    <row r="2178" spans="1:10" x14ac:dyDescent="0.25">
      <c r="A2178" s="1" t="s">
        <v>2041</v>
      </c>
      <c r="B2178" s="1" t="s">
        <v>293</v>
      </c>
      <c r="C2178" s="1" t="s">
        <v>63</v>
      </c>
      <c r="D2178">
        <v>150</v>
      </c>
      <c r="E2178">
        <v>0.05</v>
      </c>
      <c r="F2178" s="2">
        <v>44890</v>
      </c>
      <c r="G2178" s="2" t="str">
        <f>TEXT(LayoffsData[[#This Row],[date]],"yyyy-mm")</f>
        <v>2022-11</v>
      </c>
      <c r="H2178" s="1" t="s">
        <v>1381</v>
      </c>
      <c r="I2178" s="1" t="s">
        <v>69</v>
      </c>
      <c r="J2178">
        <v>1700</v>
      </c>
    </row>
    <row r="2179" spans="1:10" x14ac:dyDescent="0.25">
      <c r="A2179" s="1" t="s">
        <v>2042</v>
      </c>
      <c r="B2179" s="1" t="s">
        <v>9</v>
      </c>
      <c r="C2179" s="1" t="s">
        <v>63</v>
      </c>
      <c r="D2179">
        <v>60</v>
      </c>
      <c r="E2179">
        <v>0.22</v>
      </c>
      <c r="F2179" s="2">
        <v>44958</v>
      </c>
      <c r="G2179" s="2" t="str">
        <f>TEXT(LayoffsData[[#This Row],[date]],"yyyy-mm")</f>
        <v>2023-02</v>
      </c>
      <c r="H2179" s="1" t="s">
        <v>11</v>
      </c>
      <c r="I2179" s="1" t="s">
        <v>12</v>
      </c>
    </row>
    <row r="2180" spans="1:10" x14ac:dyDescent="0.25">
      <c r="A2180" s="1" t="s">
        <v>2043</v>
      </c>
      <c r="B2180" s="1" t="s">
        <v>73</v>
      </c>
      <c r="C2180" s="1" t="s">
        <v>15</v>
      </c>
      <c r="D2180">
        <v>29</v>
      </c>
      <c r="E2180">
        <v>0.43</v>
      </c>
      <c r="F2180" s="2">
        <v>44823</v>
      </c>
      <c r="G2180" s="2" t="str">
        <f>TEXT(LayoffsData[[#This Row],[date]],"yyyy-mm")</f>
        <v>2022-09</v>
      </c>
      <c r="H2180" s="1" t="s">
        <v>24</v>
      </c>
      <c r="I2180" s="1" t="s">
        <v>17</v>
      </c>
      <c r="J2180">
        <v>75</v>
      </c>
    </row>
    <row r="2181" spans="1:10" x14ac:dyDescent="0.25">
      <c r="A2181" s="1" t="s">
        <v>2044</v>
      </c>
      <c r="B2181" s="1" t="s">
        <v>213</v>
      </c>
      <c r="C2181" s="1" t="s">
        <v>48</v>
      </c>
      <c r="D2181">
        <v>56</v>
      </c>
      <c r="F2181" s="2">
        <v>44048</v>
      </c>
      <c r="G2181" s="2" t="str">
        <f>TEXT(LayoffsData[[#This Row],[date]],"yyyy-mm")</f>
        <v>2020-08</v>
      </c>
      <c r="H2181" s="1" t="s">
        <v>37</v>
      </c>
      <c r="I2181" s="1" t="s">
        <v>17</v>
      </c>
      <c r="J2181">
        <v>20</v>
      </c>
    </row>
    <row r="2182" spans="1:10" x14ac:dyDescent="0.25">
      <c r="A2182" s="1" t="s">
        <v>2045</v>
      </c>
      <c r="B2182" s="1" t="s">
        <v>244</v>
      </c>
      <c r="C2182" s="1" t="s">
        <v>15</v>
      </c>
      <c r="D2182">
        <v>50</v>
      </c>
      <c r="E2182">
        <v>0.1</v>
      </c>
      <c r="F2182" s="2">
        <v>44740</v>
      </c>
      <c r="G2182" s="2" t="str">
        <f>TEXT(LayoffsData[[#This Row],[date]],"yyyy-mm")</f>
        <v>2022-06</v>
      </c>
      <c r="H2182" s="1" t="s">
        <v>33</v>
      </c>
      <c r="I2182" s="1" t="s">
        <v>245</v>
      </c>
      <c r="J2182">
        <v>71</v>
      </c>
    </row>
    <row r="2183" spans="1:10" x14ac:dyDescent="0.25">
      <c r="A2183" s="1" t="s">
        <v>2046</v>
      </c>
      <c r="B2183" s="1" t="s">
        <v>14</v>
      </c>
      <c r="C2183" s="1" t="s">
        <v>15</v>
      </c>
      <c r="D2183">
        <v>40</v>
      </c>
      <c r="F2183" s="2">
        <v>44939</v>
      </c>
      <c r="G2183" s="2" t="str">
        <f>TEXT(LayoffsData[[#This Row],[date]],"yyyy-mm")</f>
        <v>2023-01</v>
      </c>
      <c r="H2183" s="1" t="s">
        <v>24</v>
      </c>
      <c r="I2183" s="1" t="s">
        <v>17</v>
      </c>
      <c r="J2183">
        <v>101</v>
      </c>
    </row>
    <row r="2184" spans="1:10" x14ac:dyDescent="0.25">
      <c r="A2184" s="1" t="s">
        <v>2047</v>
      </c>
      <c r="B2184" s="1" t="s">
        <v>2048</v>
      </c>
      <c r="C2184" s="1" t="s">
        <v>149</v>
      </c>
      <c r="F2184" s="2">
        <v>44804</v>
      </c>
      <c r="G2184" s="2" t="str">
        <f>TEXT(LayoffsData[[#This Row],[date]],"yyyy-mm")</f>
        <v>2022-08</v>
      </c>
      <c r="H2184" s="1" t="s">
        <v>37</v>
      </c>
      <c r="I2184" s="1" t="s">
        <v>2049</v>
      </c>
    </row>
    <row r="2185" spans="1:10" x14ac:dyDescent="0.25">
      <c r="A2185" s="1" t="s">
        <v>2050</v>
      </c>
      <c r="B2185" s="1" t="s">
        <v>26</v>
      </c>
      <c r="C2185" s="1" t="s">
        <v>20</v>
      </c>
      <c r="D2185">
        <v>46</v>
      </c>
      <c r="E2185">
        <v>0.13</v>
      </c>
      <c r="F2185" s="2">
        <v>44908</v>
      </c>
      <c r="G2185" s="2" t="str">
        <f>TEXT(LayoffsData[[#This Row],[date]],"yyyy-mm")</f>
        <v>2022-12</v>
      </c>
      <c r="H2185" s="1" t="s">
        <v>11</v>
      </c>
      <c r="I2185" s="1" t="s">
        <v>17</v>
      </c>
    </row>
    <row r="2186" spans="1:10" x14ac:dyDescent="0.25">
      <c r="A2186" s="1" t="s">
        <v>2051</v>
      </c>
      <c r="B2186" s="1" t="s">
        <v>1273</v>
      </c>
      <c r="C2186" s="1" t="s">
        <v>27</v>
      </c>
      <c r="D2186">
        <v>45</v>
      </c>
      <c r="E2186">
        <v>0.08</v>
      </c>
      <c r="F2186" s="2">
        <v>44880</v>
      </c>
      <c r="G2186" s="2" t="str">
        <f>TEXT(LayoffsData[[#This Row],[date]],"yyyy-mm")</f>
        <v>2022-11</v>
      </c>
      <c r="H2186" s="1" t="s">
        <v>57</v>
      </c>
      <c r="I2186" s="1" t="s">
        <v>1273</v>
      </c>
    </row>
    <row r="2187" spans="1:10" x14ac:dyDescent="0.25">
      <c r="A2187" s="1" t="s">
        <v>2052</v>
      </c>
      <c r="B2187" s="1" t="s">
        <v>40</v>
      </c>
      <c r="C2187" s="1" t="s">
        <v>15</v>
      </c>
      <c r="E2187">
        <v>0.13</v>
      </c>
      <c r="F2187" s="2">
        <v>44980</v>
      </c>
      <c r="G2187" s="2" t="str">
        <f>TEXT(LayoffsData[[#This Row],[date]],"yyyy-mm")</f>
        <v>2023-02</v>
      </c>
      <c r="H2187" s="1" t="s">
        <v>37</v>
      </c>
      <c r="I2187" s="1" t="s">
        <v>17</v>
      </c>
    </row>
    <row r="2188" spans="1:10" x14ac:dyDescent="0.25">
      <c r="A2188" s="1" t="s">
        <v>2053</v>
      </c>
      <c r="B2188" s="1" t="s">
        <v>73</v>
      </c>
      <c r="C2188" s="1" t="s">
        <v>15</v>
      </c>
      <c r="E2188">
        <v>0.14000000000000001</v>
      </c>
      <c r="F2188" s="2">
        <v>44972</v>
      </c>
      <c r="G2188" s="2" t="str">
        <f>TEXT(LayoffsData[[#This Row],[date]],"yyyy-mm")</f>
        <v>2023-02</v>
      </c>
      <c r="H2188" s="1" t="s">
        <v>11</v>
      </c>
      <c r="I2188" s="1" t="s">
        <v>17</v>
      </c>
      <c r="J2188">
        <v>185</v>
      </c>
    </row>
    <row r="2189" spans="1:10" x14ac:dyDescent="0.25">
      <c r="A2189" s="1" t="s">
        <v>2054</v>
      </c>
      <c r="B2189" s="1" t="s">
        <v>26</v>
      </c>
      <c r="C2189" s="1" t="s">
        <v>20</v>
      </c>
      <c r="E2189">
        <v>0.02</v>
      </c>
      <c r="F2189" s="2">
        <v>44823</v>
      </c>
      <c r="G2189" s="2" t="str">
        <f>TEXT(LayoffsData[[#This Row],[date]],"yyyy-mm")</f>
        <v>2022-09</v>
      </c>
      <c r="H2189" s="1" t="s">
        <v>86</v>
      </c>
      <c r="I2189" s="1" t="s">
        <v>17</v>
      </c>
      <c r="J2189">
        <v>456</v>
      </c>
    </row>
    <row r="2190" spans="1:10" x14ac:dyDescent="0.25">
      <c r="A2190" s="1" t="s">
        <v>2054</v>
      </c>
      <c r="B2190" s="1" t="s">
        <v>26</v>
      </c>
      <c r="C2190" s="1" t="s">
        <v>20</v>
      </c>
      <c r="D2190">
        <v>21</v>
      </c>
      <c r="E2190">
        <v>0.1</v>
      </c>
      <c r="F2190" s="2">
        <v>43929</v>
      </c>
      <c r="G2190" s="2" t="str">
        <f>TEXT(LayoffsData[[#This Row],[date]],"yyyy-mm")</f>
        <v>2020-04</v>
      </c>
      <c r="H2190" s="1" t="s">
        <v>28</v>
      </c>
      <c r="I2190" s="1" t="s">
        <v>17</v>
      </c>
      <c r="J2190">
        <v>106</v>
      </c>
    </row>
    <row r="2191" spans="1:10" x14ac:dyDescent="0.25">
      <c r="A2191" s="1" t="s">
        <v>2055</v>
      </c>
      <c r="B2191" s="1" t="s">
        <v>14</v>
      </c>
      <c r="C2191" s="1" t="s">
        <v>45</v>
      </c>
      <c r="F2191" s="2">
        <v>43936</v>
      </c>
      <c r="G2191" s="2" t="str">
        <f>TEXT(LayoffsData[[#This Row],[date]],"yyyy-mm")</f>
        <v>2020-04</v>
      </c>
      <c r="H2191" s="1" t="s">
        <v>414</v>
      </c>
      <c r="I2191" s="1" t="s">
        <v>17</v>
      </c>
      <c r="J2191">
        <v>1800</v>
      </c>
    </row>
    <row r="2192" spans="1:10" x14ac:dyDescent="0.25">
      <c r="A2192" s="1" t="s">
        <v>2056</v>
      </c>
      <c r="B2192" s="1" t="s">
        <v>32</v>
      </c>
      <c r="C2192" s="1" t="s">
        <v>27</v>
      </c>
      <c r="E2192">
        <v>0.06</v>
      </c>
      <c r="F2192" s="2">
        <v>44760</v>
      </c>
      <c r="G2192" s="2" t="str">
        <f>TEXT(LayoffsData[[#This Row],[date]],"yyyy-mm")</f>
        <v>2022-07</v>
      </c>
      <c r="H2192" s="1" t="s">
        <v>11</v>
      </c>
      <c r="I2192" s="1" t="s">
        <v>17</v>
      </c>
      <c r="J2192">
        <v>450</v>
      </c>
    </row>
    <row r="2193" spans="1:10" x14ac:dyDescent="0.25">
      <c r="A2193" s="1" t="s">
        <v>2056</v>
      </c>
      <c r="B2193" s="1" t="s">
        <v>32</v>
      </c>
      <c r="C2193" s="1" t="s">
        <v>27</v>
      </c>
      <c r="E2193">
        <v>0.11</v>
      </c>
      <c r="F2193" s="2">
        <v>44930</v>
      </c>
      <c r="G2193" s="2" t="str">
        <f>TEXT(LayoffsData[[#This Row],[date]],"yyyy-mm")</f>
        <v>2023-01</v>
      </c>
      <c r="H2193" s="1" t="s">
        <v>11</v>
      </c>
      <c r="I2193" s="1" t="s">
        <v>17</v>
      </c>
      <c r="J2193">
        <v>450</v>
      </c>
    </row>
    <row r="2194" spans="1:10" x14ac:dyDescent="0.25">
      <c r="A2194" s="1" t="s">
        <v>2057</v>
      </c>
      <c r="B2194" s="1" t="s">
        <v>26</v>
      </c>
      <c r="C2194" s="1" t="s">
        <v>10</v>
      </c>
      <c r="D2194">
        <v>80</v>
      </c>
      <c r="F2194" s="2">
        <v>44963</v>
      </c>
      <c r="G2194" s="2" t="str">
        <f>TEXT(LayoffsData[[#This Row],[date]],"yyyy-mm")</f>
        <v>2023-02</v>
      </c>
      <c r="H2194" s="1" t="s">
        <v>1001</v>
      </c>
      <c r="I2194" s="1" t="s">
        <v>17</v>
      </c>
    </row>
    <row r="2195" spans="1:10" x14ac:dyDescent="0.25">
      <c r="A2195" s="1" t="s">
        <v>2058</v>
      </c>
      <c r="B2195" s="1" t="s">
        <v>26</v>
      </c>
      <c r="C2195" s="1" t="s">
        <v>10</v>
      </c>
      <c r="D2195">
        <v>111</v>
      </c>
      <c r="E2195">
        <v>0.5</v>
      </c>
      <c r="F2195" s="2">
        <v>44613</v>
      </c>
      <c r="G2195" s="2" t="str">
        <f>TEXT(LayoffsData[[#This Row],[date]],"yyyy-mm")</f>
        <v>2022-02</v>
      </c>
      <c r="H2195" s="1" t="s">
        <v>37</v>
      </c>
      <c r="I2195" s="1" t="s">
        <v>17</v>
      </c>
      <c r="J2195">
        <v>368</v>
      </c>
    </row>
    <row r="2196" spans="1:10" x14ac:dyDescent="0.25">
      <c r="A2196" s="1" t="s">
        <v>2059</v>
      </c>
      <c r="B2196" s="1" t="s">
        <v>14</v>
      </c>
      <c r="C2196" s="1" t="s">
        <v>15</v>
      </c>
      <c r="D2196">
        <v>65</v>
      </c>
      <c r="F2196" s="2">
        <v>43928</v>
      </c>
      <c r="G2196" s="2" t="str">
        <f>TEXT(LayoffsData[[#This Row],[date]],"yyyy-mm")</f>
        <v>2020-04</v>
      </c>
      <c r="H2196" s="1" t="s">
        <v>28</v>
      </c>
      <c r="I2196" s="1" t="s">
        <v>17</v>
      </c>
      <c r="J2196">
        <v>175</v>
      </c>
    </row>
    <row r="2197" spans="1:10" x14ac:dyDescent="0.25">
      <c r="A2197" s="1" t="s">
        <v>2060</v>
      </c>
      <c r="B2197" s="1" t="s">
        <v>73</v>
      </c>
      <c r="C2197" s="1" t="s">
        <v>15</v>
      </c>
      <c r="D2197">
        <v>70</v>
      </c>
      <c r="F2197" s="2">
        <v>43952</v>
      </c>
      <c r="G2197" s="2" t="str">
        <f>TEXT(LayoffsData[[#This Row],[date]],"yyyy-mm")</f>
        <v>2020-05</v>
      </c>
      <c r="H2197" s="1" t="s">
        <v>21</v>
      </c>
      <c r="I2197" s="1" t="s">
        <v>17</v>
      </c>
      <c r="J2197">
        <v>10</v>
      </c>
    </row>
    <row r="2198" spans="1:10" x14ac:dyDescent="0.25">
      <c r="A2198" s="1" t="s">
        <v>2061</v>
      </c>
      <c r="B2198" s="1" t="s">
        <v>32</v>
      </c>
      <c r="C2198" s="1" t="s">
        <v>68</v>
      </c>
      <c r="D2198">
        <v>25</v>
      </c>
      <c r="F2198" s="2">
        <v>44685</v>
      </c>
      <c r="G2198" s="2" t="str">
        <f>TEXT(LayoffsData[[#This Row],[date]],"yyyy-mm")</f>
        <v>2022-05</v>
      </c>
      <c r="H2198" s="1" t="s">
        <v>28</v>
      </c>
      <c r="I2198" s="1" t="s">
        <v>17</v>
      </c>
      <c r="J2198">
        <v>128</v>
      </c>
    </row>
    <row r="2199" spans="1:10" x14ac:dyDescent="0.25">
      <c r="A2199" s="1" t="s">
        <v>2062</v>
      </c>
      <c r="B2199" s="1" t="s">
        <v>62</v>
      </c>
      <c r="C2199" s="1" t="s">
        <v>10</v>
      </c>
      <c r="D2199">
        <v>35</v>
      </c>
      <c r="E2199">
        <v>0.1</v>
      </c>
      <c r="F2199" s="2">
        <v>44734</v>
      </c>
      <c r="G2199" s="2" t="str">
        <f>TEXT(LayoffsData[[#This Row],[date]],"yyyy-mm")</f>
        <v>2022-06</v>
      </c>
      <c r="H2199" s="1" t="s">
        <v>33</v>
      </c>
      <c r="I2199" s="1" t="s">
        <v>17</v>
      </c>
      <c r="J2199">
        <v>515</v>
      </c>
    </row>
    <row r="2200" spans="1:10" x14ac:dyDescent="0.25">
      <c r="A2200" s="1" t="s">
        <v>2062</v>
      </c>
      <c r="B2200" s="1" t="s">
        <v>62</v>
      </c>
      <c r="C2200" s="1" t="s">
        <v>10</v>
      </c>
      <c r="D2200">
        <v>100</v>
      </c>
      <c r="F2200" s="2">
        <v>43923</v>
      </c>
      <c r="G2200" s="2" t="str">
        <f>TEXT(LayoffsData[[#This Row],[date]],"yyyy-mm")</f>
        <v>2020-04</v>
      </c>
      <c r="H2200" s="1" t="s">
        <v>24</v>
      </c>
      <c r="I2200" s="1" t="s">
        <v>64</v>
      </c>
      <c r="J2200">
        <v>167</v>
      </c>
    </row>
    <row r="2201" spans="1:10" x14ac:dyDescent="0.25">
      <c r="A2201" s="1" t="s">
        <v>2062</v>
      </c>
      <c r="B2201" s="1" t="s">
        <v>62</v>
      </c>
      <c r="C2201" s="1" t="s">
        <v>10</v>
      </c>
      <c r="D2201">
        <v>130</v>
      </c>
      <c r="E2201">
        <v>0.13</v>
      </c>
      <c r="F2201" s="2">
        <v>44902</v>
      </c>
      <c r="G2201" s="2" t="str">
        <f>TEXT(LayoffsData[[#This Row],[date]],"yyyy-mm")</f>
        <v>2022-12</v>
      </c>
      <c r="H2201" s="1" t="s">
        <v>33</v>
      </c>
      <c r="I2201" s="1" t="s">
        <v>17</v>
      </c>
      <c r="J2201">
        <v>515</v>
      </c>
    </row>
    <row r="2202" spans="1:10" x14ac:dyDescent="0.25">
      <c r="A2202" s="1" t="s">
        <v>2063</v>
      </c>
      <c r="B2202" s="1" t="s">
        <v>44</v>
      </c>
      <c r="C2202" s="1" t="s">
        <v>68</v>
      </c>
      <c r="E2202">
        <v>1</v>
      </c>
      <c r="F2202" s="2">
        <v>44741</v>
      </c>
      <c r="G2202" s="2" t="str">
        <f>TEXT(LayoffsData[[#This Row],[date]],"yyyy-mm")</f>
        <v>2022-06</v>
      </c>
      <c r="H2202" s="1" t="s">
        <v>16</v>
      </c>
      <c r="I2202" s="1" t="s">
        <v>46</v>
      </c>
      <c r="J2202">
        <v>90</v>
      </c>
    </row>
    <row r="2203" spans="1:10" x14ac:dyDescent="0.25">
      <c r="A2203" s="1" t="s">
        <v>2064</v>
      </c>
      <c r="B2203" s="1" t="s">
        <v>14</v>
      </c>
      <c r="C2203" s="1" t="s">
        <v>10</v>
      </c>
      <c r="E2203">
        <v>0.1</v>
      </c>
      <c r="F2203" s="2">
        <v>44832</v>
      </c>
      <c r="G2203" s="2" t="str">
        <f>TEXT(LayoffsData[[#This Row],[date]],"yyyy-mm")</f>
        <v>2022-09</v>
      </c>
      <c r="H2203" s="1" t="s">
        <v>11</v>
      </c>
      <c r="I2203" s="1" t="s">
        <v>17</v>
      </c>
      <c r="J2203">
        <v>575</v>
      </c>
    </row>
    <row r="2204" spans="1:10" x14ac:dyDescent="0.25">
      <c r="A2204" s="1" t="s">
        <v>2064</v>
      </c>
      <c r="B2204" s="1" t="s">
        <v>14</v>
      </c>
      <c r="C2204" s="1" t="s">
        <v>10</v>
      </c>
      <c r="E2204">
        <v>0.54</v>
      </c>
      <c r="F2204" s="2">
        <v>44855</v>
      </c>
      <c r="G2204" s="2" t="str">
        <f>TEXT(LayoffsData[[#This Row],[date]],"yyyy-mm")</f>
        <v>2022-10</v>
      </c>
      <c r="H2204" s="1" t="s">
        <v>11</v>
      </c>
      <c r="I2204" s="1" t="s">
        <v>17</v>
      </c>
      <c r="J2204">
        <v>575</v>
      </c>
    </row>
    <row r="2205" spans="1:10" x14ac:dyDescent="0.25">
      <c r="A2205" s="1" t="s">
        <v>2065</v>
      </c>
      <c r="B2205" s="1" t="s">
        <v>44</v>
      </c>
      <c r="C2205" s="1" t="s">
        <v>51</v>
      </c>
      <c r="F2205" s="2">
        <v>44875</v>
      </c>
      <c r="G2205" s="2" t="str">
        <f>TEXT(LayoffsData[[#This Row],[date]],"yyyy-mm")</f>
        <v>2022-11</v>
      </c>
      <c r="H2205" s="1" t="s">
        <v>131</v>
      </c>
      <c r="I2205" s="1" t="s">
        <v>46</v>
      </c>
      <c r="J2205">
        <v>13</v>
      </c>
    </row>
    <row r="2206" spans="1:10" x14ac:dyDescent="0.25">
      <c r="A2206" s="1" t="s">
        <v>2065</v>
      </c>
      <c r="B2206" s="1" t="s">
        <v>44</v>
      </c>
      <c r="C2206" s="1" t="s">
        <v>51</v>
      </c>
      <c r="E2206">
        <v>0.5</v>
      </c>
      <c r="F2206" s="2">
        <v>44734</v>
      </c>
      <c r="G2206" s="2" t="str">
        <f>TEXT(LayoffsData[[#This Row],[date]],"yyyy-mm")</f>
        <v>2022-06</v>
      </c>
      <c r="H2206" s="1" t="s">
        <v>131</v>
      </c>
      <c r="I2206" s="1" t="s">
        <v>46</v>
      </c>
      <c r="J2206">
        <v>13</v>
      </c>
    </row>
    <row r="2207" spans="1:10" x14ac:dyDescent="0.25">
      <c r="A2207" s="1" t="s">
        <v>2066</v>
      </c>
      <c r="B2207" s="1" t="s">
        <v>14</v>
      </c>
      <c r="C2207" s="1" t="s">
        <v>68</v>
      </c>
      <c r="D2207">
        <v>15</v>
      </c>
      <c r="E2207">
        <v>7.0000000000000007E-2</v>
      </c>
      <c r="F2207" s="2">
        <v>44735</v>
      </c>
      <c r="G2207" s="2" t="str">
        <f>TEXT(LayoffsData[[#This Row],[date]],"yyyy-mm")</f>
        <v>2022-06</v>
      </c>
      <c r="H2207" s="1" t="s">
        <v>28</v>
      </c>
      <c r="I2207" s="1" t="s">
        <v>17</v>
      </c>
      <c r="J2207">
        <v>159</v>
      </c>
    </row>
    <row r="2208" spans="1:10" x14ac:dyDescent="0.25">
      <c r="A2208" s="1" t="s">
        <v>2067</v>
      </c>
      <c r="B2208" s="1" t="s">
        <v>40</v>
      </c>
      <c r="C2208" s="1" t="s">
        <v>63</v>
      </c>
      <c r="F2208" s="2">
        <v>44026</v>
      </c>
      <c r="G2208" s="2" t="str">
        <f>TEXT(LayoffsData[[#This Row],[date]],"yyyy-mm")</f>
        <v>2020-07</v>
      </c>
      <c r="H2208" s="1" t="s">
        <v>86</v>
      </c>
      <c r="I2208" s="1" t="s">
        <v>17</v>
      </c>
      <c r="J2208">
        <v>308</v>
      </c>
    </row>
    <row r="2209" spans="1:10" x14ac:dyDescent="0.25">
      <c r="A2209" s="1" t="s">
        <v>2067</v>
      </c>
      <c r="B2209" s="1" t="s">
        <v>40</v>
      </c>
      <c r="C2209" s="1" t="s">
        <v>63</v>
      </c>
      <c r="D2209">
        <v>39</v>
      </c>
      <c r="E2209">
        <v>0.02</v>
      </c>
      <c r="F2209" s="2">
        <v>44769</v>
      </c>
      <c r="G2209" s="2" t="str">
        <f>TEXT(LayoffsData[[#This Row],[date]],"yyyy-mm")</f>
        <v>2022-07</v>
      </c>
      <c r="H2209" s="1" t="s">
        <v>86</v>
      </c>
      <c r="I2209" s="1" t="s">
        <v>17</v>
      </c>
      <c r="J2209">
        <v>307</v>
      </c>
    </row>
    <row r="2210" spans="1:10" x14ac:dyDescent="0.25">
      <c r="A2210" s="1" t="s">
        <v>2067</v>
      </c>
      <c r="B2210" s="1" t="s">
        <v>40</v>
      </c>
      <c r="C2210" s="1" t="s">
        <v>63</v>
      </c>
      <c r="D2210">
        <v>130</v>
      </c>
      <c r="E2210">
        <v>7.0000000000000007E-2</v>
      </c>
      <c r="F2210" s="2">
        <v>44946</v>
      </c>
      <c r="G2210" s="2" t="str">
        <f>TEXT(LayoffsData[[#This Row],[date]],"yyyy-mm")</f>
        <v>2023-01</v>
      </c>
      <c r="H2210" s="1" t="s">
        <v>86</v>
      </c>
      <c r="I2210" s="1" t="s">
        <v>17</v>
      </c>
      <c r="J2210">
        <v>307</v>
      </c>
    </row>
    <row r="2211" spans="1:10" x14ac:dyDescent="0.25">
      <c r="A2211" s="1" t="s">
        <v>2068</v>
      </c>
      <c r="B2211" s="1" t="s">
        <v>26</v>
      </c>
      <c r="C2211" s="1" t="s">
        <v>20</v>
      </c>
      <c r="D2211">
        <v>8</v>
      </c>
      <c r="E2211">
        <v>0.13</v>
      </c>
      <c r="F2211" s="2">
        <v>44735</v>
      </c>
      <c r="G2211" s="2" t="str">
        <f>TEXT(LayoffsData[[#This Row],[date]],"yyyy-mm")</f>
        <v>2022-06</v>
      </c>
      <c r="H2211" s="1" t="s">
        <v>37</v>
      </c>
      <c r="I2211" s="1" t="s">
        <v>17</v>
      </c>
      <c r="J2211">
        <v>10</v>
      </c>
    </row>
    <row r="2212" spans="1:10" x14ac:dyDescent="0.25">
      <c r="A2212" s="1" t="s">
        <v>2069</v>
      </c>
      <c r="B2212" s="1" t="s">
        <v>32</v>
      </c>
      <c r="C2212" s="1" t="s">
        <v>10</v>
      </c>
      <c r="D2212">
        <v>270</v>
      </c>
      <c r="E2212">
        <v>0.14000000000000001</v>
      </c>
      <c r="F2212" s="2">
        <v>44690</v>
      </c>
      <c r="G2212" s="2" t="str">
        <f>TEXT(LayoffsData[[#This Row],[date]],"yyyy-mm")</f>
        <v>2022-05</v>
      </c>
      <c r="H2212" s="1" t="s">
        <v>11</v>
      </c>
      <c r="I2212" s="1" t="s">
        <v>17</v>
      </c>
      <c r="J2212">
        <v>1300</v>
      </c>
    </row>
    <row r="2213" spans="1:10" x14ac:dyDescent="0.25">
      <c r="A2213" s="1" t="s">
        <v>2069</v>
      </c>
      <c r="B2213" s="1" t="s">
        <v>32</v>
      </c>
      <c r="C2213" s="1" t="s">
        <v>10</v>
      </c>
      <c r="D2213">
        <v>275</v>
      </c>
      <c r="E2213">
        <v>0.2</v>
      </c>
      <c r="F2213" s="2">
        <v>44944</v>
      </c>
      <c r="G2213" s="2" t="str">
        <f>TEXT(LayoffsData[[#This Row],[date]],"yyyy-mm")</f>
        <v>2023-01</v>
      </c>
      <c r="H2213" s="1" t="s">
        <v>11</v>
      </c>
      <c r="I2213" s="1" t="s">
        <v>17</v>
      </c>
      <c r="J2213">
        <v>1300</v>
      </c>
    </row>
    <row r="2214" spans="1:10" x14ac:dyDescent="0.25">
      <c r="A2214" s="1" t="s">
        <v>2069</v>
      </c>
      <c r="B2214" s="1" t="s">
        <v>32</v>
      </c>
      <c r="C2214" s="1" t="s">
        <v>10</v>
      </c>
      <c r="D2214">
        <v>337</v>
      </c>
      <c r="F2214" s="2">
        <v>44781</v>
      </c>
      <c r="G2214" s="2" t="str">
        <f>TEXT(LayoffsData[[#This Row],[date]],"yyyy-mm")</f>
        <v>2022-08</v>
      </c>
      <c r="H2214" s="1" t="s">
        <v>11</v>
      </c>
      <c r="I2214" s="1" t="s">
        <v>17</v>
      </c>
      <c r="J2214">
        <v>1300</v>
      </c>
    </row>
    <row r="2215" spans="1:10" x14ac:dyDescent="0.25">
      <c r="A2215" s="1" t="s">
        <v>2070</v>
      </c>
      <c r="B2215" s="1" t="s">
        <v>14</v>
      </c>
      <c r="C2215" s="1" t="s">
        <v>27</v>
      </c>
      <c r="D2215">
        <v>45</v>
      </c>
      <c r="E2215">
        <v>0.35</v>
      </c>
      <c r="F2215" s="2">
        <v>43935</v>
      </c>
      <c r="G2215" s="2" t="str">
        <f>TEXT(LayoffsData[[#This Row],[date]],"yyyy-mm")</f>
        <v>2020-04</v>
      </c>
      <c r="H2215" s="1" t="s">
        <v>24</v>
      </c>
      <c r="I2215" s="1" t="s">
        <v>17</v>
      </c>
      <c r="J2215">
        <v>90</v>
      </c>
    </row>
    <row r="2216" spans="1:10" x14ac:dyDescent="0.25">
      <c r="A2216" s="1" t="s">
        <v>2071</v>
      </c>
      <c r="B2216" s="1" t="s">
        <v>35</v>
      </c>
      <c r="C2216" s="1" t="s">
        <v>29</v>
      </c>
      <c r="D2216">
        <v>200</v>
      </c>
      <c r="E2216">
        <v>0.13</v>
      </c>
      <c r="F2216" s="2">
        <v>44707</v>
      </c>
      <c r="G2216" s="2" t="str">
        <f>TEXT(LayoffsData[[#This Row],[date]],"yyyy-mm")</f>
        <v>2022-05</v>
      </c>
      <c r="H2216" s="1" t="s">
        <v>11</v>
      </c>
      <c r="I2216" s="1" t="s">
        <v>38</v>
      </c>
      <c r="J2216">
        <v>365</v>
      </c>
    </row>
    <row r="2217" spans="1:10" x14ac:dyDescent="0.25">
      <c r="A2217" s="1" t="s">
        <v>2072</v>
      </c>
      <c r="B2217" s="1" t="s">
        <v>213</v>
      </c>
      <c r="C2217" s="1" t="s">
        <v>506</v>
      </c>
      <c r="D2217">
        <v>50</v>
      </c>
      <c r="F2217" s="2">
        <v>44678</v>
      </c>
      <c r="G2217" s="2" t="str">
        <f>TEXT(LayoffsData[[#This Row],[date]],"yyyy-mm")</f>
        <v>2022-04</v>
      </c>
      <c r="H2217" s="1" t="s">
        <v>37</v>
      </c>
      <c r="I2217" s="1" t="s">
        <v>17</v>
      </c>
    </row>
    <row r="2218" spans="1:10" x14ac:dyDescent="0.25">
      <c r="A2218" s="1" t="s">
        <v>2073</v>
      </c>
      <c r="B2218" s="1" t="s">
        <v>14</v>
      </c>
      <c r="C2218" s="1" t="s">
        <v>149</v>
      </c>
      <c r="D2218">
        <v>43</v>
      </c>
      <c r="E2218">
        <v>0.03</v>
      </c>
      <c r="F2218" s="2">
        <v>44934</v>
      </c>
      <c r="G2218" s="2" t="str">
        <f>TEXT(LayoffsData[[#This Row],[date]],"yyyy-mm")</f>
        <v>2023-01</v>
      </c>
      <c r="H2218" s="1" t="s">
        <v>11</v>
      </c>
      <c r="I2218" s="1" t="s">
        <v>17</v>
      </c>
      <c r="J2218">
        <v>307</v>
      </c>
    </row>
    <row r="2219" spans="1:10" x14ac:dyDescent="0.25">
      <c r="A2219" s="1" t="s">
        <v>2074</v>
      </c>
      <c r="B2219" s="1" t="s">
        <v>878</v>
      </c>
      <c r="C2219" s="1" t="s">
        <v>45</v>
      </c>
      <c r="E2219">
        <v>0.15</v>
      </c>
      <c r="F2219" s="2">
        <v>44945</v>
      </c>
      <c r="G2219" s="2" t="str">
        <f>TEXT(LayoffsData[[#This Row],[date]],"yyyy-mm")</f>
        <v>2023-01</v>
      </c>
      <c r="H2219" s="1" t="s">
        <v>11</v>
      </c>
      <c r="I2219" s="1" t="s">
        <v>879</v>
      </c>
      <c r="J2219">
        <v>167</v>
      </c>
    </row>
    <row r="2220" spans="1:10" x14ac:dyDescent="0.25">
      <c r="A2220" s="1" t="s">
        <v>2075</v>
      </c>
      <c r="B2220" s="1" t="s">
        <v>14</v>
      </c>
      <c r="C2220" s="1" t="s">
        <v>84</v>
      </c>
      <c r="D2220">
        <v>56</v>
      </c>
      <c r="E2220">
        <v>0.23</v>
      </c>
      <c r="F2220" s="2">
        <v>43915</v>
      </c>
      <c r="G2220" s="2" t="str">
        <f>TEXT(LayoffsData[[#This Row],[date]],"yyyy-mm")</f>
        <v>2020-03</v>
      </c>
      <c r="H2220" s="1" t="s">
        <v>24</v>
      </c>
      <c r="I2220" s="1" t="s">
        <v>17</v>
      </c>
      <c r="J2220">
        <v>26</v>
      </c>
    </row>
    <row r="2221" spans="1:10" x14ac:dyDescent="0.25">
      <c r="A2221" s="1" t="s">
        <v>2075</v>
      </c>
      <c r="B2221" s="1" t="s">
        <v>14</v>
      </c>
      <c r="C2221" s="1" t="s">
        <v>84</v>
      </c>
      <c r="D2221">
        <v>85</v>
      </c>
      <c r="E2221">
        <v>1</v>
      </c>
      <c r="F2221" s="2">
        <v>44743</v>
      </c>
      <c r="G2221" s="2" t="str">
        <f>TEXT(LayoffsData[[#This Row],[date]],"yyyy-mm")</f>
        <v>2022-07</v>
      </c>
      <c r="H2221" s="1" t="s">
        <v>24</v>
      </c>
      <c r="I2221" s="1" t="s">
        <v>17</v>
      </c>
      <c r="J2221">
        <v>26</v>
      </c>
    </row>
    <row r="2222" spans="1:10" x14ac:dyDescent="0.25">
      <c r="A2222" s="1" t="s">
        <v>2076</v>
      </c>
      <c r="B2222" s="1" t="s">
        <v>32</v>
      </c>
      <c r="C2222" s="1" t="s">
        <v>27</v>
      </c>
      <c r="D2222">
        <v>63</v>
      </c>
      <c r="F2222" s="2">
        <v>44781</v>
      </c>
      <c r="G2222" s="2" t="str">
        <f>TEXT(LayoffsData[[#This Row],[date]],"yyyy-mm")</f>
        <v>2022-08</v>
      </c>
      <c r="H2222" s="1" t="s">
        <v>11</v>
      </c>
      <c r="I2222" s="1" t="s">
        <v>17</v>
      </c>
      <c r="J2222">
        <v>535</v>
      </c>
    </row>
    <row r="2223" spans="1:10" x14ac:dyDescent="0.25">
      <c r="A2223" s="1" t="s">
        <v>2077</v>
      </c>
      <c r="B2223" s="1" t="s">
        <v>2078</v>
      </c>
      <c r="C2223" s="1" t="s">
        <v>68</v>
      </c>
      <c r="D2223">
        <v>50</v>
      </c>
      <c r="F2223" s="2">
        <v>44790</v>
      </c>
      <c r="G2223" s="2" t="str">
        <f>TEXT(LayoffsData[[#This Row],[date]],"yyyy-mm")</f>
        <v>2022-08</v>
      </c>
      <c r="H2223" s="1" t="s">
        <v>28</v>
      </c>
      <c r="I2223" s="1" t="s">
        <v>38</v>
      </c>
      <c r="J2223">
        <v>104</v>
      </c>
    </row>
    <row r="2224" spans="1:10" x14ac:dyDescent="0.25">
      <c r="A2224" s="1" t="s">
        <v>2079</v>
      </c>
      <c r="B2224" s="1" t="s">
        <v>2080</v>
      </c>
      <c r="C2224" s="1" t="s">
        <v>68</v>
      </c>
      <c r="D2224">
        <v>300</v>
      </c>
      <c r="E2224">
        <v>0.15</v>
      </c>
      <c r="F2224" s="2">
        <v>44755</v>
      </c>
      <c r="G2224" s="2" t="str">
        <f>TEXT(LayoffsData[[#This Row],[date]],"yyyy-mm")</f>
        <v>2022-07</v>
      </c>
      <c r="H2224" s="1" t="s">
        <v>21</v>
      </c>
      <c r="I2224" s="1" t="s">
        <v>2081</v>
      </c>
      <c r="J2224">
        <v>292</v>
      </c>
    </row>
    <row r="2225" spans="1:10" x14ac:dyDescent="0.25">
      <c r="A2225" s="1" t="s">
        <v>2082</v>
      </c>
      <c r="B2225" s="1" t="s">
        <v>26</v>
      </c>
      <c r="C2225" s="1" t="s">
        <v>63</v>
      </c>
      <c r="D2225">
        <v>56</v>
      </c>
      <c r="E2225">
        <v>0.33</v>
      </c>
      <c r="F2225" s="2">
        <v>44725</v>
      </c>
      <c r="G2225" s="2" t="str">
        <f>TEXT(LayoffsData[[#This Row],[date]],"yyyy-mm")</f>
        <v>2022-06</v>
      </c>
      <c r="H2225" s="1" t="s">
        <v>24</v>
      </c>
      <c r="I2225" s="1" t="s">
        <v>17</v>
      </c>
      <c r="J2225">
        <v>65</v>
      </c>
    </row>
    <row r="2226" spans="1:10" x14ac:dyDescent="0.25">
      <c r="A2226" s="1" t="s">
        <v>2083</v>
      </c>
      <c r="B2226" s="1" t="s">
        <v>14</v>
      </c>
      <c r="C2226" s="1" t="s">
        <v>147</v>
      </c>
      <c r="E2226">
        <v>1</v>
      </c>
      <c r="F2226" s="2">
        <v>44875</v>
      </c>
      <c r="G2226" s="2" t="str">
        <f>TEXT(LayoffsData[[#This Row],[date]],"yyyy-mm")</f>
        <v>2022-11</v>
      </c>
      <c r="H2226" s="1" t="s">
        <v>37</v>
      </c>
      <c r="I2226" s="1" t="s">
        <v>17</v>
      </c>
    </row>
    <row r="2227" spans="1:10" x14ac:dyDescent="0.25">
      <c r="A2227" s="1" t="s">
        <v>2084</v>
      </c>
      <c r="B2227" s="1" t="s">
        <v>73</v>
      </c>
      <c r="C2227" s="1" t="s">
        <v>29</v>
      </c>
      <c r="D2227">
        <v>870</v>
      </c>
      <c r="E2227">
        <v>0.05</v>
      </c>
      <c r="F2227" s="2">
        <v>44792</v>
      </c>
      <c r="G2227" s="2" t="str">
        <f>TEXT(LayoffsData[[#This Row],[date]],"yyyy-mm")</f>
        <v>2022-08</v>
      </c>
      <c r="H2227" s="1" t="s">
        <v>11</v>
      </c>
      <c r="I2227" s="1" t="s">
        <v>17</v>
      </c>
      <c r="J2227">
        <v>1700</v>
      </c>
    </row>
    <row r="2228" spans="1:10" x14ac:dyDescent="0.25">
      <c r="A2228" s="1" t="s">
        <v>2084</v>
      </c>
      <c r="B2228" s="1" t="s">
        <v>73</v>
      </c>
      <c r="C2228" s="1" t="s">
        <v>29</v>
      </c>
      <c r="D2228">
        <v>1750</v>
      </c>
      <c r="E2228">
        <v>0.1</v>
      </c>
      <c r="F2228" s="2">
        <v>44946</v>
      </c>
      <c r="G2228" s="2" t="str">
        <f>TEXT(LayoffsData[[#This Row],[date]],"yyyy-mm")</f>
        <v>2023-01</v>
      </c>
      <c r="H2228" s="1" t="s">
        <v>11</v>
      </c>
      <c r="I2228" s="1" t="s">
        <v>17</v>
      </c>
      <c r="J2228">
        <v>1700</v>
      </c>
    </row>
    <row r="2229" spans="1:10" x14ac:dyDescent="0.25">
      <c r="A2229" s="1" t="s">
        <v>2085</v>
      </c>
      <c r="B2229" s="1" t="s">
        <v>19</v>
      </c>
      <c r="C2229" s="1" t="s">
        <v>20</v>
      </c>
      <c r="D2229">
        <v>200</v>
      </c>
      <c r="E2229">
        <v>0.4</v>
      </c>
      <c r="F2229" s="2">
        <v>44881</v>
      </c>
      <c r="G2229" s="2" t="str">
        <f>TEXT(LayoffsData[[#This Row],[date]],"yyyy-mm")</f>
        <v>2022-11</v>
      </c>
      <c r="H2229" s="1" t="s">
        <v>37</v>
      </c>
      <c r="I2229" s="1" t="s">
        <v>22</v>
      </c>
      <c r="J2229">
        <v>889</v>
      </c>
    </row>
    <row r="2230" spans="1:10" x14ac:dyDescent="0.25">
      <c r="A2230" s="1" t="s">
        <v>2086</v>
      </c>
      <c r="B2230" s="1" t="s">
        <v>14</v>
      </c>
      <c r="C2230" s="1" t="s">
        <v>10</v>
      </c>
      <c r="D2230">
        <v>209</v>
      </c>
      <c r="E2230">
        <v>0.08</v>
      </c>
      <c r="F2230" s="2">
        <v>44986</v>
      </c>
      <c r="G2230" s="2" t="str">
        <f>TEXT(LayoffsData[[#This Row],[date]],"yyyy-mm")</f>
        <v>2023-03</v>
      </c>
      <c r="H2230" s="1" t="s">
        <v>1001</v>
      </c>
      <c r="I2230" s="1" t="s">
        <v>17</v>
      </c>
      <c r="J2230">
        <v>5500</v>
      </c>
    </row>
    <row r="2231" spans="1:10" x14ac:dyDescent="0.25">
      <c r="A2231" s="1" t="s">
        <v>2087</v>
      </c>
      <c r="B2231" s="1" t="s">
        <v>14</v>
      </c>
      <c r="C2231" s="1" t="s">
        <v>10</v>
      </c>
      <c r="D2231">
        <v>30</v>
      </c>
      <c r="E2231">
        <v>5.3999999999999999E-2</v>
      </c>
      <c r="F2231" s="2">
        <v>44083</v>
      </c>
      <c r="G2231" s="2" t="str">
        <f>TEXT(LayoffsData[[#This Row],[date]],"yyyy-mm")</f>
        <v>2020-09</v>
      </c>
      <c r="H2231" s="1" t="s">
        <v>57</v>
      </c>
      <c r="I2231" s="1" t="s">
        <v>17</v>
      </c>
      <c r="J2231">
        <v>67</v>
      </c>
    </row>
    <row r="2232" spans="1:10" x14ac:dyDescent="0.25">
      <c r="A2232" s="1" t="s">
        <v>2088</v>
      </c>
      <c r="B2232" s="1" t="s">
        <v>67</v>
      </c>
      <c r="C2232" s="1" t="s">
        <v>36</v>
      </c>
      <c r="D2232">
        <v>60</v>
      </c>
      <c r="E2232">
        <v>0.4</v>
      </c>
      <c r="F2232" s="2">
        <v>44836</v>
      </c>
      <c r="G2232" s="2" t="str">
        <f>TEXT(LayoffsData[[#This Row],[date]],"yyyy-mm")</f>
        <v>2022-10</v>
      </c>
      <c r="H2232" s="1" t="s">
        <v>57</v>
      </c>
      <c r="I2232" s="1" t="s">
        <v>69</v>
      </c>
    </row>
    <row r="2233" spans="1:10" x14ac:dyDescent="0.25">
      <c r="A2233" s="1" t="s">
        <v>2089</v>
      </c>
      <c r="B2233" s="1" t="s">
        <v>9</v>
      </c>
      <c r="C2233" s="1" t="s">
        <v>68</v>
      </c>
      <c r="D2233">
        <v>159</v>
      </c>
      <c r="E2233">
        <v>0.13</v>
      </c>
      <c r="F2233" s="2">
        <v>44727</v>
      </c>
      <c r="G2233" s="2" t="str">
        <f>TEXT(LayoffsData[[#This Row],[date]],"yyyy-mm")</f>
        <v>2022-06</v>
      </c>
      <c r="H2233" s="1" t="s">
        <v>37</v>
      </c>
      <c r="I2233" s="1" t="s">
        <v>12</v>
      </c>
      <c r="J2233">
        <v>900</v>
      </c>
    </row>
    <row r="2234" spans="1:10" x14ac:dyDescent="0.25">
      <c r="A2234" s="1" t="s">
        <v>2090</v>
      </c>
      <c r="B2234" s="1" t="s">
        <v>304</v>
      </c>
      <c r="C2234" s="1" t="s">
        <v>15</v>
      </c>
      <c r="D2234">
        <v>500</v>
      </c>
      <c r="F2234" s="2">
        <v>44622</v>
      </c>
      <c r="G2234" s="2" t="str">
        <f>TEXT(LayoffsData[[#This Row],[date]],"yyyy-mm")</f>
        <v>2022-03</v>
      </c>
      <c r="H2234" s="1" t="s">
        <v>86</v>
      </c>
      <c r="I2234" s="1" t="s">
        <v>296</v>
      </c>
      <c r="J2234">
        <v>1400</v>
      </c>
    </row>
    <row r="2235" spans="1:10" x14ac:dyDescent="0.25">
      <c r="A2235" s="1" t="s">
        <v>2091</v>
      </c>
      <c r="B2235" s="1" t="s">
        <v>26</v>
      </c>
      <c r="C2235" s="1" t="s">
        <v>149</v>
      </c>
      <c r="E2235">
        <v>0.1</v>
      </c>
      <c r="F2235" s="2">
        <v>44777</v>
      </c>
      <c r="G2235" s="2" t="str">
        <f>TEXT(LayoffsData[[#This Row],[date]],"yyyy-mm")</f>
        <v>2022-08</v>
      </c>
      <c r="H2235" s="1" t="s">
        <v>57</v>
      </c>
      <c r="I2235" s="1" t="s">
        <v>17</v>
      </c>
    </row>
    <row r="2236" spans="1:10" x14ac:dyDescent="0.25">
      <c r="A2236" s="1" t="s">
        <v>2091</v>
      </c>
      <c r="B2236" s="1" t="s">
        <v>26</v>
      </c>
      <c r="C2236" s="1" t="s">
        <v>149</v>
      </c>
      <c r="D2236">
        <v>175</v>
      </c>
      <c r="E2236">
        <v>0.25</v>
      </c>
      <c r="F2236" s="2">
        <v>44901</v>
      </c>
      <c r="G2236" s="2" t="str">
        <f>TEXT(LayoffsData[[#This Row],[date]],"yyyy-mm")</f>
        <v>2022-12</v>
      </c>
      <c r="H2236" s="1" t="s">
        <v>57</v>
      </c>
      <c r="I2236" s="1" t="s">
        <v>17</v>
      </c>
    </row>
    <row r="2237" spans="1:10" x14ac:dyDescent="0.25">
      <c r="A2237" s="1" t="s">
        <v>2092</v>
      </c>
      <c r="B2237" s="1" t="s">
        <v>14</v>
      </c>
      <c r="C2237" s="1" t="s">
        <v>51</v>
      </c>
      <c r="D2237">
        <v>150</v>
      </c>
      <c r="E2237">
        <v>0.1</v>
      </c>
      <c r="F2237" s="2">
        <v>44727</v>
      </c>
      <c r="G2237" s="2" t="str">
        <f>TEXT(LayoffsData[[#This Row],[date]],"yyyy-mm")</f>
        <v>2022-06</v>
      </c>
      <c r="H2237" s="1" t="s">
        <v>16</v>
      </c>
      <c r="I2237" s="1" t="s">
        <v>17</v>
      </c>
      <c r="J2237">
        <v>863</v>
      </c>
    </row>
    <row r="2238" spans="1:10" x14ac:dyDescent="0.25">
      <c r="A2238" s="1" t="s">
        <v>2093</v>
      </c>
      <c r="B2238" s="1" t="s">
        <v>2094</v>
      </c>
      <c r="C2238" s="1" t="s">
        <v>506</v>
      </c>
      <c r="E2238">
        <v>1</v>
      </c>
      <c r="F2238" s="2">
        <v>43964</v>
      </c>
      <c r="G2238" s="2" t="str">
        <f>TEXT(LayoffsData[[#This Row],[date]],"yyyy-mm")</f>
        <v>2020-05</v>
      </c>
      <c r="H2238" s="1" t="s">
        <v>131</v>
      </c>
      <c r="I2238" s="1" t="s">
        <v>1547</v>
      </c>
      <c r="J2238">
        <v>1</v>
      </c>
    </row>
    <row r="2239" spans="1:10" x14ac:dyDescent="0.25">
      <c r="A2239" s="1" t="s">
        <v>2095</v>
      </c>
      <c r="B2239" s="1" t="s">
        <v>79</v>
      </c>
      <c r="C2239" s="1" t="s">
        <v>68</v>
      </c>
      <c r="D2239">
        <v>100</v>
      </c>
      <c r="F2239" s="2">
        <v>44957</v>
      </c>
      <c r="G2239" s="2" t="str">
        <f>TEXT(LayoffsData[[#This Row],[date]],"yyyy-mm")</f>
        <v>2023-01</v>
      </c>
      <c r="H2239" s="1" t="s">
        <v>33</v>
      </c>
      <c r="I2239" s="1" t="s">
        <v>80</v>
      </c>
      <c r="J2239">
        <v>1300</v>
      </c>
    </row>
    <row r="2240" spans="1:10" x14ac:dyDescent="0.25">
      <c r="A2240" s="1" t="s">
        <v>2096</v>
      </c>
      <c r="B2240" s="1" t="s">
        <v>14</v>
      </c>
      <c r="C2240" s="1" t="s">
        <v>15</v>
      </c>
      <c r="D2240">
        <v>10</v>
      </c>
      <c r="E2240">
        <v>0.33</v>
      </c>
      <c r="F2240" s="2">
        <v>43945</v>
      </c>
      <c r="G2240" s="2" t="str">
        <f>TEXT(LayoffsData[[#This Row],[date]],"yyyy-mm")</f>
        <v>2020-04</v>
      </c>
      <c r="H2240" s="1" t="s">
        <v>24</v>
      </c>
      <c r="I2240" s="1" t="s">
        <v>17</v>
      </c>
      <c r="J2240">
        <v>29</v>
      </c>
    </row>
    <row r="2241" spans="1:10" x14ac:dyDescent="0.25">
      <c r="A2241" s="1" t="s">
        <v>2097</v>
      </c>
      <c r="B2241" s="1" t="s">
        <v>14</v>
      </c>
      <c r="C2241" s="1" t="s">
        <v>325</v>
      </c>
      <c r="D2241">
        <v>251</v>
      </c>
      <c r="F2241" s="2">
        <v>44887</v>
      </c>
      <c r="G2241" s="2" t="str">
        <f>TEXT(LayoffsData[[#This Row],[date]],"yyyy-mm")</f>
        <v>2022-11</v>
      </c>
      <c r="H2241" s="1" t="s">
        <v>11</v>
      </c>
      <c r="I2241" s="1" t="s">
        <v>17</v>
      </c>
      <c r="J2241">
        <v>900</v>
      </c>
    </row>
    <row r="2242" spans="1:10" x14ac:dyDescent="0.25">
      <c r="A2242" s="1" t="s">
        <v>2098</v>
      </c>
      <c r="B2242" s="1" t="s">
        <v>195</v>
      </c>
      <c r="C2242" s="1" t="s">
        <v>29</v>
      </c>
      <c r="D2242">
        <v>125</v>
      </c>
      <c r="F2242" s="2">
        <v>44833</v>
      </c>
      <c r="G2242" s="2" t="str">
        <f>TEXT(LayoffsData[[#This Row],[date]],"yyyy-mm")</f>
        <v>2022-09</v>
      </c>
      <c r="H2242" s="1" t="s">
        <v>11</v>
      </c>
      <c r="I2242" s="1" t="s">
        <v>80</v>
      </c>
      <c r="J2242">
        <v>237</v>
      </c>
    </row>
    <row r="2243" spans="1:10" x14ac:dyDescent="0.25">
      <c r="A2243" s="1" t="s">
        <v>2099</v>
      </c>
      <c r="B2243" s="1" t="s">
        <v>293</v>
      </c>
      <c r="C2243" s="1" t="s">
        <v>36</v>
      </c>
      <c r="E2243">
        <v>1</v>
      </c>
      <c r="F2243" s="2">
        <v>44966</v>
      </c>
      <c r="G2243" s="2" t="str">
        <f>TEXT(LayoffsData[[#This Row],[date]],"yyyy-mm")</f>
        <v>2023-02</v>
      </c>
      <c r="H2243" s="1" t="s">
        <v>37</v>
      </c>
      <c r="I2243" s="1" t="s">
        <v>69</v>
      </c>
    </row>
    <row r="2244" spans="1:10" x14ac:dyDescent="0.25">
      <c r="A2244" s="1" t="s">
        <v>2100</v>
      </c>
      <c r="B2244" s="1" t="s">
        <v>200</v>
      </c>
      <c r="C2244" s="1" t="s">
        <v>174</v>
      </c>
      <c r="D2244">
        <v>200</v>
      </c>
      <c r="F2244" s="2">
        <v>44001</v>
      </c>
      <c r="G2244" s="2" t="str">
        <f>TEXT(LayoffsData[[#This Row],[date]],"yyyy-mm")</f>
        <v>2020-06</v>
      </c>
      <c r="H2244" s="1" t="s">
        <v>414</v>
      </c>
      <c r="I2244" s="1" t="s">
        <v>201</v>
      </c>
      <c r="J2244">
        <v>19500</v>
      </c>
    </row>
    <row r="2245" spans="1:10" x14ac:dyDescent="0.25">
      <c r="A2245" s="1" t="s">
        <v>2100</v>
      </c>
      <c r="B2245" s="1" t="s">
        <v>370</v>
      </c>
      <c r="C2245" s="1" t="s">
        <v>174</v>
      </c>
      <c r="D2245">
        <v>100</v>
      </c>
      <c r="E2245">
        <v>0.2</v>
      </c>
      <c r="F2245" s="2">
        <v>43969</v>
      </c>
      <c r="G2245" s="2" t="str">
        <f>TEXT(LayoffsData[[#This Row],[date]],"yyyy-mm")</f>
        <v>2020-05</v>
      </c>
      <c r="H2245" s="1" t="s">
        <v>414</v>
      </c>
      <c r="I2245" s="1" t="s">
        <v>69</v>
      </c>
      <c r="J2245">
        <v>19500</v>
      </c>
    </row>
    <row r="2246" spans="1:10" x14ac:dyDescent="0.25">
      <c r="A2246" s="1" t="s">
        <v>2100</v>
      </c>
      <c r="B2246" s="1" t="s">
        <v>32</v>
      </c>
      <c r="C2246" s="1" t="s">
        <v>174</v>
      </c>
      <c r="D2246">
        <v>250</v>
      </c>
      <c r="F2246" s="2">
        <v>43918</v>
      </c>
      <c r="G2246" s="2" t="str">
        <f>TEXT(LayoffsData[[#This Row],[date]],"yyyy-mm")</f>
        <v>2020-03</v>
      </c>
      <c r="H2246" s="1" t="s">
        <v>414</v>
      </c>
      <c r="I2246" s="1" t="s">
        <v>17</v>
      </c>
      <c r="J2246">
        <v>2250</v>
      </c>
    </row>
    <row r="2247" spans="1:10" x14ac:dyDescent="0.25">
      <c r="A2247" s="1" t="s">
        <v>2100</v>
      </c>
      <c r="B2247" s="1" t="s">
        <v>14</v>
      </c>
      <c r="C2247" s="1" t="s">
        <v>174</v>
      </c>
      <c r="D2247">
        <v>300</v>
      </c>
      <c r="F2247" s="2">
        <v>43950</v>
      </c>
      <c r="G2247" s="2" t="str">
        <f>TEXT(LayoffsData[[#This Row],[date]],"yyyy-mm")</f>
        <v>2020-04</v>
      </c>
      <c r="H2247" s="1" t="s">
        <v>414</v>
      </c>
      <c r="I2247" s="1" t="s">
        <v>17</v>
      </c>
      <c r="J2247">
        <v>2250</v>
      </c>
    </row>
    <row r="2248" spans="1:10" x14ac:dyDescent="0.25">
      <c r="A2248" s="1" t="s">
        <v>2100</v>
      </c>
      <c r="B2248" s="1" t="s">
        <v>32</v>
      </c>
      <c r="C2248" s="1" t="s">
        <v>174</v>
      </c>
      <c r="D2248">
        <v>300</v>
      </c>
      <c r="F2248" s="2">
        <v>44945</v>
      </c>
      <c r="G2248" s="2" t="str">
        <f>TEXT(LayoffsData[[#This Row],[date]],"yyyy-mm")</f>
        <v>2023-01</v>
      </c>
      <c r="H2248" s="1" t="s">
        <v>11</v>
      </c>
      <c r="I2248" s="1" t="s">
        <v>17</v>
      </c>
      <c r="J2248">
        <v>22200</v>
      </c>
    </row>
    <row r="2249" spans="1:10" x14ac:dyDescent="0.25">
      <c r="A2249" s="1" t="s">
        <v>2100</v>
      </c>
      <c r="B2249" s="1" t="s">
        <v>324</v>
      </c>
      <c r="C2249" s="1" t="s">
        <v>174</v>
      </c>
      <c r="F2249" s="2">
        <v>44097</v>
      </c>
      <c r="G2249" s="2" t="str">
        <f>TEXT(LayoffsData[[#This Row],[date]],"yyyy-mm")</f>
        <v>2020-09</v>
      </c>
      <c r="H2249" s="1" t="s">
        <v>414</v>
      </c>
      <c r="I2249" s="1" t="s">
        <v>296</v>
      </c>
      <c r="J2249">
        <v>19500</v>
      </c>
    </row>
    <row r="2250" spans="1:10" x14ac:dyDescent="0.25">
      <c r="A2250" s="1" t="s">
        <v>2101</v>
      </c>
      <c r="B2250" s="1" t="s">
        <v>137</v>
      </c>
      <c r="C2250" s="1" t="s">
        <v>15</v>
      </c>
      <c r="D2250">
        <v>35</v>
      </c>
      <c r="E2250">
        <v>0.17</v>
      </c>
      <c r="F2250" s="2">
        <v>44791</v>
      </c>
      <c r="G2250" s="2" t="str">
        <f>TEXT(LayoffsData[[#This Row],[date]],"yyyy-mm")</f>
        <v>2022-08</v>
      </c>
      <c r="H2250" s="1" t="s">
        <v>28</v>
      </c>
      <c r="I2250" s="1" t="s">
        <v>17</v>
      </c>
      <c r="J2250">
        <v>215</v>
      </c>
    </row>
    <row r="2251" spans="1:10" x14ac:dyDescent="0.25">
      <c r="A2251" s="1" t="s">
        <v>2101</v>
      </c>
      <c r="B2251" s="1" t="s">
        <v>137</v>
      </c>
      <c r="C2251" s="1" t="s">
        <v>15</v>
      </c>
      <c r="D2251">
        <v>56</v>
      </c>
      <c r="E2251">
        <v>0.28000000000000003</v>
      </c>
      <c r="F2251" s="2">
        <v>44958</v>
      </c>
      <c r="G2251" s="2" t="str">
        <f>TEXT(LayoffsData[[#This Row],[date]],"yyyy-mm")</f>
        <v>2023-02</v>
      </c>
      <c r="H2251" s="1" t="s">
        <v>28</v>
      </c>
      <c r="I2251" s="1" t="s">
        <v>17</v>
      </c>
      <c r="J2251">
        <v>215</v>
      </c>
    </row>
    <row r="2252" spans="1:10" x14ac:dyDescent="0.25">
      <c r="A2252" s="1" t="s">
        <v>2102</v>
      </c>
      <c r="B2252" s="1" t="s">
        <v>235</v>
      </c>
      <c r="C2252" s="1" t="s">
        <v>147</v>
      </c>
      <c r="D2252">
        <v>55</v>
      </c>
      <c r="E2252">
        <v>0.35</v>
      </c>
      <c r="F2252" s="2">
        <v>43943</v>
      </c>
      <c r="G2252" s="2" t="str">
        <f>TEXT(LayoffsData[[#This Row],[date]],"yyyy-mm")</f>
        <v>2020-04</v>
      </c>
      <c r="H2252" s="1" t="s">
        <v>24</v>
      </c>
      <c r="I2252" s="1" t="s">
        <v>17</v>
      </c>
      <c r="J2252">
        <v>24</v>
      </c>
    </row>
    <row r="2253" spans="1:10" x14ac:dyDescent="0.25">
      <c r="A2253" s="1" t="s">
        <v>2103</v>
      </c>
      <c r="B2253" s="1" t="s">
        <v>1372</v>
      </c>
      <c r="C2253" s="1" t="s">
        <v>149</v>
      </c>
      <c r="F2253" s="2">
        <v>44774</v>
      </c>
      <c r="G2253" s="2" t="str">
        <f>TEXT(LayoffsData[[#This Row],[date]],"yyyy-mm")</f>
        <v>2022-08</v>
      </c>
      <c r="H2253" s="1" t="s">
        <v>21</v>
      </c>
      <c r="I2253" s="1" t="s">
        <v>1373</v>
      </c>
      <c r="J2253">
        <v>10</v>
      </c>
    </row>
    <row r="2254" spans="1:10" x14ac:dyDescent="0.25">
      <c r="A2254" s="1" t="s">
        <v>2104</v>
      </c>
      <c r="B2254" s="1" t="s">
        <v>259</v>
      </c>
      <c r="C2254" s="1" t="s">
        <v>149</v>
      </c>
      <c r="E2254">
        <v>0.3</v>
      </c>
      <c r="F2254" s="2">
        <v>44880</v>
      </c>
      <c r="G2254" s="2" t="str">
        <f>TEXT(LayoffsData[[#This Row],[date]],"yyyy-mm")</f>
        <v>2022-11</v>
      </c>
      <c r="H2254" s="1" t="s">
        <v>11</v>
      </c>
      <c r="I2254" s="1" t="s">
        <v>46</v>
      </c>
      <c r="J2254">
        <v>68</v>
      </c>
    </row>
    <row r="2255" spans="1:10" x14ac:dyDescent="0.25">
      <c r="A2255" s="1" t="s">
        <v>2105</v>
      </c>
      <c r="B2255" s="1" t="s">
        <v>67</v>
      </c>
      <c r="C2255" s="1" t="s">
        <v>41</v>
      </c>
      <c r="D2255">
        <v>300</v>
      </c>
      <c r="F2255" s="2">
        <v>44740</v>
      </c>
      <c r="G2255" s="2" t="str">
        <f>TEXT(LayoffsData[[#This Row],[date]],"yyyy-mm")</f>
        <v>2022-06</v>
      </c>
      <c r="H2255" s="1" t="s">
        <v>57</v>
      </c>
      <c r="I2255" s="1" t="s">
        <v>69</v>
      </c>
      <c r="J2255">
        <v>11</v>
      </c>
    </row>
    <row r="2256" spans="1:10" x14ac:dyDescent="0.25">
      <c r="A2256" s="1" t="s">
        <v>2105</v>
      </c>
      <c r="B2256" s="1" t="s">
        <v>67</v>
      </c>
      <c r="C2256" s="1" t="s">
        <v>41</v>
      </c>
      <c r="D2256">
        <v>1800</v>
      </c>
      <c r="F2256" s="2">
        <v>44202</v>
      </c>
      <c r="G2256" s="2" t="str">
        <f>TEXT(LayoffsData[[#This Row],[date]],"yyyy-mm")</f>
        <v>2021-01</v>
      </c>
      <c r="H2256" s="1" t="s">
        <v>57</v>
      </c>
      <c r="I2256" s="1" t="s">
        <v>69</v>
      </c>
      <c r="J2256">
        <v>11</v>
      </c>
    </row>
    <row r="2257" spans="1:10" x14ac:dyDescent="0.25">
      <c r="A2257" s="1" t="s">
        <v>2106</v>
      </c>
      <c r="B2257" s="1" t="s">
        <v>73</v>
      </c>
      <c r="C2257" s="1" t="s">
        <v>506</v>
      </c>
      <c r="E2257">
        <v>0.04</v>
      </c>
      <c r="F2257" s="2">
        <v>44936</v>
      </c>
      <c r="G2257" s="2" t="str">
        <f>TEXT(LayoffsData[[#This Row],[date]],"yyyy-mm")</f>
        <v>2023-01</v>
      </c>
      <c r="H2257" s="1" t="s">
        <v>86</v>
      </c>
      <c r="I2257" s="1" t="s">
        <v>17</v>
      </c>
      <c r="J2257">
        <v>404</v>
      </c>
    </row>
    <row r="2258" spans="1:10" x14ac:dyDescent="0.25">
      <c r="A2258" s="1" t="s">
        <v>2106</v>
      </c>
      <c r="B2258" s="1" t="s">
        <v>73</v>
      </c>
      <c r="C2258" s="1" t="s">
        <v>506</v>
      </c>
      <c r="D2258">
        <v>95</v>
      </c>
      <c r="E2258">
        <v>0.15</v>
      </c>
      <c r="F2258" s="2">
        <v>44763</v>
      </c>
      <c r="G2258" s="2" t="str">
        <f>TEXT(LayoffsData[[#This Row],[date]],"yyyy-mm")</f>
        <v>2022-07</v>
      </c>
      <c r="H2258" s="1" t="s">
        <v>86</v>
      </c>
      <c r="I2258" s="1" t="s">
        <v>17</v>
      </c>
      <c r="J2258">
        <v>404</v>
      </c>
    </row>
    <row r="2259" spans="1:10" x14ac:dyDescent="0.25">
      <c r="A2259" s="1" t="s">
        <v>2107</v>
      </c>
      <c r="B2259" s="1" t="s">
        <v>40</v>
      </c>
      <c r="C2259" s="1" t="s">
        <v>84</v>
      </c>
      <c r="E2259">
        <v>0.5</v>
      </c>
      <c r="F2259" s="2">
        <v>43922</v>
      </c>
      <c r="G2259" s="2" t="str">
        <f>TEXT(LayoffsData[[#This Row],[date]],"yyyy-mm")</f>
        <v>2020-04</v>
      </c>
      <c r="H2259" s="1" t="s">
        <v>24</v>
      </c>
      <c r="I2259" s="1" t="s">
        <v>17</v>
      </c>
      <c r="J2259">
        <v>33</v>
      </c>
    </row>
    <row r="2260" spans="1:10" x14ac:dyDescent="0.25">
      <c r="A2260" s="1" t="s">
        <v>2108</v>
      </c>
      <c r="B2260" s="1" t="s">
        <v>35</v>
      </c>
      <c r="C2260" s="1" t="s">
        <v>27</v>
      </c>
      <c r="D2260">
        <v>300</v>
      </c>
      <c r="E2260">
        <v>0.2</v>
      </c>
      <c r="F2260" s="2">
        <v>44893</v>
      </c>
      <c r="G2260" s="2" t="str">
        <f>TEXT(LayoffsData[[#This Row],[date]],"yyyy-mm")</f>
        <v>2022-11</v>
      </c>
      <c r="H2260" s="1" t="s">
        <v>37</v>
      </c>
      <c r="I2260" s="1" t="s">
        <v>38</v>
      </c>
      <c r="J2260">
        <v>260</v>
      </c>
    </row>
    <row r="2261" spans="1:10" x14ac:dyDescent="0.25">
      <c r="A2261" s="1" t="s">
        <v>2109</v>
      </c>
      <c r="B2261" s="1" t="s">
        <v>44</v>
      </c>
      <c r="C2261" s="1" t="s">
        <v>174</v>
      </c>
      <c r="D2261">
        <v>99</v>
      </c>
      <c r="E2261">
        <v>0.22</v>
      </c>
      <c r="F2261" s="2">
        <v>44918</v>
      </c>
      <c r="G2261" s="2" t="str">
        <f>TEXT(LayoffsData[[#This Row],[date]],"yyyy-mm")</f>
        <v>2022-12</v>
      </c>
      <c r="H2261" s="1" t="s">
        <v>37</v>
      </c>
      <c r="I2261" s="1" t="s">
        <v>46</v>
      </c>
    </row>
    <row r="2262" spans="1:10" x14ac:dyDescent="0.25">
      <c r="A2262" s="1" t="s">
        <v>2110</v>
      </c>
      <c r="B2262" s="1" t="s">
        <v>14</v>
      </c>
      <c r="C2262" s="1" t="s">
        <v>29</v>
      </c>
      <c r="D2262">
        <v>150</v>
      </c>
      <c r="E2262">
        <v>0.17</v>
      </c>
      <c r="F2262" s="2">
        <v>44957</v>
      </c>
      <c r="G2262" s="2" t="str">
        <f>TEXT(LayoffsData[[#This Row],[date]],"yyyy-mm")</f>
        <v>2023-01</v>
      </c>
      <c r="H2262" s="1" t="s">
        <v>11</v>
      </c>
      <c r="I2262" s="1" t="s">
        <v>17</v>
      </c>
      <c r="J2262">
        <v>1600</v>
      </c>
    </row>
    <row r="2263" spans="1:10" x14ac:dyDescent="0.25">
      <c r="A2263" s="1" t="s">
        <v>2110</v>
      </c>
      <c r="B2263" s="1" t="s">
        <v>14</v>
      </c>
      <c r="C2263" s="1" t="s">
        <v>29</v>
      </c>
      <c r="D2263">
        <v>190</v>
      </c>
      <c r="E2263">
        <v>0.15</v>
      </c>
      <c r="F2263" s="2">
        <v>44621</v>
      </c>
      <c r="G2263" s="2" t="str">
        <f>TEXT(LayoffsData[[#This Row],[date]],"yyyy-mm")</f>
        <v>2022-03</v>
      </c>
      <c r="H2263" s="1" t="s">
        <v>11</v>
      </c>
      <c r="I2263" s="1" t="s">
        <v>17</v>
      </c>
      <c r="J2263">
        <v>1600</v>
      </c>
    </row>
    <row r="2264" spans="1:10" x14ac:dyDescent="0.25">
      <c r="A2264" s="1" t="s">
        <v>2111</v>
      </c>
      <c r="B2264" s="1" t="s">
        <v>73</v>
      </c>
      <c r="C2264" s="1" t="s">
        <v>20</v>
      </c>
      <c r="D2264">
        <v>40</v>
      </c>
      <c r="F2264" s="2">
        <v>44875</v>
      </c>
      <c r="G2264" s="2" t="str">
        <f>TEXT(LayoffsData[[#This Row],[date]],"yyyy-mm")</f>
        <v>2022-11</v>
      </c>
      <c r="H2264" s="1" t="s">
        <v>37</v>
      </c>
      <c r="I2264" s="1" t="s">
        <v>17</v>
      </c>
      <c r="J2264">
        <v>18</v>
      </c>
    </row>
    <row r="2265" spans="1:10" x14ac:dyDescent="0.25">
      <c r="A2265" s="1" t="s">
        <v>2112</v>
      </c>
      <c r="B2265" s="1" t="s">
        <v>168</v>
      </c>
      <c r="C2265" s="1" t="s">
        <v>20</v>
      </c>
      <c r="D2265">
        <v>100</v>
      </c>
      <c r="F2265" s="2">
        <v>44782</v>
      </c>
      <c r="G2265" s="2" t="str">
        <f>TEXT(LayoffsData[[#This Row],[date]],"yyyy-mm")</f>
        <v>2022-08</v>
      </c>
      <c r="H2265" s="1" t="s">
        <v>11</v>
      </c>
      <c r="I2265" s="1" t="s">
        <v>170</v>
      </c>
      <c r="J2265">
        <v>58</v>
      </c>
    </row>
    <row r="2266" spans="1:10" x14ac:dyDescent="0.25">
      <c r="A2266" s="1" t="s">
        <v>2112</v>
      </c>
      <c r="B2266" s="1" t="s">
        <v>168</v>
      </c>
      <c r="C2266" s="1" t="s">
        <v>20</v>
      </c>
      <c r="D2266">
        <v>370</v>
      </c>
      <c r="E2266">
        <v>0.06</v>
      </c>
      <c r="F2266" s="2">
        <v>44972</v>
      </c>
      <c r="G2266" s="2" t="str">
        <f>TEXT(LayoffsData[[#This Row],[date]],"yyyy-mm")</f>
        <v>2023-02</v>
      </c>
      <c r="H2266" s="1" t="s">
        <v>11</v>
      </c>
      <c r="I2266" s="1" t="s">
        <v>170</v>
      </c>
      <c r="J2266">
        <v>58</v>
      </c>
    </row>
    <row r="2267" spans="1:10" x14ac:dyDescent="0.25">
      <c r="A2267" s="1" t="s">
        <v>2113</v>
      </c>
      <c r="B2267" s="1" t="s">
        <v>14</v>
      </c>
      <c r="C2267" s="1" t="s">
        <v>113</v>
      </c>
      <c r="F2267" s="2">
        <v>44764</v>
      </c>
      <c r="G2267" s="2" t="str">
        <f>TEXT(LayoffsData[[#This Row],[date]],"yyyy-mm")</f>
        <v>2022-07</v>
      </c>
      <c r="H2267" s="1" t="s">
        <v>57</v>
      </c>
      <c r="I2267" s="1" t="s">
        <v>17</v>
      </c>
      <c r="J2267">
        <v>62</v>
      </c>
    </row>
    <row r="2268" spans="1:10" x14ac:dyDescent="0.25">
      <c r="A2268" s="1" t="s">
        <v>2114</v>
      </c>
      <c r="B2268" s="1" t="s">
        <v>32</v>
      </c>
      <c r="C2268" s="1" t="s">
        <v>51</v>
      </c>
      <c r="D2268">
        <v>130</v>
      </c>
      <c r="E2268">
        <v>7.0000000000000007E-2</v>
      </c>
      <c r="F2268" s="2">
        <v>44895</v>
      </c>
      <c r="G2268" s="2" t="str">
        <f>TEXT(LayoffsData[[#This Row],[date]],"yyyy-mm")</f>
        <v>2022-11</v>
      </c>
      <c r="H2268" s="1" t="s">
        <v>24</v>
      </c>
      <c r="I2268" s="1" t="s">
        <v>17</v>
      </c>
      <c r="J2268">
        <v>850</v>
      </c>
    </row>
    <row r="2269" spans="1:10" x14ac:dyDescent="0.25">
      <c r="A2269" s="1" t="s">
        <v>2114</v>
      </c>
      <c r="B2269" s="1" t="s">
        <v>32</v>
      </c>
      <c r="C2269" s="1" t="s">
        <v>149</v>
      </c>
      <c r="F2269" s="2">
        <v>43923</v>
      </c>
      <c r="G2269" s="2" t="str">
        <f>TEXT(LayoffsData[[#This Row],[date]],"yyyy-mm")</f>
        <v>2020-04</v>
      </c>
      <c r="H2269" s="1" t="s">
        <v>37</v>
      </c>
      <c r="I2269" s="1" t="s">
        <v>17</v>
      </c>
    </row>
    <row r="2270" spans="1:10" x14ac:dyDescent="0.25">
      <c r="A2270" s="1" t="s">
        <v>2115</v>
      </c>
      <c r="B2270" s="1" t="s">
        <v>14</v>
      </c>
      <c r="C2270" s="1" t="s">
        <v>41</v>
      </c>
      <c r="D2270">
        <v>50</v>
      </c>
      <c r="E2270">
        <v>0.75</v>
      </c>
      <c r="F2270" s="2">
        <v>43915</v>
      </c>
      <c r="G2270" s="2" t="str">
        <f>TEXT(LayoffsData[[#This Row],[date]],"yyyy-mm")</f>
        <v>2020-03</v>
      </c>
      <c r="H2270" s="1" t="s">
        <v>21</v>
      </c>
      <c r="I2270" s="1" t="s">
        <v>17</v>
      </c>
      <c r="J2270">
        <v>24</v>
      </c>
    </row>
    <row r="2271" spans="1:10" x14ac:dyDescent="0.25">
      <c r="A2271" s="1" t="s">
        <v>2116</v>
      </c>
      <c r="B2271" s="1" t="s">
        <v>14</v>
      </c>
      <c r="C2271" s="1" t="s">
        <v>165</v>
      </c>
      <c r="D2271">
        <v>46</v>
      </c>
      <c r="E2271">
        <v>0.13</v>
      </c>
      <c r="F2271" s="2">
        <v>43922</v>
      </c>
      <c r="G2271" s="2" t="str">
        <f>TEXT(LayoffsData[[#This Row],[date]],"yyyy-mm")</f>
        <v>2020-04</v>
      </c>
      <c r="H2271" s="1" t="s">
        <v>28</v>
      </c>
      <c r="I2271" s="1" t="s">
        <v>17</v>
      </c>
      <c r="J2271">
        <v>52</v>
      </c>
    </row>
    <row r="2272" spans="1:10" x14ac:dyDescent="0.25">
      <c r="A2272" s="1" t="s">
        <v>2117</v>
      </c>
      <c r="B2272" s="1" t="s">
        <v>73</v>
      </c>
      <c r="C2272" s="1" t="s">
        <v>20</v>
      </c>
      <c r="D2272">
        <v>26</v>
      </c>
      <c r="E2272">
        <v>0.1</v>
      </c>
      <c r="F2272" s="2">
        <v>43927</v>
      </c>
      <c r="G2272" s="2" t="str">
        <f>TEXT(LayoffsData[[#This Row],[date]],"yyyy-mm")</f>
        <v>2020-04</v>
      </c>
      <c r="H2272" s="1" t="s">
        <v>57</v>
      </c>
      <c r="I2272" s="1" t="s">
        <v>17</v>
      </c>
      <c r="J2272">
        <v>28</v>
      </c>
    </row>
    <row r="2273" spans="1:10" x14ac:dyDescent="0.25">
      <c r="A2273" s="1" t="s">
        <v>2118</v>
      </c>
      <c r="B2273" s="1" t="s">
        <v>73</v>
      </c>
      <c r="C2273" s="1" t="s">
        <v>165</v>
      </c>
      <c r="D2273">
        <v>25</v>
      </c>
      <c r="E2273">
        <v>0.1</v>
      </c>
      <c r="F2273" s="2">
        <v>43956</v>
      </c>
      <c r="G2273" s="2" t="str">
        <f>TEXT(LayoffsData[[#This Row],[date]],"yyyy-mm")</f>
        <v>2020-05</v>
      </c>
      <c r="H2273" s="1" t="s">
        <v>28</v>
      </c>
      <c r="I2273" s="1" t="s">
        <v>17</v>
      </c>
      <c r="J2273">
        <v>84</v>
      </c>
    </row>
    <row r="2274" spans="1:10" x14ac:dyDescent="0.25">
      <c r="A2274" s="1" t="s">
        <v>2119</v>
      </c>
      <c r="B2274" s="1" t="s">
        <v>14</v>
      </c>
      <c r="C2274" s="1" t="s">
        <v>149</v>
      </c>
      <c r="D2274">
        <v>90</v>
      </c>
      <c r="E2274">
        <v>0.1</v>
      </c>
      <c r="F2274" s="2">
        <v>44958</v>
      </c>
      <c r="G2274" s="2" t="str">
        <f>TEXT(LayoffsData[[#This Row],[date]],"yyyy-mm")</f>
        <v>2023-02</v>
      </c>
      <c r="H2274" s="1" t="s">
        <v>16</v>
      </c>
      <c r="I2274" s="1" t="s">
        <v>17</v>
      </c>
      <c r="J2274">
        <v>415</v>
      </c>
    </row>
    <row r="2275" spans="1:10" x14ac:dyDescent="0.25">
      <c r="A2275" s="1" t="s">
        <v>2120</v>
      </c>
      <c r="B2275" s="1" t="s">
        <v>14</v>
      </c>
      <c r="C2275" s="1" t="s">
        <v>147</v>
      </c>
      <c r="D2275">
        <v>525</v>
      </c>
      <c r="E2275">
        <v>0.03</v>
      </c>
      <c r="F2275" s="2">
        <v>44957</v>
      </c>
      <c r="G2275" s="2" t="str">
        <f>TEXT(LayoffsData[[#This Row],[date]],"yyyy-mm")</f>
        <v>2023-01</v>
      </c>
      <c r="H2275" s="1" t="s">
        <v>11</v>
      </c>
      <c r="I2275" s="1" t="s">
        <v>17</v>
      </c>
      <c r="J2275">
        <v>230</v>
      </c>
    </row>
    <row r="2276" spans="1:10" x14ac:dyDescent="0.25">
      <c r="A2276" s="1" t="s">
        <v>2121</v>
      </c>
      <c r="B2276" s="1" t="s">
        <v>92</v>
      </c>
      <c r="C2276" s="1" t="s">
        <v>20</v>
      </c>
      <c r="F2276" s="2">
        <v>43965</v>
      </c>
      <c r="G2276" s="2" t="str">
        <f>TEXT(LayoffsData[[#This Row],[date]],"yyyy-mm")</f>
        <v>2020-05</v>
      </c>
      <c r="H2276" s="1" t="s">
        <v>28</v>
      </c>
      <c r="I2276" s="1" t="s">
        <v>17</v>
      </c>
      <c r="J2276">
        <v>375</v>
      </c>
    </row>
    <row r="2277" spans="1:10" x14ac:dyDescent="0.25">
      <c r="A2277" s="1" t="s">
        <v>2122</v>
      </c>
      <c r="B2277" s="1" t="s">
        <v>79</v>
      </c>
      <c r="C2277" s="1" t="s">
        <v>147</v>
      </c>
      <c r="D2277">
        <v>60</v>
      </c>
      <c r="E2277">
        <v>0.2</v>
      </c>
      <c r="F2277" s="2">
        <v>44910</v>
      </c>
      <c r="G2277" s="2" t="str">
        <f>TEXT(LayoffsData[[#This Row],[date]],"yyyy-mm")</f>
        <v>2022-12</v>
      </c>
      <c r="H2277" s="1" t="s">
        <v>24</v>
      </c>
      <c r="I2277" s="1" t="s">
        <v>17</v>
      </c>
      <c r="J2277">
        <v>76</v>
      </c>
    </row>
    <row r="2278" spans="1:10" x14ac:dyDescent="0.25">
      <c r="A2278" s="1" t="s">
        <v>2123</v>
      </c>
      <c r="B2278" s="1" t="s">
        <v>14</v>
      </c>
      <c r="C2278" s="1" t="s">
        <v>147</v>
      </c>
      <c r="D2278">
        <v>35</v>
      </c>
      <c r="E2278">
        <v>0.2</v>
      </c>
      <c r="F2278" s="2">
        <v>44819</v>
      </c>
      <c r="G2278" s="2" t="str">
        <f>TEXT(LayoffsData[[#This Row],[date]],"yyyy-mm")</f>
        <v>2022-09</v>
      </c>
      <c r="H2278" s="1" t="s">
        <v>28</v>
      </c>
      <c r="I2278" s="1" t="s">
        <v>17</v>
      </c>
      <c r="J2278">
        <v>67</v>
      </c>
    </row>
    <row r="2279" spans="1:10" x14ac:dyDescent="0.25">
      <c r="A2279" s="1" t="s">
        <v>2124</v>
      </c>
      <c r="B2279" s="1" t="s">
        <v>137</v>
      </c>
      <c r="C2279" s="1" t="s">
        <v>45</v>
      </c>
      <c r="D2279">
        <v>450</v>
      </c>
      <c r="F2279" s="2">
        <v>44656</v>
      </c>
      <c r="G2279" s="2" t="str">
        <f>TEXT(LayoffsData[[#This Row],[date]],"yyyy-mm")</f>
        <v>2022-04</v>
      </c>
      <c r="H2279" s="1" t="s">
        <v>16</v>
      </c>
      <c r="I2279" s="1" t="s">
        <v>17</v>
      </c>
      <c r="J2279">
        <v>752</v>
      </c>
    </row>
    <row r="2280" spans="1:10" x14ac:dyDescent="0.25">
      <c r="A2280" s="1" t="s">
        <v>2125</v>
      </c>
      <c r="B2280" s="1" t="s">
        <v>137</v>
      </c>
      <c r="C2280" s="1" t="s">
        <v>29</v>
      </c>
      <c r="D2280">
        <v>30</v>
      </c>
      <c r="E2280">
        <v>0.5</v>
      </c>
      <c r="F2280" s="2">
        <v>44144</v>
      </c>
      <c r="G2280" s="2" t="str">
        <f>TEXT(LayoffsData[[#This Row],[date]],"yyyy-mm")</f>
        <v>2020-11</v>
      </c>
      <c r="H2280" s="1" t="s">
        <v>37</v>
      </c>
      <c r="I2280" s="1" t="s">
        <v>17</v>
      </c>
      <c r="J2280">
        <v>4</v>
      </c>
    </row>
    <row r="2281" spans="1:10" x14ac:dyDescent="0.25">
      <c r="A2281" s="1" t="s">
        <v>2126</v>
      </c>
      <c r="B2281" s="1" t="s">
        <v>14</v>
      </c>
      <c r="C2281" s="1" t="s">
        <v>147</v>
      </c>
      <c r="D2281">
        <v>45</v>
      </c>
      <c r="F2281" s="2">
        <v>44764</v>
      </c>
      <c r="G2281" s="2" t="str">
        <f>TEXT(LayoffsData[[#This Row],[date]],"yyyy-mm")</f>
        <v>2022-07</v>
      </c>
      <c r="H2281" s="1" t="s">
        <v>24</v>
      </c>
      <c r="I2281" s="1" t="s">
        <v>17</v>
      </c>
      <c r="J2281">
        <v>58</v>
      </c>
    </row>
    <row r="2282" spans="1:10" x14ac:dyDescent="0.25">
      <c r="A2282" s="1" t="s">
        <v>2127</v>
      </c>
      <c r="B2282" s="1" t="s">
        <v>2128</v>
      </c>
      <c r="C2282" s="1" t="s">
        <v>147</v>
      </c>
      <c r="D2282">
        <v>5</v>
      </c>
      <c r="E2282">
        <v>0.15</v>
      </c>
      <c r="F2282" s="2">
        <v>44789</v>
      </c>
      <c r="G2282" s="2" t="str">
        <f>TEXT(LayoffsData[[#This Row],[date]],"yyyy-mm")</f>
        <v>2022-08</v>
      </c>
      <c r="H2282" s="1" t="s">
        <v>21</v>
      </c>
      <c r="I2282" s="1" t="s">
        <v>17</v>
      </c>
      <c r="J2282">
        <v>11</v>
      </c>
    </row>
    <row r="2283" spans="1:10" x14ac:dyDescent="0.25">
      <c r="A2283" s="1" t="s">
        <v>2129</v>
      </c>
      <c r="B2283" s="1" t="s">
        <v>14</v>
      </c>
      <c r="C2283" s="1" t="s">
        <v>36</v>
      </c>
      <c r="E2283">
        <v>1</v>
      </c>
      <c r="F2283" s="2">
        <v>44930</v>
      </c>
      <c r="G2283" s="2" t="str">
        <f>TEXT(LayoffsData[[#This Row],[date]],"yyyy-mm")</f>
        <v>2023-01</v>
      </c>
      <c r="H2283" s="1" t="s">
        <v>37</v>
      </c>
      <c r="I2283" s="1" t="s">
        <v>17</v>
      </c>
      <c r="J2283">
        <v>29</v>
      </c>
    </row>
    <row r="2284" spans="1:10" x14ac:dyDescent="0.25">
      <c r="A2284" s="1" t="s">
        <v>2130</v>
      </c>
      <c r="B2284" s="1" t="s">
        <v>120</v>
      </c>
      <c r="C2284" s="1" t="s">
        <v>68</v>
      </c>
      <c r="E2284">
        <v>0.05</v>
      </c>
      <c r="F2284" s="2">
        <v>44838</v>
      </c>
      <c r="G2284" s="2" t="str">
        <f>TEXT(LayoffsData[[#This Row],[date]],"yyyy-mm")</f>
        <v>2022-10</v>
      </c>
      <c r="H2284" s="1" t="s">
        <v>33</v>
      </c>
      <c r="I2284" s="1" t="s">
        <v>121</v>
      </c>
      <c r="J2284">
        <v>534</v>
      </c>
    </row>
    <row r="2285" spans="1:10" x14ac:dyDescent="0.25">
      <c r="A2285" s="1" t="s">
        <v>2131</v>
      </c>
      <c r="B2285" s="1" t="s">
        <v>195</v>
      </c>
      <c r="C2285" s="1" t="s">
        <v>113</v>
      </c>
      <c r="D2285">
        <v>20</v>
      </c>
      <c r="E2285">
        <v>0.1</v>
      </c>
      <c r="F2285" s="2">
        <v>44905</v>
      </c>
      <c r="G2285" s="2" t="str">
        <f>TEXT(LayoffsData[[#This Row],[date]],"yyyy-mm")</f>
        <v>2022-12</v>
      </c>
      <c r="H2285" s="1" t="s">
        <v>24</v>
      </c>
      <c r="I2285" s="1" t="s">
        <v>80</v>
      </c>
      <c r="J2285">
        <v>94</v>
      </c>
    </row>
    <row r="2286" spans="1:10" x14ac:dyDescent="0.25">
      <c r="A2286" s="1" t="s">
        <v>2132</v>
      </c>
      <c r="B2286" s="1" t="s">
        <v>35</v>
      </c>
      <c r="C2286" s="1" t="s">
        <v>147</v>
      </c>
      <c r="D2286">
        <v>10</v>
      </c>
      <c r="F2286" s="2">
        <v>43935</v>
      </c>
      <c r="G2286" s="2" t="str">
        <f>TEXT(LayoffsData[[#This Row],[date]],"yyyy-mm")</f>
        <v>2020-04</v>
      </c>
      <c r="H2286" s="1" t="s">
        <v>37</v>
      </c>
      <c r="I2286" s="1" t="s">
        <v>38</v>
      </c>
      <c r="J2286">
        <v>5</v>
      </c>
    </row>
    <row r="2287" spans="1:10" x14ac:dyDescent="0.25">
      <c r="A2287" s="1" t="s">
        <v>2133</v>
      </c>
      <c r="B2287" s="1" t="s">
        <v>295</v>
      </c>
      <c r="C2287" s="1" t="s">
        <v>27</v>
      </c>
      <c r="D2287">
        <v>180</v>
      </c>
      <c r="E2287">
        <v>0.09</v>
      </c>
      <c r="F2287" s="2">
        <v>44672</v>
      </c>
      <c r="G2287" s="2" t="str">
        <f>TEXT(LayoffsData[[#This Row],[date]],"yyyy-mm")</f>
        <v>2022-04</v>
      </c>
      <c r="H2287" s="1" t="s">
        <v>16</v>
      </c>
      <c r="I2287" s="1" t="s">
        <v>296</v>
      </c>
      <c r="J2287">
        <v>917</v>
      </c>
    </row>
    <row r="2288" spans="1:10" x14ac:dyDescent="0.25">
      <c r="A2288" s="1" t="s">
        <v>2134</v>
      </c>
      <c r="B2288" s="1" t="s">
        <v>987</v>
      </c>
      <c r="C2288" s="1" t="s">
        <v>27</v>
      </c>
      <c r="F2288" s="2">
        <v>44914</v>
      </c>
      <c r="G2288" s="2" t="str">
        <f>TEXT(LayoffsData[[#This Row],[date]],"yyyy-mm")</f>
        <v>2022-12</v>
      </c>
      <c r="H2288" s="1" t="s">
        <v>11</v>
      </c>
      <c r="I2288" s="1" t="s">
        <v>17</v>
      </c>
      <c r="J2288">
        <v>7400</v>
      </c>
    </row>
    <row r="2289" spans="1:10" x14ac:dyDescent="0.25">
      <c r="A2289" s="1" t="s">
        <v>2135</v>
      </c>
      <c r="B2289" s="1" t="s">
        <v>35</v>
      </c>
      <c r="C2289" s="1" t="s">
        <v>68</v>
      </c>
      <c r="F2289" s="2">
        <v>44943</v>
      </c>
      <c r="G2289" s="2" t="str">
        <f>TEXT(LayoffsData[[#This Row],[date]],"yyyy-mm")</f>
        <v>2023-01</v>
      </c>
      <c r="H2289" s="1" t="s">
        <v>11</v>
      </c>
      <c r="I2289" s="1" t="s">
        <v>38</v>
      </c>
    </row>
    <row r="2290" spans="1:10" x14ac:dyDescent="0.25">
      <c r="A2290" s="1" t="s">
        <v>2136</v>
      </c>
      <c r="B2290" s="1" t="s">
        <v>168</v>
      </c>
      <c r="C2290" s="1" t="s">
        <v>149</v>
      </c>
      <c r="F2290" s="2">
        <v>44811</v>
      </c>
      <c r="G2290" s="2" t="str">
        <f>TEXT(LayoffsData[[#This Row],[date]],"yyyy-mm")</f>
        <v>2022-09</v>
      </c>
      <c r="H2290" s="1" t="s">
        <v>33</v>
      </c>
      <c r="I2290" s="1" t="s">
        <v>170</v>
      </c>
      <c r="J2290">
        <v>100</v>
      </c>
    </row>
    <row r="2291" spans="1:10" x14ac:dyDescent="0.25">
      <c r="A2291" s="1" t="s">
        <v>2137</v>
      </c>
      <c r="B2291" s="1" t="s">
        <v>44</v>
      </c>
      <c r="C2291" s="1" t="s">
        <v>174</v>
      </c>
      <c r="E2291">
        <v>1</v>
      </c>
      <c r="F2291" s="2">
        <v>44771</v>
      </c>
      <c r="G2291" s="2" t="str">
        <f>TEXT(LayoffsData[[#This Row],[date]],"yyyy-mm")</f>
        <v>2022-07</v>
      </c>
      <c r="H2291" s="1" t="s">
        <v>37</v>
      </c>
      <c r="I2291" s="1" t="s">
        <v>46</v>
      </c>
      <c r="J2291">
        <v>6</v>
      </c>
    </row>
    <row r="2292" spans="1:10" x14ac:dyDescent="0.25">
      <c r="A2292" s="1" t="s">
        <v>2138</v>
      </c>
      <c r="B2292" s="1" t="s">
        <v>14</v>
      </c>
      <c r="C2292" s="1" t="s">
        <v>27</v>
      </c>
      <c r="D2292">
        <v>1600</v>
      </c>
      <c r="E2292">
        <v>0.2</v>
      </c>
      <c r="F2292" s="2">
        <v>44966</v>
      </c>
      <c r="G2292" s="2" t="str">
        <f>TEXT(LayoffsData[[#This Row],[date]],"yyyy-mm")</f>
        <v>2023-02</v>
      </c>
      <c r="H2292" s="1" t="s">
        <v>57</v>
      </c>
      <c r="I2292" s="1" t="s">
        <v>17</v>
      </c>
      <c r="J2292">
        <v>6</v>
      </c>
    </row>
    <row r="2293" spans="1:10" x14ac:dyDescent="0.25">
      <c r="A2293" s="1" t="s">
        <v>2139</v>
      </c>
      <c r="B2293" s="1" t="s">
        <v>200</v>
      </c>
      <c r="C2293" s="1" t="s">
        <v>68</v>
      </c>
      <c r="F2293" s="2">
        <v>44896</v>
      </c>
      <c r="G2293" s="2" t="str">
        <f>TEXT(LayoffsData[[#This Row],[date]],"yyyy-mm")</f>
        <v>2022-12</v>
      </c>
      <c r="H2293" s="1" t="s">
        <v>21</v>
      </c>
      <c r="I2293" s="1" t="s">
        <v>201</v>
      </c>
      <c r="J2293">
        <v>69</v>
      </c>
    </row>
    <row r="2294" spans="1:10" x14ac:dyDescent="0.25">
      <c r="A2294" s="1" t="s">
        <v>2140</v>
      </c>
      <c r="B2294" s="1" t="s">
        <v>14</v>
      </c>
      <c r="C2294" s="1" t="s">
        <v>53</v>
      </c>
      <c r="D2294">
        <v>200</v>
      </c>
      <c r="F2294" s="2">
        <v>44986</v>
      </c>
      <c r="G2294" s="2" t="str">
        <f>TEXT(LayoffsData[[#This Row],[date]],"yyyy-mm")</f>
        <v>2023-03</v>
      </c>
      <c r="H2294" s="1" t="s">
        <v>28</v>
      </c>
      <c r="I2294" s="1" t="s">
        <v>17</v>
      </c>
      <c r="J2294">
        <v>102</v>
      </c>
    </row>
    <row r="2295" spans="1:10" x14ac:dyDescent="0.25">
      <c r="A2295" s="1" t="s">
        <v>2141</v>
      </c>
      <c r="B2295" s="1" t="s">
        <v>14</v>
      </c>
      <c r="C2295" s="1" t="s">
        <v>27</v>
      </c>
      <c r="D2295">
        <v>63</v>
      </c>
      <c r="F2295" s="2">
        <v>44025</v>
      </c>
      <c r="G2295" s="2" t="str">
        <f>TEXT(LayoffsData[[#This Row],[date]],"yyyy-mm")</f>
        <v>2020-07</v>
      </c>
      <c r="H2295" s="1" t="s">
        <v>11</v>
      </c>
      <c r="I2295" s="1" t="s">
        <v>17</v>
      </c>
      <c r="J2295">
        <v>56</v>
      </c>
    </row>
    <row r="2296" spans="1:10" x14ac:dyDescent="0.25">
      <c r="A2296" s="1" t="s">
        <v>2141</v>
      </c>
      <c r="B2296" s="1" t="s">
        <v>14</v>
      </c>
      <c r="C2296" s="1" t="s">
        <v>27</v>
      </c>
      <c r="D2296">
        <v>1000</v>
      </c>
      <c r="E2296">
        <v>0.17</v>
      </c>
      <c r="F2296" s="2">
        <v>43930</v>
      </c>
      <c r="G2296" s="2" t="str">
        <f>TEXT(LayoffsData[[#This Row],[date]],"yyyy-mm")</f>
        <v>2020-04</v>
      </c>
      <c r="H2296" s="1" t="s">
        <v>11</v>
      </c>
      <c r="I2296" s="1" t="s">
        <v>17</v>
      </c>
      <c r="J2296">
        <v>56</v>
      </c>
    </row>
    <row r="2297" spans="1:10" x14ac:dyDescent="0.25">
      <c r="A2297" s="1" t="s">
        <v>2142</v>
      </c>
      <c r="B2297" s="1" t="s">
        <v>32</v>
      </c>
      <c r="C2297" s="1" t="s">
        <v>20</v>
      </c>
      <c r="E2297">
        <v>0.08</v>
      </c>
      <c r="F2297" s="2">
        <v>44949</v>
      </c>
      <c r="G2297" s="2" t="str">
        <f>TEXT(LayoffsData[[#This Row],[date]],"yyyy-mm")</f>
        <v>2023-01</v>
      </c>
      <c r="H2297" s="1" t="s">
        <v>11</v>
      </c>
      <c r="I2297" s="1" t="s">
        <v>17</v>
      </c>
      <c r="J2297">
        <v>117</v>
      </c>
    </row>
    <row r="2298" spans="1:10" x14ac:dyDescent="0.25">
      <c r="A2298" s="1" t="s">
        <v>2143</v>
      </c>
      <c r="B2298" s="1" t="s">
        <v>2144</v>
      </c>
      <c r="C2298" s="1" t="s">
        <v>68</v>
      </c>
      <c r="F2298" s="2">
        <v>43950</v>
      </c>
      <c r="G2298" s="2" t="str">
        <f>TEXT(LayoffsData[[#This Row],[date]],"yyyy-mm")</f>
        <v>2020-04</v>
      </c>
      <c r="H2298" s="1" t="s">
        <v>24</v>
      </c>
      <c r="I2298" s="1" t="s">
        <v>2145</v>
      </c>
      <c r="J2298">
        <v>23</v>
      </c>
    </row>
    <row r="2299" spans="1:10" x14ac:dyDescent="0.25">
      <c r="A2299" s="1" t="s">
        <v>2146</v>
      </c>
      <c r="B2299" s="1" t="s">
        <v>424</v>
      </c>
      <c r="C2299" s="1" t="s">
        <v>376</v>
      </c>
      <c r="D2299">
        <v>140</v>
      </c>
      <c r="E2299">
        <v>0.5</v>
      </c>
      <c r="F2299" s="2">
        <v>44714</v>
      </c>
      <c r="G2299" s="2" t="str">
        <f>TEXT(LayoffsData[[#This Row],[date]],"yyyy-mm")</f>
        <v>2022-06</v>
      </c>
      <c r="H2299" s="1" t="s">
        <v>131</v>
      </c>
      <c r="I2299" s="1" t="s">
        <v>69</v>
      </c>
      <c r="J2299">
        <v>3</v>
      </c>
    </row>
    <row r="2300" spans="1:10" x14ac:dyDescent="0.25">
      <c r="A2300" s="1" t="s">
        <v>2147</v>
      </c>
      <c r="B2300" s="1" t="s">
        <v>137</v>
      </c>
      <c r="C2300" s="1" t="s">
        <v>63</v>
      </c>
      <c r="D2300">
        <v>18</v>
      </c>
      <c r="F2300" s="2">
        <v>43910</v>
      </c>
      <c r="G2300" s="2" t="str">
        <f>TEXT(LayoffsData[[#This Row],[date]],"yyyy-mm")</f>
        <v>2020-03</v>
      </c>
      <c r="H2300" s="1" t="s">
        <v>21</v>
      </c>
      <c r="I2300" s="1" t="s">
        <v>17</v>
      </c>
      <c r="J2300">
        <v>16</v>
      </c>
    </row>
    <row r="2301" spans="1:10" x14ac:dyDescent="0.25">
      <c r="A2301" s="1" t="s">
        <v>2148</v>
      </c>
      <c r="B2301" s="1" t="s">
        <v>32</v>
      </c>
      <c r="C2301" s="1" t="s">
        <v>20</v>
      </c>
      <c r="D2301">
        <v>70</v>
      </c>
      <c r="E2301">
        <v>0.09</v>
      </c>
      <c r="F2301" s="2">
        <v>44881</v>
      </c>
      <c r="G2301" s="2" t="str">
        <f>TEXT(LayoffsData[[#This Row],[date]],"yyyy-mm")</f>
        <v>2022-11</v>
      </c>
      <c r="H2301" s="1" t="s">
        <v>37</v>
      </c>
      <c r="I2301" s="1" t="s">
        <v>17</v>
      </c>
      <c r="J2301">
        <v>436</v>
      </c>
    </row>
    <row r="2302" spans="1:10" x14ac:dyDescent="0.25">
      <c r="A2302" s="1" t="s">
        <v>2149</v>
      </c>
      <c r="B2302" s="1" t="s">
        <v>259</v>
      </c>
      <c r="C2302" s="1" t="s">
        <v>51</v>
      </c>
      <c r="E2302">
        <v>1</v>
      </c>
      <c r="F2302" s="2">
        <v>44914</v>
      </c>
      <c r="G2302" s="2" t="str">
        <f>TEXT(LayoffsData[[#This Row],[date]],"yyyy-mm")</f>
        <v>2022-12</v>
      </c>
      <c r="H2302" s="1" t="s">
        <v>37</v>
      </c>
      <c r="I2302" s="1" t="s">
        <v>46</v>
      </c>
      <c r="J2302">
        <v>2</v>
      </c>
    </row>
    <row r="2303" spans="1:10" x14ac:dyDescent="0.25">
      <c r="A2303" s="1" t="s">
        <v>2150</v>
      </c>
      <c r="B2303" s="1" t="s">
        <v>35</v>
      </c>
      <c r="C2303" s="1" t="s">
        <v>51</v>
      </c>
      <c r="D2303">
        <v>100</v>
      </c>
      <c r="E2303">
        <v>0.4</v>
      </c>
      <c r="F2303" s="2">
        <v>44697</v>
      </c>
      <c r="G2303" s="2" t="str">
        <f>TEXT(LayoffsData[[#This Row],[date]],"yyyy-mm")</f>
        <v>2022-05</v>
      </c>
      <c r="H2303" s="1" t="s">
        <v>21</v>
      </c>
      <c r="I2303" s="1" t="s">
        <v>17</v>
      </c>
      <c r="J2303">
        <v>29</v>
      </c>
    </row>
    <row r="2304" spans="1:10" x14ac:dyDescent="0.25">
      <c r="A2304" s="1" t="s">
        <v>2151</v>
      </c>
      <c r="B2304" s="1" t="s">
        <v>79</v>
      </c>
      <c r="C2304" s="1" t="s">
        <v>29</v>
      </c>
      <c r="F2304" s="2">
        <v>44978</v>
      </c>
      <c r="G2304" s="2" t="str">
        <f>TEXT(LayoffsData[[#This Row],[date]],"yyyy-mm")</f>
        <v>2023-02</v>
      </c>
      <c r="H2304" s="1" t="s">
        <v>11</v>
      </c>
      <c r="I2304" s="1" t="s">
        <v>80</v>
      </c>
      <c r="J2304">
        <v>467</v>
      </c>
    </row>
    <row r="2305" spans="1:10" x14ac:dyDescent="0.25">
      <c r="A2305" s="1" t="s">
        <v>2152</v>
      </c>
      <c r="B2305" s="1" t="s">
        <v>200</v>
      </c>
      <c r="C2305" s="1" t="s">
        <v>51</v>
      </c>
      <c r="E2305">
        <v>0.1</v>
      </c>
      <c r="F2305" s="2">
        <v>44706</v>
      </c>
      <c r="G2305" s="2" t="str">
        <f>TEXT(LayoffsData[[#This Row],[date]],"yyyy-mm")</f>
        <v>2022-05</v>
      </c>
      <c r="H2305" s="1" t="s">
        <v>94</v>
      </c>
      <c r="I2305" s="1" t="s">
        <v>201</v>
      </c>
      <c r="J2305">
        <v>300</v>
      </c>
    </row>
    <row r="2306" spans="1:10" x14ac:dyDescent="0.25">
      <c r="A2306" s="1" t="s">
        <v>2153</v>
      </c>
      <c r="B2306" s="1" t="s">
        <v>1294</v>
      </c>
      <c r="C2306" s="1" t="s">
        <v>29</v>
      </c>
      <c r="F2306" s="2">
        <v>44946</v>
      </c>
      <c r="G2306" s="2" t="str">
        <f>TEXT(LayoffsData[[#This Row],[date]],"yyyy-mm")</f>
        <v>2023-01</v>
      </c>
      <c r="H2306" s="1" t="s">
        <v>57</v>
      </c>
      <c r="I2306" s="1" t="s">
        <v>17</v>
      </c>
      <c r="J2306">
        <v>62</v>
      </c>
    </row>
    <row r="2307" spans="1:10" x14ac:dyDescent="0.25">
      <c r="A2307" s="1" t="s">
        <v>2153</v>
      </c>
      <c r="B2307" s="1" t="s">
        <v>1294</v>
      </c>
      <c r="C2307" s="1" t="s">
        <v>29</v>
      </c>
      <c r="E2307">
        <v>0.04</v>
      </c>
      <c r="F2307" s="2">
        <v>44824</v>
      </c>
      <c r="G2307" s="2" t="str">
        <f>TEXT(LayoffsData[[#This Row],[date]],"yyyy-mm")</f>
        <v>2022-09</v>
      </c>
      <c r="H2307" s="1" t="s">
        <v>57</v>
      </c>
      <c r="I2307" s="1" t="s">
        <v>17</v>
      </c>
      <c r="J2307">
        <v>62</v>
      </c>
    </row>
    <row r="2308" spans="1:10" x14ac:dyDescent="0.25">
      <c r="A2308" s="1" t="s">
        <v>2154</v>
      </c>
      <c r="B2308" s="1" t="s">
        <v>200</v>
      </c>
      <c r="C2308" s="1" t="s">
        <v>68</v>
      </c>
      <c r="D2308">
        <v>85</v>
      </c>
      <c r="E2308">
        <v>0.17</v>
      </c>
      <c r="F2308" s="2">
        <v>44756</v>
      </c>
      <c r="G2308" s="2" t="str">
        <f>TEXT(LayoffsData[[#This Row],[date]],"yyyy-mm")</f>
        <v>2022-07</v>
      </c>
      <c r="H2308" s="1" t="s">
        <v>28</v>
      </c>
      <c r="I2308" s="1" t="s">
        <v>201</v>
      </c>
      <c r="J2308">
        <v>202</v>
      </c>
    </row>
    <row r="2309" spans="1:10" x14ac:dyDescent="0.25">
      <c r="A2309" s="1" t="s">
        <v>2155</v>
      </c>
      <c r="B2309" s="1" t="s">
        <v>79</v>
      </c>
      <c r="C2309" s="1" t="s">
        <v>68</v>
      </c>
      <c r="D2309">
        <v>75</v>
      </c>
      <c r="E2309">
        <v>0.72</v>
      </c>
      <c r="F2309" s="2">
        <v>44039</v>
      </c>
      <c r="G2309" s="2" t="str">
        <f>TEXT(LayoffsData[[#This Row],[date]],"yyyy-mm")</f>
        <v>2020-07</v>
      </c>
      <c r="H2309" s="1" t="s">
        <v>24</v>
      </c>
      <c r="I2309" s="1" t="s">
        <v>80</v>
      </c>
      <c r="J2309">
        <v>60</v>
      </c>
    </row>
    <row r="2310" spans="1:10" x14ac:dyDescent="0.25">
      <c r="A2310" s="1" t="s">
        <v>2156</v>
      </c>
      <c r="B2310" s="1" t="s">
        <v>137</v>
      </c>
      <c r="C2310" s="1" t="s">
        <v>149</v>
      </c>
      <c r="F2310" s="2">
        <v>44875</v>
      </c>
      <c r="G2310" s="2" t="str">
        <f>TEXT(LayoffsData[[#This Row],[date]],"yyyy-mm")</f>
        <v>2022-11</v>
      </c>
      <c r="H2310" s="1" t="s">
        <v>28</v>
      </c>
      <c r="I2310" s="1" t="s">
        <v>17</v>
      </c>
      <c r="J2310">
        <v>277</v>
      </c>
    </row>
    <row r="2311" spans="1:10" x14ac:dyDescent="0.25">
      <c r="A2311" s="1" t="s">
        <v>2157</v>
      </c>
      <c r="B2311" s="1" t="s">
        <v>168</v>
      </c>
      <c r="C2311" s="1" t="s">
        <v>149</v>
      </c>
      <c r="D2311">
        <v>30</v>
      </c>
      <c r="E2311">
        <v>0.2</v>
      </c>
      <c r="F2311" s="2">
        <v>44762</v>
      </c>
      <c r="G2311" s="2" t="str">
        <f>TEXT(LayoffsData[[#This Row],[date]],"yyyy-mm")</f>
        <v>2022-07</v>
      </c>
      <c r="H2311" s="1" t="s">
        <v>37</v>
      </c>
      <c r="I2311" s="1" t="s">
        <v>170</v>
      </c>
      <c r="J2311">
        <v>51</v>
      </c>
    </row>
    <row r="2312" spans="1:10" x14ac:dyDescent="0.25">
      <c r="A2312" s="1" t="s">
        <v>2158</v>
      </c>
      <c r="B2312" s="1" t="s">
        <v>14</v>
      </c>
      <c r="C2312" s="1" t="s">
        <v>53</v>
      </c>
      <c r="D2312">
        <v>80</v>
      </c>
      <c r="F2312" s="2">
        <v>44777</v>
      </c>
      <c r="G2312" s="2" t="str">
        <f>TEXT(LayoffsData[[#This Row],[date]],"yyyy-mm")</f>
        <v>2022-08</v>
      </c>
      <c r="H2312" s="1" t="s">
        <v>57</v>
      </c>
      <c r="I2312" s="1" t="s">
        <v>17</v>
      </c>
      <c r="J2312">
        <v>85</v>
      </c>
    </row>
    <row r="2313" spans="1:10" x14ac:dyDescent="0.25">
      <c r="A2313" s="1" t="s">
        <v>2158</v>
      </c>
      <c r="B2313" s="1" t="s">
        <v>14</v>
      </c>
      <c r="C2313" s="1" t="s">
        <v>53</v>
      </c>
      <c r="D2313">
        <v>350</v>
      </c>
      <c r="E2313">
        <v>0.05</v>
      </c>
      <c r="F2313" s="2">
        <v>44872</v>
      </c>
      <c r="G2313" s="2" t="str">
        <f>TEXT(LayoffsData[[#This Row],[date]],"yyyy-mm")</f>
        <v>2022-11</v>
      </c>
      <c r="H2313" s="1" t="s">
        <v>57</v>
      </c>
      <c r="I2313" s="1" t="s">
        <v>17</v>
      </c>
      <c r="J2313">
        <v>85</v>
      </c>
    </row>
    <row r="2314" spans="1:10" x14ac:dyDescent="0.25">
      <c r="A2314" s="1" t="s">
        <v>2159</v>
      </c>
      <c r="B2314" s="1" t="s">
        <v>14</v>
      </c>
      <c r="C2314" s="1" t="s">
        <v>147</v>
      </c>
      <c r="D2314">
        <v>87</v>
      </c>
      <c r="E2314">
        <v>0.15</v>
      </c>
      <c r="F2314" s="2">
        <v>43944</v>
      </c>
      <c r="G2314" s="2" t="str">
        <f>TEXT(LayoffsData[[#This Row],[date]],"yyyy-mm")</f>
        <v>2020-04</v>
      </c>
      <c r="H2314" s="1" t="s">
        <v>28</v>
      </c>
      <c r="I2314" s="1" t="s">
        <v>17</v>
      </c>
      <c r="J2314">
        <v>583</v>
      </c>
    </row>
    <row r="2315" spans="1:10" x14ac:dyDescent="0.25">
      <c r="A2315" s="1" t="s">
        <v>2160</v>
      </c>
      <c r="B2315" s="1" t="s">
        <v>120</v>
      </c>
      <c r="C2315" s="1" t="s">
        <v>41</v>
      </c>
      <c r="E2315">
        <v>0.3</v>
      </c>
      <c r="F2315" s="2">
        <v>44777</v>
      </c>
      <c r="G2315" s="2" t="str">
        <f>TEXT(LayoffsData[[#This Row],[date]],"yyyy-mm")</f>
        <v>2022-08</v>
      </c>
      <c r="H2315" s="1" t="s">
        <v>24</v>
      </c>
      <c r="I2315" s="1" t="s">
        <v>121</v>
      </c>
      <c r="J2315">
        <v>20</v>
      </c>
    </row>
    <row r="2316" spans="1:10" x14ac:dyDescent="0.25">
      <c r="A2316" s="1" t="s">
        <v>2160</v>
      </c>
      <c r="B2316" s="1" t="s">
        <v>120</v>
      </c>
      <c r="C2316" s="1" t="s">
        <v>41</v>
      </c>
      <c r="D2316">
        <v>200</v>
      </c>
      <c r="F2316" s="2">
        <v>44705</v>
      </c>
      <c r="G2316" s="2" t="str">
        <f>TEXT(LayoffsData[[#This Row],[date]],"yyyy-mm")</f>
        <v>2022-05</v>
      </c>
      <c r="H2316" s="1" t="s">
        <v>24</v>
      </c>
      <c r="I2316" s="1" t="s">
        <v>121</v>
      </c>
      <c r="J2316">
        <v>20</v>
      </c>
    </row>
    <row r="2317" spans="1:10" x14ac:dyDescent="0.25">
      <c r="A2317" s="1" t="s">
        <v>2161</v>
      </c>
      <c r="B2317" s="1" t="s">
        <v>79</v>
      </c>
      <c r="C2317" s="1" t="s">
        <v>147</v>
      </c>
      <c r="F2317" s="2">
        <v>44833</v>
      </c>
      <c r="G2317" s="2" t="str">
        <f>TEXT(LayoffsData[[#This Row],[date]],"yyyy-mm")</f>
        <v>2022-09</v>
      </c>
      <c r="H2317" s="1" t="s">
        <v>33</v>
      </c>
      <c r="I2317" s="1" t="s">
        <v>80</v>
      </c>
      <c r="J2317">
        <v>107</v>
      </c>
    </row>
    <row r="2318" spans="1:10" x14ac:dyDescent="0.25">
      <c r="A2318" s="1" t="s">
        <v>2162</v>
      </c>
      <c r="B2318" s="1" t="s">
        <v>55</v>
      </c>
      <c r="C2318" s="1" t="s">
        <v>36</v>
      </c>
      <c r="E2318">
        <v>0.1</v>
      </c>
      <c r="F2318" s="2">
        <v>44904</v>
      </c>
      <c r="G2318" s="2" t="str">
        <f>TEXT(LayoffsData[[#This Row],[date]],"yyyy-mm")</f>
        <v>2022-12</v>
      </c>
      <c r="H2318" s="1" t="s">
        <v>24</v>
      </c>
      <c r="I2318" s="1" t="s">
        <v>17</v>
      </c>
      <c r="J2318">
        <v>25</v>
      </c>
    </row>
    <row r="2319" spans="1:10" x14ac:dyDescent="0.25">
      <c r="A2319" s="1" t="s">
        <v>2163</v>
      </c>
      <c r="B2319" s="1" t="s">
        <v>55</v>
      </c>
      <c r="C2319" s="1" t="s">
        <v>506</v>
      </c>
      <c r="D2319">
        <v>17</v>
      </c>
      <c r="E2319">
        <v>0.04</v>
      </c>
      <c r="F2319" s="2">
        <v>43921</v>
      </c>
      <c r="G2319" s="2" t="str">
        <f>TEXT(LayoffsData[[#This Row],[date]],"yyyy-mm")</f>
        <v>2020-03</v>
      </c>
      <c r="H2319" s="1" t="s">
        <v>28</v>
      </c>
      <c r="I2319" s="1" t="s">
        <v>17</v>
      </c>
      <c r="J2319">
        <v>91</v>
      </c>
    </row>
    <row r="2320" spans="1:10" x14ac:dyDescent="0.25">
      <c r="A2320" s="1" t="s">
        <v>2164</v>
      </c>
      <c r="B2320" s="1" t="s">
        <v>192</v>
      </c>
      <c r="C2320" s="1" t="s">
        <v>68</v>
      </c>
      <c r="E2320">
        <v>0.1</v>
      </c>
      <c r="F2320" s="2">
        <v>44744</v>
      </c>
      <c r="G2320" s="2" t="str">
        <f>TEXT(LayoffsData[[#This Row],[date]],"yyyy-mm")</f>
        <v>2022-07</v>
      </c>
      <c r="H2320" s="1" t="s">
        <v>21</v>
      </c>
      <c r="I2320" s="1" t="s">
        <v>46</v>
      </c>
      <c r="J2320">
        <v>25</v>
      </c>
    </row>
    <row r="2321" spans="1:10" x14ac:dyDescent="0.25">
      <c r="A2321" s="1" t="s">
        <v>2165</v>
      </c>
      <c r="B2321" s="1" t="s">
        <v>73</v>
      </c>
      <c r="C2321" s="1" t="s">
        <v>124</v>
      </c>
      <c r="F2321" s="2">
        <v>43921</v>
      </c>
      <c r="G2321" s="2" t="str">
        <f>TEXT(LayoffsData[[#This Row],[date]],"yyyy-mm")</f>
        <v>2020-03</v>
      </c>
      <c r="H2321" s="1" t="s">
        <v>16</v>
      </c>
      <c r="I2321" s="1" t="s">
        <v>17</v>
      </c>
      <c r="J2321">
        <v>130</v>
      </c>
    </row>
    <row r="2322" spans="1:10" x14ac:dyDescent="0.25">
      <c r="A2322" s="1" t="s">
        <v>2166</v>
      </c>
      <c r="B2322" s="1" t="s">
        <v>26</v>
      </c>
      <c r="C2322" s="1" t="s">
        <v>68</v>
      </c>
      <c r="F2322" s="2">
        <v>43930</v>
      </c>
      <c r="G2322" s="2" t="str">
        <f>TEXT(LayoffsData[[#This Row],[date]],"yyyy-mm")</f>
        <v>2020-04</v>
      </c>
      <c r="H2322" s="1" t="s">
        <v>37</v>
      </c>
      <c r="I2322" s="1" t="s">
        <v>17</v>
      </c>
      <c r="J2322">
        <v>217</v>
      </c>
    </row>
    <row r="2323" spans="1:10" x14ac:dyDescent="0.25">
      <c r="A2323" s="1" t="s">
        <v>2167</v>
      </c>
      <c r="B2323" s="1" t="s">
        <v>14</v>
      </c>
      <c r="C2323" s="1" t="s">
        <v>174</v>
      </c>
      <c r="D2323">
        <v>64</v>
      </c>
      <c r="E2323">
        <v>0.46</v>
      </c>
      <c r="F2323" s="2">
        <v>44854</v>
      </c>
      <c r="G2323" s="2" t="str">
        <f>TEXT(LayoffsData[[#This Row],[date]],"yyyy-mm")</f>
        <v>2022-10</v>
      </c>
      <c r="H2323" s="1" t="s">
        <v>28</v>
      </c>
      <c r="I2323" s="1" t="s">
        <v>17</v>
      </c>
      <c r="J2323">
        <v>151</v>
      </c>
    </row>
    <row r="2324" spans="1:10" x14ac:dyDescent="0.25">
      <c r="A2324" s="1" t="s">
        <v>2167</v>
      </c>
      <c r="B2324" s="1" t="s">
        <v>14</v>
      </c>
      <c r="C2324" s="1" t="s">
        <v>174</v>
      </c>
      <c r="D2324">
        <v>73</v>
      </c>
      <c r="E2324">
        <v>0.5</v>
      </c>
      <c r="F2324" s="2">
        <v>43963</v>
      </c>
      <c r="G2324" s="2" t="str">
        <f>TEXT(LayoffsData[[#This Row],[date]],"yyyy-mm")</f>
        <v>2020-05</v>
      </c>
      <c r="H2324" s="1" t="s">
        <v>24</v>
      </c>
      <c r="I2324" s="1" t="s">
        <v>17</v>
      </c>
      <c r="J2324">
        <v>79</v>
      </c>
    </row>
    <row r="2325" spans="1:10" x14ac:dyDescent="0.25">
      <c r="A2325" s="1" t="s">
        <v>2167</v>
      </c>
      <c r="B2325" s="1" t="s">
        <v>14</v>
      </c>
      <c r="C2325" s="1" t="s">
        <v>174</v>
      </c>
      <c r="D2325">
        <v>80</v>
      </c>
      <c r="E2325">
        <v>0.3</v>
      </c>
      <c r="F2325" s="2">
        <v>43914</v>
      </c>
      <c r="G2325" s="2" t="str">
        <f>TEXT(LayoffsData[[#This Row],[date]],"yyyy-mm")</f>
        <v>2020-03</v>
      </c>
      <c r="H2325" s="1" t="s">
        <v>24</v>
      </c>
      <c r="I2325" s="1" t="s">
        <v>17</v>
      </c>
      <c r="J2325">
        <v>79</v>
      </c>
    </row>
    <row r="2326" spans="1:10" x14ac:dyDescent="0.25">
      <c r="A2326" s="1" t="s">
        <v>2168</v>
      </c>
      <c r="B2326" s="1" t="s">
        <v>987</v>
      </c>
      <c r="C2326" s="1" t="s">
        <v>27</v>
      </c>
      <c r="E2326">
        <v>0.1</v>
      </c>
      <c r="F2326" s="2">
        <v>44915</v>
      </c>
      <c r="G2326" s="2" t="str">
        <f>TEXT(LayoffsData[[#This Row],[date]],"yyyy-mm")</f>
        <v>2022-12</v>
      </c>
      <c r="H2326" s="1" t="s">
        <v>86</v>
      </c>
      <c r="I2326" s="1" t="s">
        <v>296</v>
      </c>
      <c r="J2326">
        <v>892</v>
      </c>
    </row>
    <row r="2327" spans="1:10" x14ac:dyDescent="0.25">
      <c r="A2327" s="1" t="s">
        <v>2169</v>
      </c>
      <c r="B2327" s="1" t="s">
        <v>200</v>
      </c>
      <c r="C2327" s="1" t="s">
        <v>68</v>
      </c>
      <c r="F2327" s="2">
        <v>44891</v>
      </c>
      <c r="G2327" s="2" t="str">
        <f>TEXT(LayoffsData[[#This Row],[date]],"yyyy-mm")</f>
        <v>2022-11</v>
      </c>
      <c r="H2327" s="1" t="s">
        <v>37</v>
      </c>
      <c r="I2327" s="1" t="s">
        <v>201</v>
      </c>
      <c r="J2327">
        <v>389</v>
      </c>
    </row>
    <row r="2328" spans="1:10" x14ac:dyDescent="0.25">
      <c r="A2328" s="1" t="s">
        <v>2170</v>
      </c>
      <c r="B2328" s="1" t="s">
        <v>101</v>
      </c>
      <c r="C2328" s="1" t="s">
        <v>29</v>
      </c>
      <c r="D2328">
        <v>44</v>
      </c>
      <c r="E2328">
        <v>0.05</v>
      </c>
      <c r="F2328" s="2">
        <v>43938</v>
      </c>
      <c r="G2328" s="2" t="str">
        <f>TEXT(LayoffsData[[#This Row],[date]],"yyyy-mm")</f>
        <v>2020-04</v>
      </c>
      <c r="H2328" s="1" t="s">
        <v>33</v>
      </c>
      <c r="I2328" s="1" t="s">
        <v>101</v>
      </c>
      <c r="J2328">
        <v>307</v>
      </c>
    </row>
    <row r="2329" spans="1:10" x14ac:dyDescent="0.25">
      <c r="A2329" s="1" t="s">
        <v>2170</v>
      </c>
      <c r="B2329" s="1" t="s">
        <v>101</v>
      </c>
      <c r="C2329" s="1" t="s">
        <v>29</v>
      </c>
      <c r="D2329">
        <v>100</v>
      </c>
      <c r="E2329">
        <v>0.12</v>
      </c>
      <c r="F2329" s="2">
        <v>44021</v>
      </c>
      <c r="G2329" s="2" t="str">
        <f>TEXT(LayoffsData[[#This Row],[date]],"yyyy-mm")</f>
        <v>2020-07</v>
      </c>
      <c r="H2329" s="1" t="s">
        <v>33</v>
      </c>
      <c r="I2329" s="1" t="s">
        <v>101</v>
      </c>
      <c r="J2329">
        <v>307</v>
      </c>
    </row>
    <row r="2330" spans="1:10" x14ac:dyDescent="0.25">
      <c r="A2330" s="1" t="s">
        <v>2171</v>
      </c>
      <c r="B2330" s="1" t="s">
        <v>55</v>
      </c>
      <c r="C2330" s="1" t="s">
        <v>174</v>
      </c>
      <c r="D2330">
        <v>300</v>
      </c>
      <c r="E2330">
        <v>0.05</v>
      </c>
      <c r="F2330" s="2">
        <v>44860</v>
      </c>
      <c r="G2330" s="2" t="str">
        <f>TEXT(LayoffsData[[#This Row],[date]],"yyyy-mm")</f>
        <v>2022-10</v>
      </c>
      <c r="H2330" s="1" t="s">
        <v>11</v>
      </c>
      <c r="I2330" s="1" t="s">
        <v>17</v>
      </c>
      <c r="J2330">
        <v>97</v>
      </c>
    </row>
    <row r="2331" spans="1:10" x14ac:dyDescent="0.25">
      <c r="A2331" s="1" t="s">
        <v>2171</v>
      </c>
      <c r="B2331" s="1" t="s">
        <v>55</v>
      </c>
      <c r="C2331" s="1" t="s">
        <v>174</v>
      </c>
      <c r="D2331">
        <v>2000</v>
      </c>
      <c r="E2331">
        <v>0.25</v>
      </c>
      <c r="F2331" s="2">
        <v>44502</v>
      </c>
      <c r="G2331" s="2" t="str">
        <f>TEXT(LayoffsData[[#This Row],[date]],"yyyy-mm")</f>
        <v>2021-11</v>
      </c>
      <c r="H2331" s="1" t="s">
        <v>11</v>
      </c>
      <c r="I2331" s="1" t="s">
        <v>17</v>
      </c>
      <c r="J2331">
        <v>97</v>
      </c>
    </row>
    <row r="2332" spans="1:10" x14ac:dyDescent="0.25">
      <c r="A2332" s="1" t="s">
        <v>2172</v>
      </c>
      <c r="B2332" s="1" t="s">
        <v>14</v>
      </c>
      <c r="C2332" s="1" t="s">
        <v>147</v>
      </c>
      <c r="F2332" s="2">
        <v>44160</v>
      </c>
      <c r="G2332" s="2" t="str">
        <f>TEXT(LayoffsData[[#This Row],[date]],"yyyy-mm")</f>
        <v>2020-11</v>
      </c>
      <c r="H2332" s="1" t="s">
        <v>28</v>
      </c>
      <c r="I2332" s="1" t="s">
        <v>17</v>
      </c>
      <c r="J2332">
        <v>120</v>
      </c>
    </row>
    <row r="2333" spans="1:10" x14ac:dyDescent="0.25">
      <c r="A2333" s="1" t="s">
        <v>2173</v>
      </c>
      <c r="B2333" s="1" t="s">
        <v>73</v>
      </c>
      <c r="C2333" s="1" t="s">
        <v>10</v>
      </c>
      <c r="D2333">
        <v>100</v>
      </c>
      <c r="E2333">
        <v>0.2</v>
      </c>
      <c r="F2333" s="2">
        <v>43917</v>
      </c>
      <c r="G2333" s="2" t="str">
        <f>TEXT(LayoffsData[[#This Row],[date]],"yyyy-mm")</f>
        <v>2020-03</v>
      </c>
      <c r="H2333" s="1" t="s">
        <v>57</v>
      </c>
      <c r="I2333" s="1" t="s">
        <v>17</v>
      </c>
      <c r="J2333">
        <v>107</v>
      </c>
    </row>
    <row r="2334" spans="1:10" x14ac:dyDescent="0.25">
      <c r="A2334" s="1" t="s">
        <v>2174</v>
      </c>
      <c r="B2334" s="1" t="s">
        <v>26</v>
      </c>
      <c r="C2334" s="1" t="s">
        <v>165</v>
      </c>
      <c r="D2334">
        <v>400</v>
      </c>
      <c r="E2334">
        <v>0.39</v>
      </c>
      <c r="F2334" s="2">
        <v>43919</v>
      </c>
      <c r="G2334" s="2" t="str">
        <f>TEXT(LayoffsData[[#This Row],[date]],"yyyy-mm")</f>
        <v>2020-03</v>
      </c>
      <c r="H2334" s="1" t="s">
        <v>24</v>
      </c>
      <c r="I2334" s="1" t="s">
        <v>17</v>
      </c>
      <c r="J2334">
        <v>219</v>
      </c>
    </row>
    <row r="2335" spans="1:10" x14ac:dyDescent="0.25">
      <c r="A2335" s="1" t="s">
        <v>2175</v>
      </c>
      <c r="B2335" s="1" t="s">
        <v>987</v>
      </c>
      <c r="C2335" s="1" t="s">
        <v>174</v>
      </c>
      <c r="E2335">
        <v>0.2</v>
      </c>
      <c r="F2335" s="2">
        <v>44722</v>
      </c>
      <c r="G2335" s="2" t="str">
        <f>TEXT(LayoffsData[[#This Row],[date]],"yyyy-mm")</f>
        <v>2022-06</v>
      </c>
      <c r="H2335" s="1" t="s">
        <v>37</v>
      </c>
      <c r="I2335" s="1" t="s">
        <v>296</v>
      </c>
      <c r="J2335">
        <v>2100</v>
      </c>
    </row>
    <row r="2336" spans="1:10" x14ac:dyDescent="0.25">
      <c r="A2336" s="1" t="s">
        <v>2176</v>
      </c>
      <c r="B2336" s="1" t="s">
        <v>32</v>
      </c>
      <c r="C2336" s="1" t="s">
        <v>29</v>
      </c>
      <c r="E2336">
        <v>0.2</v>
      </c>
      <c r="F2336" s="2">
        <v>43929</v>
      </c>
      <c r="G2336" s="2" t="str">
        <f>TEXT(LayoffsData[[#This Row],[date]],"yyyy-mm")</f>
        <v>2020-04</v>
      </c>
      <c r="H2336" s="1" t="s">
        <v>33</v>
      </c>
      <c r="I2336" s="1" t="s">
        <v>17</v>
      </c>
      <c r="J2336">
        <v>140</v>
      </c>
    </row>
    <row r="2337" spans="1:10" x14ac:dyDescent="0.25">
      <c r="A2337" s="1" t="s">
        <v>2177</v>
      </c>
      <c r="B2337" s="1" t="s">
        <v>424</v>
      </c>
      <c r="C2337" s="1" t="s">
        <v>51</v>
      </c>
      <c r="D2337">
        <v>100</v>
      </c>
      <c r="E2337">
        <v>0.04</v>
      </c>
      <c r="F2337" s="2">
        <v>44884</v>
      </c>
      <c r="G2337" s="2" t="str">
        <f>TEXT(LayoffsData[[#This Row],[date]],"yyyy-mm")</f>
        <v>2022-11</v>
      </c>
      <c r="H2337" s="1" t="s">
        <v>1381</v>
      </c>
      <c r="I2337" s="1" t="s">
        <v>69</v>
      </c>
      <c r="J2337">
        <v>914</v>
      </c>
    </row>
    <row r="2338" spans="1:10" x14ac:dyDescent="0.25">
      <c r="A2338" s="1" t="s">
        <v>2177</v>
      </c>
      <c r="B2338" s="1" t="s">
        <v>424</v>
      </c>
      <c r="C2338" s="1" t="s">
        <v>51</v>
      </c>
      <c r="D2338">
        <v>520</v>
      </c>
      <c r="E2338">
        <v>0.13</v>
      </c>
      <c r="F2338" s="2">
        <v>43966</v>
      </c>
      <c r="G2338" s="2" t="str">
        <f>TEXT(LayoffsData[[#This Row],[date]],"yyyy-mm")</f>
        <v>2020-05</v>
      </c>
      <c r="H2338" s="1" t="s">
        <v>1381</v>
      </c>
      <c r="I2338" s="1" t="s">
        <v>69</v>
      </c>
      <c r="J2338">
        <v>914</v>
      </c>
    </row>
    <row r="2339" spans="1:10" x14ac:dyDescent="0.25">
      <c r="A2339" s="1" t="s">
        <v>2177</v>
      </c>
      <c r="B2339" s="1" t="s">
        <v>120</v>
      </c>
      <c r="C2339" s="1" t="s">
        <v>51</v>
      </c>
      <c r="F2339" s="2">
        <v>44124</v>
      </c>
      <c r="G2339" s="2" t="str">
        <f>TEXT(LayoffsData[[#This Row],[date]],"yyyy-mm")</f>
        <v>2020-10</v>
      </c>
      <c r="H2339" s="1" t="s">
        <v>1381</v>
      </c>
      <c r="I2339" s="1" t="s">
        <v>121</v>
      </c>
      <c r="J2339">
        <v>914</v>
      </c>
    </row>
    <row r="2340" spans="1:10" x14ac:dyDescent="0.25">
      <c r="A2340" s="1" t="s">
        <v>2178</v>
      </c>
      <c r="B2340" s="1" t="s">
        <v>14</v>
      </c>
      <c r="C2340" s="1" t="s">
        <v>149</v>
      </c>
      <c r="D2340">
        <v>1300</v>
      </c>
      <c r="E2340">
        <v>0.15</v>
      </c>
      <c r="F2340" s="2">
        <v>44964</v>
      </c>
      <c r="G2340" s="2" t="str">
        <f>TEXT(LayoffsData[[#This Row],[date]],"yyyy-mm")</f>
        <v>2023-02</v>
      </c>
      <c r="H2340" s="1" t="s">
        <v>11</v>
      </c>
      <c r="I2340" s="1" t="s">
        <v>17</v>
      </c>
      <c r="J2340">
        <v>276</v>
      </c>
    </row>
    <row r="2341" spans="1:10" x14ac:dyDescent="0.25">
      <c r="A2341" s="1" t="s">
        <v>2179</v>
      </c>
      <c r="B2341" s="1" t="s">
        <v>44</v>
      </c>
      <c r="C2341" s="1" t="s">
        <v>10</v>
      </c>
      <c r="E2341">
        <v>0.16</v>
      </c>
      <c r="F2341" s="2">
        <v>44838</v>
      </c>
      <c r="G2341" s="2" t="str">
        <f>TEXT(LayoffsData[[#This Row],[date]],"yyyy-mm")</f>
        <v>2022-10</v>
      </c>
      <c r="H2341" s="1" t="s">
        <v>24</v>
      </c>
      <c r="I2341" s="1" t="s">
        <v>46</v>
      </c>
      <c r="J2341">
        <v>105</v>
      </c>
    </row>
    <row r="2342" spans="1:10" x14ac:dyDescent="0.25">
      <c r="A2342" s="1" t="s">
        <v>2180</v>
      </c>
      <c r="B2342" s="1" t="s">
        <v>200</v>
      </c>
      <c r="C2342" s="1" t="s">
        <v>174</v>
      </c>
      <c r="D2342">
        <v>50</v>
      </c>
      <c r="F2342" s="2">
        <v>44918</v>
      </c>
      <c r="G2342" s="2" t="str">
        <f>TEXT(LayoffsData[[#This Row],[date]],"yyyy-mm")</f>
        <v>2022-12</v>
      </c>
      <c r="H2342" s="1" t="s">
        <v>28</v>
      </c>
      <c r="I2342" s="1" t="s">
        <v>201</v>
      </c>
      <c r="J2342">
        <v>25</v>
      </c>
    </row>
    <row r="2343" spans="1:10" x14ac:dyDescent="0.25">
      <c r="A2343" s="1" t="s">
        <v>2181</v>
      </c>
      <c r="B2343" s="1" t="s">
        <v>14</v>
      </c>
      <c r="C2343" s="1" t="s">
        <v>10</v>
      </c>
      <c r="D2343">
        <v>100</v>
      </c>
      <c r="E2343">
        <v>0.1</v>
      </c>
      <c r="F2343" s="2">
        <v>43934</v>
      </c>
      <c r="G2343" s="2" t="str">
        <f>TEXT(LayoffsData[[#This Row],[date]],"yyyy-mm")</f>
        <v>2020-04</v>
      </c>
      <c r="H2343" s="1" t="s">
        <v>24</v>
      </c>
      <c r="I2343" s="1" t="s">
        <v>17</v>
      </c>
      <c r="J2343">
        <v>955</v>
      </c>
    </row>
    <row r="2344" spans="1:10" x14ac:dyDescent="0.25">
      <c r="A2344" s="1" t="s">
        <v>2181</v>
      </c>
      <c r="B2344" s="1" t="s">
        <v>14</v>
      </c>
      <c r="C2344" s="1" t="s">
        <v>10</v>
      </c>
      <c r="D2344">
        <v>120</v>
      </c>
      <c r="F2344" s="2">
        <v>43924</v>
      </c>
      <c r="G2344" s="2" t="str">
        <f>TEXT(LayoffsData[[#This Row],[date]],"yyyy-mm")</f>
        <v>2020-04</v>
      </c>
      <c r="H2344" s="1" t="s">
        <v>24</v>
      </c>
      <c r="I2344" s="1" t="s">
        <v>17</v>
      </c>
      <c r="J2344">
        <v>955</v>
      </c>
    </row>
    <row r="2345" spans="1:10" x14ac:dyDescent="0.25">
      <c r="A2345" s="1" t="s">
        <v>2182</v>
      </c>
      <c r="B2345" s="1" t="s">
        <v>14</v>
      </c>
      <c r="C2345" s="1" t="s">
        <v>172</v>
      </c>
      <c r="D2345">
        <v>177</v>
      </c>
      <c r="E2345">
        <v>0.03</v>
      </c>
      <c r="F2345" s="2">
        <v>44987</v>
      </c>
      <c r="G2345" s="2" t="str">
        <f>TEXT(LayoffsData[[#This Row],[date]],"yyyy-mm")</f>
        <v>2023-03</v>
      </c>
      <c r="H2345" s="1" t="s">
        <v>11</v>
      </c>
      <c r="I2345" s="1" t="s">
        <v>17</v>
      </c>
      <c r="J2345">
        <v>148</v>
      </c>
    </row>
    <row r="2346" spans="1:10" x14ac:dyDescent="0.25">
      <c r="A2346" s="1" t="s">
        <v>2183</v>
      </c>
      <c r="B2346" s="1" t="s">
        <v>55</v>
      </c>
      <c r="C2346" s="1" t="s">
        <v>29</v>
      </c>
      <c r="F2346" s="2">
        <v>44697</v>
      </c>
      <c r="G2346" s="2" t="str">
        <f>TEXT(LayoffsData[[#This Row],[date]],"yyyy-mm")</f>
        <v>2022-05</v>
      </c>
      <c r="H2346" s="1" t="s">
        <v>57</v>
      </c>
      <c r="I2346" s="1" t="s">
        <v>17</v>
      </c>
      <c r="J2346">
        <v>194</v>
      </c>
    </row>
    <row r="2347" spans="1:10" x14ac:dyDescent="0.25">
      <c r="A2347" s="1" t="s">
        <v>2184</v>
      </c>
      <c r="B2347" s="1" t="s">
        <v>14</v>
      </c>
      <c r="C2347" s="1" t="s">
        <v>10</v>
      </c>
      <c r="D2347">
        <v>28</v>
      </c>
      <c r="F2347" s="2">
        <v>43941</v>
      </c>
      <c r="G2347" s="2" t="str">
        <f>TEXT(LayoffsData[[#This Row],[date]],"yyyy-mm")</f>
        <v>2020-04</v>
      </c>
      <c r="H2347" s="1" t="s">
        <v>28</v>
      </c>
      <c r="I2347" s="1" t="s">
        <v>17</v>
      </c>
      <c r="J2347">
        <v>71</v>
      </c>
    </row>
    <row r="2348" spans="1:10" x14ac:dyDescent="0.25">
      <c r="A2348" s="1" t="s">
        <v>2185</v>
      </c>
      <c r="B2348" s="1" t="s">
        <v>14</v>
      </c>
      <c r="C2348" s="1" t="s">
        <v>51</v>
      </c>
      <c r="D2348">
        <v>200</v>
      </c>
      <c r="E2348">
        <v>0.67</v>
      </c>
      <c r="F2348" s="2">
        <v>43936</v>
      </c>
      <c r="G2348" s="2" t="str">
        <f>TEXT(LayoffsData[[#This Row],[date]],"yyyy-mm")</f>
        <v>2020-04</v>
      </c>
      <c r="H2348" s="1" t="s">
        <v>37</v>
      </c>
      <c r="I2348" s="1" t="s">
        <v>17</v>
      </c>
      <c r="J2348">
        <v>423</v>
      </c>
    </row>
    <row r="2349" spans="1:10" x14ac:dyDescent="0.25">
      <c r="A2349" s="1" t="s">
        <v>2186</v>
      </c>
      <c r="B2349" s="1" t="s">
        <v>14</v>
      </c>
      <c r="C2349" s="1" t="s">
        <v>174</v>
      </c>
      <c r="D2349">
        <v>45</v>
      </c>
      <c r="E2349">
        <v>0.15</v>
      </c>
      <c r="F2349" s="2">
        <v>44728</v>
      </c>
      <c r="G2349" s="2" t="str">
        <f>TEXT(LayoffsData[[#This Row],[date]],"yyyy-mm")</f>
        <v>2022-06</v>
      </c>
      <c r="H2349" s="1" t="s">
        <v>33</v>
      </c>
      <c r="I2349" s="1" t="s">
        <v>17</v>
      </c>
      <c r="J2349">
        <v>178</v>
      </c>
    </row>
    <row r="2350" spans="1:10" x14ac:dyDescent="0.25">
      <c r="A2350" s="1" t="s">
        <v>2187</v>
      </c>
      <c r="B2350" s="1" t="s">
        <v>14</v>
      </c>
      <c r="C2350" s="1" t="s">
        <v>68</v>
      </c>
      <c r="E2350">
        <v>0.11</v>
      </c>
      <c r="F2350" s="2">
        <v>44901</v>
      </c>
      <c r="G2350" s="2" t="str">
        <f>TEXT(LayoffsData[[#This Row],[date]],"yyyy-mm")</f>
        <v>2022-12</v>
      </c>
      <c r="H2350" s="1" t="s">
        <v>11</v>
      </c>
      <c r="I2350" s="1" t="s">
        <v>17</v>
      </c>
      <c r="J2350">
        <v>647</v>
      </c>
    </row>
    <row r="2351" spans="1:10" x14ac:dyDescent="0.25">
      <c r="A2351" s="1" t="s">
        <v>2188</v>
      </c>
      <c r="B2351" s="1" t="s">
        <v>26</v>
      </c>
      <c r="C2351" s="1" t="s">
        <v>506</v>
      </c>
      <c r="F2351" s="2">
        <v>43913</v>
      </c>
      <c r="G2351" s="2" t="str">
        <f>TEXT(LayoffsData[[#This Row],[date]],"yyyy-mm")</f>
        <v>2020-03</v>
      </c>
      <c r="H2351" s="1" t="s">
        <v>24</v>
      </c>
      <c r="I2351" s="1" t="s">
        <v>17</v>
      </c>
      <c r="J2351">
        <v>164</v>
      </c>
    </row>
    <row r="2352" spans="1:10" x14ac:dyDescent="0.25">
      <c r="A2352" s="1" t="s">
        <v>2188</v>
      </c>
      <c r="B2352" s="1" t="s">
        <v>26</v>
      </c>
      <c r="C2352" s="1" t="s">
        <v>506</v>
      </c>
      <c r="D2352">
        <v>150</v>
      </c>
      <c r="F2352" s="2">
        <v>44693</v>
      </c>
      <c r="G2352" s="2" t="str">
        <f>TEXT(LayoffsData[[#This Row],[date]],"yyyy-mm")</f>
        <v>2022-05</v>
      </c>
      <c r="H2352" s="1" t="s">
        <v>28</v>
      </c>
      <c r="I2352" s="1" t="s">
        <v>17</v>
      </c>
      <c r="J2352">
        <v>619</v>
      </c>
    </row>
    <row r="2353" spans="1:10" x14ac:dyDescent="0.25">
      <c r="A2353" s="1" t="s">
        <v>2189</v>
      </c>
      <c r="B2353" s="1" t="s">
        <v>14</v>
      </c>
      <c r="C2353" s="1" t="s">
        <v>149</v>
      </c>
      <c r="D2353">
        <v>80</v>
      </c>
      <c r="F2353" s="2">
        <v>44767</v>
      </c>
      <c r="G2353" s="2" t="str">
        <f>TEXT(LayoffsData[[#This Row],[date]],"yyyy-mm")</f>
        <v>2022-07</v>
      </c>
      <c r="H2353" s="1" t="s">
        <v>57</v>
      </c>
      <c r="I2353" s="1" t="s">
        <v>17</v>
      </c>
      <c r="J2353">
        <v>974</v>
      </c>
    </row>
    <row r="2354" spans="1:10" x14ac:dyDescent="0.25">
      <c r="A2354" s="1" t="s">
        <v>2189</v>
      </c>
      <c r="B2354" s="1" t="s">
        <v>14</v>
      </c>
      <c r="C2354" s="1" t="s">
        <v>149</v>
      </c>
      <c r="D2354">
        <v>80</v>
      </c>
      <c r="F2354" s="2">
        <v>44799</v>
      </c>
      <c r="G2354" s="2" t="str">
        <f>TEXT(LayoffsData[[#This Row],[date]],"yyyy-mm")</f>
        <v>2022-08</v>
      </c>
      <c r="H2354" s="1" t="s">
        <v>57</v>
      </c>
      <c r="I2354" s="1" t="s">
        <v>17</v>
      </c>
      <c r="J2354">
        <v>974</v>
      </c>
    </row>
    <row r="2355" spans="1:10" x14ac:dyDescent="0.25">
      <c r="A2355" s="1" t="s">
        <v>2189</v>
      </c>
      <c r="B2355" s="1" t="s">
        <v>14</v>
      </c>
      <c r="C2355" s="1" t="s">
        <v>149</v>
      </c>
      <c r="D2355">
        <v>120</v>
      </c>
      <c r="F2355" s="2">
        <v>44462</v>
      </c>
      <c r="G2355" s="2" t="str">
        <f>TEXT(LayoffsData[[#This Row],[date]],"yyyy-mm")</f>
        <v>2021-09</v>
      </c>
      <c r="H2355" s="1" t="s">
        <v>11</v>
      </c>
      <c r="I2355" s="1" t="s">
        <v>17</v>
      </c>
      <c r="J2355">
        <v>974</v>
      </c>
    </row>
    <row r="2356" spans="1:10" x14ac:dyDescent="0.25">
      <c r="A2356" s="1" t="s">
        <v>2189</v>
      </c>
      <c r="B2356" s="1" t="s">
        <v>14</v>
      </c>
      <c r="C2356" s="1" t="s">
        <v>149</v>
      </c>
      <c r="E2356">
        <v>0.1</v>
      </c>
      <c r="F2356" s="2">
        <v>43964</v>
      </c>
      <c r="G2356" s="2" t="str">
        <f>TEXT(LayoffsData[[#This Row],[date]],"yyyy-mm")</f>
        <v>2020-05</v>
      </c>
      <c r="H2356" s="1" t="s">
        <v>28</v>
      </c>
      <c r="I2356" s="1" t="s">
        <v>17</v>
      </c>
      <c r="J2356">
        <v>574</v>
      </c>
    </row>
    <row r="2357" spans="1:10" x14ac:dyDescent="0.25">
      <c r="A2357" s="1" t="s">
        <v>2190</v>
      </c>
      <c r="B2357" s="1" t="s">
        <v>838</v>
      </c>
      <c r="C2357" s="1" t="s">
        <v>68</v>
      </c>
      <c r="F2357" s="2">
        <v>44902</v>
      </c>
      <c r="G2357" s="2" t="str">
        <f>TEXT(LayoffsData[[#This Row],[date]],"yyyy-mm")</f>
        <v>2022-12</v>
      </c>
      <c r="H2357" s="1" t="s">
        <v>57</v>
      </c>
      <c r="I2357" s="1" t="s">
        <v>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68830C-B3DA-4321-AC29-6FF02B0543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Overview</vt:lpstr>
      <vt:lpstr>Layoffs by Year</vt:lpstr>
      <vt:lpstr>Top Companies</vt:lpstr>
      <vt:lpstr>Layoffs by Industry</vt:lpstr>
      <vt:lpstr>Layoffs by Country</vt:lpstr>
      <vt:lpstr>Layoffs by Stage</vt:lpstr>
      <vt:lpstr>Funding vs Layoffs</vt:lpstr>
      <vt:lpstr>Worst Months</vt:lpstr>
      <vt:lpstr>Companies Shutdown</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bargulet</dc:creator>
  <cp:lastModifiedBy>brian bargulet</cp:lastModifiedBy>
  <dcterms:created xsi:type="dcterms:W3CDTF">2026-07-31T08:25:00Z</dcterms:created>
  <dcterms:modified xsi:type="dcterms:W3CDTF">2026-08-03T07:34:10Z</dcterms:modified>
</cp:coreProperties>
</file>